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lainegreenwalt\Desktop\"/>
    </mc:Choice>
  </mc:AlternateContent>
  <xr:revisionPtr revIDLastSave="0" documentId="8_{B22D62D7-C791-41E4-9FB7-DDAB4B1B35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d Summary" sheetId="1" r:id="rId1"/>
    <sheet name="Bid 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2" l="1"/>
  <c r="H60" i="2" s="1"/>
  <c r="D11" i="1" s="1"/>
  <c r="H55" i="2"/>
  <c r="H54" i="2"/>
  <c r="H53" i="2"/>
  <c r="H52" i="2"/>
  <c r="H51" i="2"/>
  <c r="H50" i="2"/>
  <c r="H49" i="2"/>
  <c r="H48" i="2"/>
  <c r="H47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F11" i="1"/>
  <c r="F10" i="1"/>
  <c r="H44" i="2" l="1"/>
  <c r="D9" i="1" s="1"/>
  <c r="F9" i="1" s="1"/>
  <c r="F13" i="1" s="1"/>
  <c r="H56" i="2"/>
  <c r="D10" i="1" s="1"/>
</calcChain>
</file>

<file path=xl/sharedStrings.xml><?xml version="1.0" encoding="utf-8"?>
<sst xmlns="http://schemas.openxmlformats.org/spreadsheetml/2006/main" count="339" uniqueCount="163">
  <si>
    <t>EDINBURG - KERRVILLE BLDG 4 DIP VAT REDESIGN - BID SUMMARY</t>
  </si>
  <si>
    <t>USDA Agricultural Research Service | A/E Order No. 1232SA25F0384</t>
  </si>
  <si>
    <t>Bidder:</t>
  </si>
  <si>
    <t>Address:</t>
  </si>
  <si>
    <t>Phone / Email:</t>
  </si>
  <si>
    <t>Bid Component</t>
  </si>
  <si>
    <t>Bid Amount</t>
  </si>
  <si>
    <t>Selection</t>
  </si>
  <si>
    <t>Selected Total</t>
  </si>
  <si>
    <t>Base Bid</t>
  </si>
  <si>
    <t>Yes</t>
  </si>
  <si>
    <t>Additive Alternate No. 1</t>
  </si>
  <si>
    <t>No</t>
  </si>
  <si>
    <t>Additive Alternate No. 2</t>
  </si>
  <si>
    <t>TOTAL SELECTED BID</t>
  </si>
  <si>
    <t>Bidder Signature:</t>
  </si>
  <si>
    <t>Date:</t>
  </si>
  <si>
    <t>EDINBURG - KERRVILLE BLDG 4 DIP VAT REDESIGN - BID SCHEDULE</t>
  </si>
  <si>
    <t>USDA Agricultural Research Service | 22675 N. Moorefield Road, Edinburg, Texas</t>
  </si>
  <si>
    <t>Bidder Name:</t>
  </si>
  <si>
    <t>Bid Date:</t>
  </si>
  <si>
    <t>Enter a unit price for every item in the yellow cells. Extended amounts and section totals calculate automatically. Lump-sum (LS) quantities are 1.</t>
  </si>
  <si>
    <t>Item No.</t>
  </si>
  <si>
    <t>Div.</t>
  </si>
  <si>
    <t>Description of Work</t>
  </si>
  <si>
    <t>Unit</t>
  </si>
  <si>
    <t>Qty</t>
  </si>
  <si>
    <t>Bidder Unit Price</t>
  </si>
  <si>
    <t>Extended Bid Amount</t>
  </si>
  <si>
    <t>Drawing Reference</t>
  </si>
  <si>
    <t>BASE BID</t>
  </si>
  <si>
    <t>B-01</t>
  </si>
  <si>
    <t>01</t>
  </si>
  <si>
    <t>Mobilization, bonds setup, layout and closeout</t>
  </si>
  <si>
    <t>LS</t>
  </si>
  <si>
    <t>G001 / all</t>
  </si>
  <si>
    <t>B-02</t>
  </si>
  <si>
    <t>Project supervision and safety administration</t>
  </si>
  <si>
    <t>WK</t>
  </si>
  <si>
    <t>All</t>
  </si>
  <si>
    <t>B-03</t>
  </si>
  <si>
    <t>02</t>
  </si>
  <si>
    <t>Remove and dispose existing metal roof panels and trim</t>
  </si>
  <si>
    <t>SF</t>
  </si>
  <si>
    <t>D100, D200</t>
  </si>
  <si>
    <t>B-04</t>
  </si>
  <si>
    <t>Remove existing cattle fencing, gates, posts and foundations</t>
  </si>
  <si>
    <t>LF</t>
  </si>
  <si>
    <t>B-05</t>
  </si>
  <si>
    <t>Electrical demolition: fixtures, receptacles and panelboard</t>
  </si>
  <si>
    <t>ED100</t>
  </si>
  <si>
    <t>B-06</t>
  </si>
  <si>
    <t>03</t>
  </si>
  <si>
    <t>6-inch reinforced walkway over 6-inch aggregate base</t>
  </si>
  <si>
    <t>A102, A300, A600</t>
  </si>
  <si>
    <t>B-07</t>
  </si>
  <si>
    <t>12-inch diameter x 3-foot post foundations with two #5 bars</t>
  </si>
  <si>
    <t>EA</t>
  </si>
  <si>
    <t>A500, A502, A600</t>
  </si>
  <si>
    <t>B-08</t>
  </si>
  <si>
    <t>Vat access cap/topping, dowels, epoxy and bonding agent</t>
  </si>
  <si>
    <t>A310</t>
  </si>
  <si>
    <t>B-09</t>
  </si>
  <si>
    <t>05</t>
  </si>
  <si>
    <t>PEMB straight-column rigid frames, 8-inch purlins at 5 feet o.c., roof-only cross bracing, anchors and engineering</t>
  </si>
  <si>
    <t>S100, A103, A200, A300</t>
  </si>
  <si>
    <t>B-10</t>
  </si>
  <si>
    <t>XS3 posts, 3-1/2-inch OD x 0.300 wall, fabricated with red-oxide primer</t>
  </si>
  <si>
    <t>A110-A112, A600</t>
  </si>
  <si>
    <t>B-11</t>
  </si>
  <si>
    <t>XS2 six-rail members, 2-3/8-inch OD x 0.218 wall, red-oxide primer</t>
  </si>
  <si>
    <t>B-12</t>
  </si>
  <si>
    <t>Reverse-swing gate assembly, 7-foot-6-inch, red-oxide primer</t>
  </si>
  <si>
    <t>A500-A501</t>
  </si>
  <si>
    <t>B-13</t>
  </si>
  <si>
    <t>Reverse-swing gate assembly, 9-foot-0-inch, red-oxide primer</t>
  </si>
  <si>
    <t>B-14</t>
  </si>
  <si>
    <t>48-inch maintenance gate assembly, red-oxide primer</t>
  </si>
  <si>
    <t>A502</t>
  </si>
  <si>
    <t>B-15</t>
  </si>
  <si>
    <t>Sliding gate assembly at dip vat, red-oxide primer</t>
  </si>
  <si>
    <t>A401</t>
  </si>
  <si>
    <t>B-16</t>
  </si>
  <si>
    <t>Rotunda fixed railing, swing gate, latch and bearings, red-oxide primer</t>
  </si>
  <si>
    <t>A112, A503</t>
  </si>
  <si>
    <t>B-17</t>
  </si>
  <si>
    <t>Blackout sheet-steel panels, stiffeners and red-oxide primer</t>
  </si>
  <si>
    <t>A100, A112, A503</t>
  </si>
  <si>
    <t>B-18</t>
  </si>
  <si>
    <t>6-inch Schedule 40 concrete-filled bollards with safety-yellow alkyd finish</t>
  </si>
  <si>
    <t>A110</t>
  </si>
  <si>
    <t>B-19</t>
  </si>
  <si>
    <t>Dip-vat guardrail, base plates, anchors and red-oxide primer</t>
  </si>
  <si>
    <t>B-20</t>
  </si>
  <si>
    <t>07</t>
  </si>
  <si>
    <t>Standard exposed-fastener metal roof over 1/4-inch foil-faced PEMB insulation</t>
  </si>
  <si>
    <t>A103, A200, A300</t>
  </si>
  <si>
    <t>B-21</t>
  </si>
  <si>
    <t>Ridge, rake, eave trim, closures and sealants</t>
  </si>
  <si>
    <t>A103, A200</t>
  </si>
  <si>
    <t>B-22</t>
  </si>
  <si>
    <t>22</t>
  </si>
  <si>
    <t>1-inch UV-resistant PEX main with fittings and supports</t>
  </si>
  <si>
    <t>P100</t>
  </si>
  <si>
    <t>B-23</t>
  </si>
  <si>
    <t>3/4-inch UV-resistant PEX branches and drops</t>
  </si>
  <si>
    <t>B-24</t>
  </si>
  <si>
    <t>Jobe Topaz Compact float-valve drops</t>
  </si>
  <si>
    <t>B-25</t>
  </si>
  <si>
    <t>Prier P-164 anti-siphon hydrants/hose bibbs</t>
  </si>
  <si>
    <t>B-26</t>
  </si>
  <si>
    <t>Isolation valve, cast-in-place access box and PVC transition</t>
  </si>
  <si>
    <t>B-27</t>
  </si>
  <si>
    <t>26</t>
  </si>
  <si>
    <t>100A 120/208V 3-phase NEMA 3R panelboard with SPD</t>
  </si>
  <si>
    <t>E100, E600</t>
  </si>
  <si>
    <t>B-28</t>
  </si>
  <si>
    <t>Weatherproof 20A receptacles at 90 inches AFF</t>
  </si>
  <si>
    <t>E100</t>
  </si>
  <si>
    <t>B-29</t>
  </si>
  <si>
    <t>A1 LED vapor-tight NEMA 4X fixtures</t>
  </si>
  <si>
    <t>EL100, E700</t>
  </si>
  <si>
    <t>B-30</t>
  </si>
  <si>
    <t>Astronomical time clock and 0-10V dimming controls</t>
  </si>
  <si>
    <t>EL100</t>
  </si>
  <si>
    <t>B-31</t>
  </si>
  <si>
    <t>Galvanized rigid conduit and fittings</t>
  </si>
  <si>
    <t>E100, EL100</t>
  </si>
  <si>
    <t>B-32</t>
  </si>
  <si>
    <t>Copper branch-circuit conductors</t>
  </si>
  <si>
    <t>B-33</t>
  </si>
  <si>
    <t>Grounding electrode system</t>
  </si>
  <si>
    <t>E700</t>
  </si>
  <si>
    <t>B-34</t>
  </si>
  <si>
    <t>31</t>
  </si>
  <si>
    <t>Minor grading, restoration and construction cleanup</t>
  </si>
  <si>
    <t>A100, A102</t>
  </si>
  <si>
    <t>TOTAL BASE BID</t>
  </si>
  <si>
    <t>ADDITIVE ALTERNATE NO. 1 - ADDITIONAL CATTLE CORRAL PENS 9, 10, AND 11</t>
  </si>
  <si>
    <t>A1-01</t>
  </si>
  <si>
    <t>Add Alt 1</t>
  </si>
  <si>
    <t>A100, A102, A112</t>
  </si>
  <si>
    <t>A1-02</t>
  </si>
  <si>
    <t>A112, A600</t>
  </si>
  <si>
    <t>A1-03</t>
  </si>
  <si>
    <t>XS3 posts, 3-1/2-inch OD x 0.300 wall, red-oxide primer</t>
  </si>
  <si>
    <t>A1-04</t>
  </si>
  <si>
    <t>A1-05</t>
  </si>
  <si>
    <t>A112, A500-A501</t>
  </si>
  <si>
    <t>A1-06</t>
  </si>
  <si>
    <t>A112, A502</t>
  </si>
  <si>
    <t>A1-07</t>
  </si>
  <si>
    <t>A1-08</t>
  </si>
  <si>
    <t>GRS conduit and copper conductors for alternate receptacles</t>
  </si>
  <si>
    <t>A1-09</t>
  </si>
  <si>
    <t>Alternate-area grading, restoration and cleanup</t>
  </si>
  <si>
    <t>TOTAL ADDITIVE ALTERNATE NO. 1</t>
  </si>
  <si>
    <t>ADDITIVE ALTERNATE NO. 2 - GALVANIZATION OF FENCING, GATES, AND BOLLARD STEEL</t>
  </si>
  <si>
    <t>A2-01</t>
  </si>
  <si>
    <t>Add Alt 2</t>
  </si>
  <si>
    <t>Hot-dip galvanizing premium for fencing, gates, bollards, associated panels, plates, brackets, and guardrail</t>
  </si>
  <si>
    <t>G100; A110-A112; A310; A401; A500-A503; A600</t>
  </si>
  <si>
    <t>TOTAL ADDITIVE ALTERNATE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</si>
</sst>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(&quot;$&quot;#,##0\);\-"/>
    <numFmt numFmtId="165" formatCode="&quot;$&quot;#,##0.00;[Red]\(&quot;$&quot;#,##0.00\);\-"/>
  </numFmts>
  <fonts count="10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9"/>
      <color rgb="FF1F2937"/>
      <name val="Carlito"/>
    </font>
    <font>
      <i/>
      <sz val="11"/>
      <color rgb="FF1F2937"/>
      <name val="Carlito"/>
    </font>
    <font>
      <b/>
      <sz val="12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548235"/>
      </patternFill>
    </fill>
  </fills>
  <borders count="12">
    <border>
      <left/>
      <right/>
      <top/>
      <bottom/>
      <diagonal/>
    </border>
    <border>
      <left style="thin">
        <color rgb="FFB8C6D1"/>
      </left>
      <right/>
      <top style="thin">
        <color rgb="FFB8C6D1"/>
      </top>
      <bottom style="thin">
        <color rgb="FFB8C6D1"/>
      </bottom>
      <diagonal/>
    </border>
    <border>
      <left/>
      <right/>
      <top style="thin">
        <color rgb="FFB8C6D1"/>
      </top>
      <bottom style="thin">
        <color rgb="FFB8C6D1"/>
      </bottom>
      <diagonal/>
    </border>
    <border>
      <left/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548235"/>
      </left>
      <right/>
      <top style="thin">
        <color rgb="FF548235"/>
      </top>
      <bottom style="thin">
        <color rgb="FF548235"/>
      </bottom>
      <diagonal/>
    </border>
    <border>
      <left/>
      <right/>
      <top style="thin">
        <color rgb="FF548235"/>
      </top>
      <bottom style="thin">
        <color rgb="FF548235"/>
      </bottom>
      <diagonal/>
    </border>
    <border>
      <left/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8C6D1"/>
      </bottom>
      <diagonal/>
    </border>
    <border>
      <left/>
      <right/>
      <top/>
      <bottom style="thin">
        <color rgb="FFB8C6D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6" borderId="4" xfId="0" applyFont="1" applyFill="1" applyBorder="1" applyAlignment="1">
      <alignment vertical="center" wrapText="1"/>
    </xf>
    <xf numFmtId="0" fontId="6" fillId="7" borderId="7" xfId="0" applyFont="1" applyFill="1" applyBorder="1"/>
    <xf numFmtId="164" fontId="6" fillId="7" borderId="6" xfId="0" applyNumberFormat="1" applyFont="1" applyFill="1" applyBorder="1"/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65" fontId="7" fillId="4" borderId="4" xfId="0" applyNumberFormat="1" applyFont="1" applyFill="1" applyBorder="1" applyAlignment="1">
      <alignment vertical="center"/>
    </xf>
    <xf numFmtId="165" fontId="7" fillId="0" borderId="8" xfId="0" applyNumberFormat="1" applyFont="1" applyBorder="1" applyAlignment="1">
      <alignment vertical="center"/>
    </xf>
    <xf numFmtId="165" fontId="7" fillId="0" borderId="9" xfId="0" applyNumberFormat="1" applyFont="1" applyBorder="1" applyAlignment="1">
      <alignment vertical="center"/>
    </xf>
    <xf numFmtId="165" fontId="7" fillId="0" borderId="10" xfId="0" applyNumberFormat="1" applyFont="1" applyBorder="1" applyAlignment="1">
      <alignment vertical="center"/>
    </xf>
    <xf numFmtId="165" fontId="7" fillId="0" borderId="11" xfId="0" applyNumberFormat="1" applyFont="1" applyBorder="1" applyAlignment="1">
      <alignment vertical="center"/>
    </xf>
    <xf numFmtId="4" fontId="7" fillId="0" borderId="8" xfId="0" applyNumberFormat="1" applyFont="1" applyBorder="1" applyAlignment="1">
      <alignment vertical="center"/>
    </xf>
    <xf numFmtId="4" fontId="7" fillId="0" borderId="9" xfId="0" applyNumberFormat="1" applyFont="1" applyBorder="1" applyAlignment="1">
      <alignment vertical="center"/>
    </xf>
    <xf numFmtId="4" fontId="7" fillId="0" borderId="10" xfId="0" applyNumberFormat="1" applyFont="1" applyBorder="1" applyAlignment="1">
      <alignment vertical="center"/>
    </xf>
    <xf numFmtId="4" fontId="0" fillId="0" borderId="0" xfId="0" applyNumberFormat="1"/>
    <xf numFmtId="4" fontId="7" fillId="0" borderId="11" xfId="0" applyNumberFormat="1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0" fillId="0" borderId="0" xfId="0" applyAlignment="1">
      <alignment wrapText="1"/>
    </xf>
    <xf numFmtId="0" fontId="7" fillId="0" borderId="11" xfId="0" applyFont="1" applyBorder="1" applyAlignment="1">
      <alignment vertical="center" wrapText="1"/>
    </xf>
    <xf numFmtId="0" fontId="6" fillId="7" borderId="7" xfId="0" applyFont="1" applyFill="1" applyBorder="1" applyAlignment="1">
      <alignment wrapText="1"/>
    </xf>
    <xf numFmtId="164" fontId="3" fillId="0" borderId="4" xfId="0" applyNumberFormat="1" applyFont="1" applyBorder="1"/>
    <xf numFmtId="0" fontId="3" fillId="4" borderId="4" xfId="0" applyFont="1" applyFill="1" applyBorder="1" applyAlignment="1">
      <alignment horizontal="center"/>
    </xf>
    <xf numFmtId="164" fontId="9" fillId="7" borderId="7" xfId="0" applyNumberFormat="1" applyFont="1" applyFill="1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4" fontId="5" fillId="3" borderId="2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6" fillId="7" borderId="5" xfId="0" applyFont="1" applyFill="1" applyBorder="1"/>
    <xf numFmtId="0" fontId="6" fillId="7" borderId="6" xfId="0" applyFont="1" applyFill="1" applyBorder="1"/>
    <xf numFmtId="0" fontId="3" fillId="5" borderId="0" xfId="0" applyFont="1" applyFill="1" applyAlignment="1">
      <alignment wrapText="1"/>
    </xf>
    <xf numFmtId="0" fontId="5" fillId="3" borderId="3" xfId="0" applyFont="1" applyFill="1" applyBorder="1" applyAlignment="1">
      <alignment vertical="center"/>
    </xf>
    <xf numFmtId="0" fontId="6" fillId="7" borderId="6" xfId="0" applyFont="1" applyFill="1" applyBorder="1" applyAlignment="1">
      <alignment wrapText="1"/>
    </xf>
    <xf numFmtId="4" fontId="6" fillId="7" borderId="6" xfId="0" applyNumberFormat="1" applyFont="1" applyFill="1" applyBorder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4" fillId="6" borderId="4" xfId="0" applyFont="1" applyFill="1" applyBorder="1" applyAlignment="1">
      <alignment vertical="center" wrapText="1"/>
    </xf>
    <xf numFmtId="0" fontId="3" fillId="0" borderId="4" xfId="0" applyFont="1" applyBorder="1"/>
    <xf numFmtId="0" fontId="9" fillId="7" borderId="5" xfId="0" applyFont="1" applyFill="1" applyBorder="1"/>
    <xf numFmtId="0" fontId="9" fillId="7" borderId="6" xfId="0" applyFont="1" applyFill="1" applyBorder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activeCell="A27" sqref="A27"/>
    </sheetView>
  </sheetViews>
  <sheetFormatPr defaultRowHeight="14.25"/>
  <cols>
    <col min="1" max="1" width="27" customWidth="1"/>
    <col min="2" max="4" width="18" customWidth="1"/>
    <col min="5" max="5" width="13" customWidth="1"/>
    <col min="6" max="6" width="19" customWidth="1"/>
  </cols>
  <sheetData>
    <row r="1" spans="1:6" ht="27.95" customHeight="1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  <c r="F1" s="39" t="s">
        <v>0</v>
      </c>
    </row>
    <row r="2" spans="1:6">
      <c r="A2" s="49" t="s">
        <v>1</v>
      </c>
      <c r="B2" s="49"/>
      <c r="C2" s="49"/>
      <c r="D2" s="49"/>
      <c r="E2" s="49"/>
      <c r="F2" s="49"/>
    </row>
    <row r="4" spans="1:6">
      <c r="A4" t="s">
        <v>2</v>
      </c>
      <c r="B4" s="42"/>
      <c r="C4" s="43"/>
      <c r="D4" s="43"/>
      <c r="E4" s="43"/>
      <c r="F4" s="44"/>
    </row>
    <row r="5" spans="1:6">
      <c r="A5" t="s">
        <v>3</v>
      </c>
      <c r="B5" s="42"/>
      <c r="C5" s="43"/>
      <c r="D5" s="43"/>
      <c r="E5" s="43"/>
      <c r="F5" s="44"/>
    </row>
    <row r="6" spans="1:6">
      <c r="A6" t="s">
        <v>4</v>
      </c>
      <c r="B6" s="42"/>
      <c r="C6" s="43"/>
      <c r="D6" s="43"/>
      <c r="E6" s="43"/>
      <c r="F6" s="44"/>
    </row>
    <row r="8" spans="1:6" ht="30" customHeight="1">
      <c r="A8" s="45" t="s">
        <v>5</v>
      </c>
      <c r="B8" s="45"/>
      <c r="C8" s="45"/>
      <c r="D8" s="1" t="s">
        <v>6</v>
      </c>
      <c r="E8" s="1" t="s">
        <v>7</v>
      </c>
      <c r="F8" s="1" t="s">
        <v>8</v>
      </c>
    </row>
    <row r="9" spans="1:6">
      <c r="A9" s="46" t="s">
        <v>9</v>
      </c>
      <c r="B9" s="46"/>
      <c r="C9" s="46"/>
      <c r="D9" s="24">
        <f>'Bid Schedule'!H44</f>
        <v>0</v>
      </c>
      <c r="E9" s="25" t="s">
        <v>10</v>
      </c>
      <c r="F9" s="24">
        <f>IF(E9="Yes",D9,0)</f>
        <v>0</v>
      </c>
    </row>
    <row r="10" spans="1:6">
      <c r="A10" s="46" t="s">
        <v>11</v>
      </c>
      <c r="B10" s="46"/>
      <c r="C10" s="46"/>
      <c r="D10" s="24">
        <f>'Bid Schedule'!H56</f>
        <v>0</v>
      </c>
      <c r="E10" s="25" t="s">
        <v>12</v>
      </c>
      <c r="F10" s="24">
        <f>IF(E10="Yes",D10,0)</f>
        <v>0</v>
      </c>
    </row>
    <row r="11" spans="1:6">
      <c r="A11" s="46" t="s">
        <v>13</v>
      </c>
      <c r="B11" s="46"/>
      <c r="C11" s="46"/>
      <c r="D11" s="24">
        <f>'Bid Schedule'!H60</f>
        <v>0</v>
      </c>
      <c r="E11" s="25" t="s">
        <v>12</v>
      </c>
      <c r="F11" s="24">
        <f>IF(E11="Yes",D11,0)</f>
        <v>0</v>
      </c>
    </row>
    <row r="13" spans="1:6" ht="15.75">
      <c r="A13" s="47" t="s">
        <v>14</v>
      </c>
      <c r="B13" s="48"/>
      <c r="C13" s="48"/>
      <c r="D13" s="48"/>
      <c r="E13" s="48"/>
      <c r="F13" s="26">
        <f>SUM(F9:F11)</f>
        <v>0</v>
      </c>
    </row>
    <row r="16" spans="1:6">
      <c r="A16" t="s">
        <v>15</v>
      </c>
      <c r="B16" s="42"/>
      <c r="C16" s="43"/>
      <c r="D16" s="44"/>
      <c r="E16" t="s">
        <v>16</v>
      </c>
      <c r="F16" s="27"/>
    </row>
  </sheetData>
  <mergeCells count="11">
    <mergeCell ref="A1:F1"/>
    <mergeCell ref="A2:F2"/>
    <mergeCell ref="B4:F4"/>
    <mergeCell ref="B5:F5"/>
    <mergeCell ref="B6:F6"/>
    <mergeCell ref="B16:D16"/>
    <mergeCell ref="A8:C8"/>
    <mergeCell ref="A9:C9"/>
    <mergeCell ref="A10:C10"/>
    <mergeCell ref="A11:C11"/>
    <mergeCell ref="A13:E13"/>
  </mergeCells>
  <dataValidations count="1">
    <dataValidation type="list" sqref="E9:E11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showGridLines="0" tabSelected="1" workbookViewId="0">
      <selection activeCell="H12" sqref="H12"/>
    </sheetView>
  </sheetViews>
  <sheetFormatPr defaultRowHeight="14.25"/>
  <cols>
    <col min="1" max="1" width="11" customWidth="1"/>
    <col min="2" max="2" width="14" customWidth="1"/>
    <col min="3" max="3" width="7" customWidth="1"/>
    <col min="4" max="4" width="48" customWidth="1"/>
    <col min="5" max="5" width="8" customWidth="1"/>
    <col min="6" max="6" width="10" customWidth="1"/>
    <col min="7" max="7" width="18" customWidth="1"/>
    <col min="8" max="8" width="35" customWidth="1"/>
    <col min="9" max="9" width="25" customWidth="1"/>
  </cols>
  <sheetData>
    <row r="1" spans="1:9" ht="27.95" customHeight="1">
      <c r="A1" s="39" t="s">
        <v>17</v>
      </c>
      <c r="B1" s="39" t="s">
        <v>17</v>
      </c>
      <c r="C1" s="39" t="s">
        <v>17</v>
      </c>
      <c r="D1" s="39" t="s">
        <v>17</v>
      </c>
      <c r="E1" s="39" t="s">
        <v>17</v>
      </c>
      <c r="F1" s="39" t="s">
        <v>17</v>
      </c>
      <c r="G1" s="39" t="s">
        <v>17</v>
      </c>
      <c r="H1" s="39" t="s">
        <v>17</v>
      </c>
      <c r="I1" s="39" t="s">
        <v>17</v>
      </c>
    </row>
    <row r="2" spans="1:9">
      <c r="A2" s="40" t="s">
        <v>18</v>
      </c>
      <c r="B2" s="40"/>
      <c r="C2" s="40"/>
      <c r="D2" s="40"/>
      <c r="E2" s="40"/>
      <c r="F2" s="40"/>
      <c r="G2" s="40"/>
      <c r="H2" s="40"/>
      <c r="I2" s="40"/>
    </row>
    <row r="4" spans="1:9">
      <c r="A4" s="41" t="s">
        <v>19</v>
      </c>
      <c r="B4" s="41"/>
      <c r="C4" s="42"/>
      <c r="D4" s="43"/>
      <c r="E4" s="43"/>
      <c r="F4" s="44"/>
      <c r="G4" t="s">
        <v>20</v>
      </c>
      <c r="H4" s="42"/>
      <c r="I4" s="44"/>
    </row>
    <row r="6" spans="1:9" ht="30" customHeight="1">
      <c r="A6" s="35" t="s">
        <v>21</v>
      </c>
      <c r="B6" s="35"/>
      <c r="C6" s="35"/>
      <c r="D6" s="35"/>
      <c r="E6" s="35"/>
      <c r="F6" s="35"/>
      <c r="G6" s="35"/>
      <c r="H6" s="35"/>
      <c r="I6" s="35"/>
    </row>
    <row r="8" spans="1:9" ht="30" customHeight="1">
      <c r="A8" s="1" t="s">
        <v>22</v>
      </c>
      <c r="B8" s="1" t="s">
        <v>5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</row>
    <row r="9" spans="1:9" ht="21.95" customHeight="1">
      <c r="A9" s="28" t="s">
        <v>30</v>
      </c>
      <c r="B9" s="29" t="s">
        <v>30</v>
      </c>
      <c r="C9" s="29" t="s">
        <v>30</v>
      </c>
      <c r="D9" s="29" t="s">
        <v>30</v>
      </c>
      <c r="E9" s="29" t="s">
        <v>30</v>
      </c>
      <c r="F9" s="29" t="s">
        <v>30</v>
      </c>
      <c r="G9" s="29" t="s">
        <v>30</v>
      </c>
      <c r="H9" s="29" t="s">
        <v>30</v>
      </c>
      <c r="I9" s="36" t="s">
        <v>30</v>
      </c>
    </row>
    <row r="10" spans="1:9" ht="27.95" customHeight="1">
      <c r="A10" s="4" t="s">
        <v>31</v>
      </c>
      <c r="B10" s="4" t="s">
        <v>9</v>
      </c>
      <c r="C10" s="4" t="s">
        <v>32</v>
      </c>
      <c r="D10" s="18" t="s">
        <v>33</v>
      </c>
      <c r="E10" s="4" t="s">
        <v>34</v>
      </c>
      <c r="F10" s="13">
        <v>0</v>
      </c>
      <c r="G10" s="8">
        <v>0</v>
      </c>
      <c r="H10" s="9">
        <f t="shared" ref="H10:H43" si="0">IF(G10="","",F10*G10)</f>
        <v>0</v>
      </c>
      <c r="I10" s="18" t="s">
        <v>35</v>
      </c>
    </row>
    <row r="11" spans="1:9" ht="27.95" customHeight="1">
      <c r="A11" s="5" t="s">
        <v>36</v>
      </c>
      <c r="B11" s="5" t="s">
        <v>9</v>
      </c>
      <c r="C11" s="5" t="s">
        <v>32</v>
      </c>
      <c r="D11" s="19" t="s">
        <v>37</v>
      </c>
      <c r="E11" s="5" t="s">
        <v>38</v>
      </c>
      <c r="F11" s="14">
        <v>0</v>
      </c>
      <c r="G11" s="8"/>
      <c r="H11" s="10" t="str">
        <f t="shared" si="0"/>
        <v/>
      </c>
      <c r="I11" s="19" t="s">
        <v>39</v>
      </c>
    </row>
    <row r="12" spans="1:9" ht="27.95" customHeight="1">
      <c r="A12" s="5" t="s">
        <v>40</v>
      </c>
      <c r="B12" s="5" t="s">
        <v>9</v>
      </c>
      <c r="C12" s="5" t="s">
        <v>41</v>
      </c>
      <c r="D12" s="19" t="s">
        <v>42</v>
      </c>
      <c r="E12" s="5" t="s">
        <v>43</v>
      </c>
      <c r="F12" s="14">
        <v>0</v>
      </c>
      <c r="G12" s="8"/>
      <c r="H12" s="10" t="str">
        <f t="shared" si="0"/>
        <v/>
      </c>
      <c r="I12" s="19" t="s">
        <v>44</v>
      </c>
    </row>
    <row r="13" spans="1:9" ht="27.95" customHeight="1">
      <c r="A13" s="5" t="s">
        <v>45</v>
      </c>
      <c r="B13" s="5" t="s">
        <v>9</v>
      </c>
      <c r="C13" s="5" t="s">
        <v>41</v>
      </c>
      <c r="D13" s="19" t="s">
        <v>46</v>
      </c>
      <c r="E13" s="5" t="s">
        <v>47</v>
      </c>
      <c r="F13" s="14">
        <v>0</v>
      </c>
      <c r="G13" s="8"/>
      <c r="H13" s="10" t="str">
        <f t="shared" si="0"/>
        <v/>
      </c>
      <c r="I13" s="19" t="s">
        <v>44</v>
      </c>
    </row>
    <row r="14" spans="1:9" ht="27.95" customHeight="1">
      <c r="A14" s="5" t="s">
        <v>48</v>
      </c>
      <c r="B14" s="5" t="s">
        <v>9</v>
      </c>
      <c r="C14" s="5" t="s">
        <v>41</v>
      </c>
      <c r="D14" s="19" t="s">
        <v>49</v>
      </c>
      <c r="E14" s="5" t="s">
        <v>34</v>
      </c>
      <c r="F14" s="14">
        <v>0</v>
      </c>
      <c r="G14" s="8"/>
      <c r="H14" s="10" t="str">
        <f t="shared" si="0"/>
        <v/>
      </c>
      <c r="I14" s="19" t="s">
        <v>50</v>
      </c>
    </row>
    <row r="15" spans="1:9" ht="27.95" customHeight="1">
      <c r="A15" s="5" t="s">
        <v>51</v>
      </c>
      <c r="B15" s="5" t="s">
        <v>9</v>
      </c>
      <c r="C15" s="5" t="s">
        <v>52</v>
      </c>
      <c r="D15" s="19" t="s">
        <v>53</v>
      </c>
      <c r="E15" s="5" t="s">
        <v>43</v>
      </c>
      <c r="F15" s="14">
        <v>0</v>
      </c>
      <c r="G15" s="8"/>
      <c r="H15" s="10" t="str">
        <f t="shared" si="0"/>
        <v/>
      </c>
      <c r="I15" s="19" t="s">
        <v>54</v>
      </c>
    </row>
    <row r="16" spans="1:9" ht="27.95" customHeight="1">
      <c r="A16" s="5" t="s">
        <v>55</v>
      </c>
      <c r="B16" s="5" t="s">
        <v>9</v>
      </c>
      <c r="C16" s="5" t="s">
        <v>52</v>
      </c>
      <c r="D16" s="19" t="s">
        <v>56</v>
      </c>
      <c r="E16" s="5" t="s">
        <v>57</v>
      </c>
      <c r="F16" s="14">
        <v>0</v>
      </c>
      <c r="G16" s="8"/>
      <c r="H16" s="10" t="str">
        <f t="shared" si="0"/>
        <v/>
      </c>
      <c r="I16" s="19" t="s">
        <v>58</v>
      </c>
    </row>
    <row r="17" spans="1:9" ht="27.95" customHeight="1">
      <c r="A17" s="5" t="s">
        <v>59</v>
      </c>
      <c r="B17" s="5" t="s">
        <v>9</v>
      </c>
      <c r="C17" s="5" t="s">
        <v>52</v>
      </c>
      <c r="D17" s="19" t="s">
        <v>60</v>
      </c>
      <c r="E17" s="5" t="s">
        <v>34</v>
      </c>
      <c r="F17" s="14">
        <v>0</v>
      </c>
      <c r="G17" s="8"/>
      <c r="H17" s="10" t="str">
        <f t="shared" si="0"/>
        <v/>
      </c>
      <c r="I17" s="19" t="s">
        <v>61</v>
      </c>
    </row>
    <row r="18" spans="1:9" ht="27.95" customHeight="1">
      <c r="A18" s="5" t="s">
        <v>62</v>
      </c>
      <c r="B18" s="5" t="s">
        <v>9</v>
      </c>
      <c r="C18" s="5" t="s">
        <v>63</v>
      </c>
      <c r="D18" s="19" t="s">
        <v>64</v>
      </c>
      <c r="E18" s="5" t="s">
        <v>34</v>
      </c>
      <c r="F18" s="14">
        <v>0</v>
      </c>
      <c r="G18" s="8"/>
      <c r="H18" s="10" t="str">
        <f t="shared" si="0"/>
        <v/>
      </c>
      <c r="I18" s="19" t="s">
        <v>65</v>
      </c>
    </row>
    <row r="19" spans="1:9" ht="27.95" customHeight="1">
      <c r="A19" s="5" t="s">
        <v>66</v>
      </c>
      <c r="B19" s="5" t="s">
        <v>9</v>
      </c>
      <c r="C19" s="5" t="s">
        <v>63</v>
      </c>
      <c r="D19" s="19" t="s">
        <v>67</v>
      </c>
      <c r="E19" s="5" t="s">
        <v>47</v>
      </c>
      <c r="F19" s="14">
        <v>0</v>
      </c>
      <c r="G19" s="8"/>
      <c r="H19" s="10" t="str">
        <f t="shared" si="0"/>
        <v/>
      </c>
      <c r="I19" s="19" t="s">
        <v>68</v>
      </c>
    </row>
    <row r="20" spans="1:9" ht="27.95" customHeight="1">
      <c r="A20" s="5" t="s">
        <v>69</v>
      </c>
      <c r="B20" s="5" t="s">
        <v>9</v>
      </c>
      <c r="C20" s="5" t="s">
        <v>63</v>
      </c>
      <c r="D20" s="19" t="s">
        <v>70</v>
      </c>
      <c r="E20" s="5" t="s">
        <v>47</v>
      </c>
      <c r="F20" s="14">
        <v>0</v>
      </c>
      <c r="G20" s="8"/>
      <c r="H20" s="10" t="str">
        <f t="shared" si="0"/>
        <v/>
      </c>
      <c r="I20" s="19" t="s">
        <v>68</v>
      </c>
    </row>
    <row r="21" spans="1:9" ht="27.95" customHeight="1">
      <c r="A21" s="5" t="s">
        <v>71</v>
      </c>
      <c r="B21" s="5" t="s">
        <v>9</v>
      </c>
      <c r="C21" s="5" t="s">
        <v>63</v>
      </c>
      <c r="D21" s="19" t="s">
        <v>72</v>
      </c>
      <c r="E21" s="5" t="s">
        <v>57</v>
      </c>
      <c r="F21" s="14">
        <v>0</v>
      </c>
      <c r="G21" s="8"/>
      <c r="H21" s="10" t="str">
        <f t="shared" si="0"/>
        <v/>
      </c>
      <c r="I21" s="19" t="s">
        <v>73</v>
      </c>
    </row>
    <row r="22" spans="1:9" ht="27.95" customHeight="1">
      <c r="A22" s="5" t="s">
        <v>74</v>
      </c>
      <c r="B22" s="5" t="s">
        <v>9</v>
      </c>
      <c r="C22" s="5" t="s">
        <v>63</v>
      </c>
      <c r="D22" s="19" t="s">
        <v>75</v>
      </c>
      <c r="E22" s="5" t="s">
        <v>57</v>
      </c>
      <c r="F22" s="14">
        <v>0</v>
      </c>
      <c r="G22" s="8"/>
      <c r="H22" s="10" t="str">
        <f t="shared" si="0"/>
        <v/>
      </c>
      <c r="I22" s="19" t="s">
        <v>73</v>
      </c>
    </row>
    <row r="23" spans="1:9" ht="27.95" customHeight="1">
      <c r="A23" s="5" t="s">
        <v>76</v>
      </c>
      <c r="B23" s="5" t="s">
        <v>9</v>
      </c>
      <c r="C23" s="5" t="s">
        <v>63</v>
      </c>
      <c r="D23" s="19" t="s">
        <v>77</v>
      </c>
      <c r="E23" s="5" t="s">
        <v>57</v>
      </c>
      <c r="F23" s="14">
        <v>0</v>
      </c>
      <c r="G23" s="8"/>
      <c r="H23" s="10" t="str">
        <f t="shared" si="0"/>
        <v/>
      </c>
      <c r="I23" s="19" t="s">
        <v>78</v>
      </c>
    </row>
    <row r="24" spans="1:9" ht="27.95" customHeight="1">
      <c r="A24" s="5" t="s">
        <v>79</v>
      </c>
      <c r="B24" s="5" t="s">
        <v>9</v>
      </c>
      <c r="C24" s="5" t="s">
        <v>63</v>
      </c>
      <c r="D24" s="19" t="s">
        <v>80</v>
      </c>
      <c r="E24" s="5" t="s">
        <v>57</v>
      </c>
      <c r="F24" s="14">
        <v>0</v>
      </c>
      <c r="G24" s="8"/>
      <c r="H24" s="10" t="str">
        <f t="shared" si="0"/>
        <v/>
      </c>
      <c r="I24" s="19" t="s">
        <v>81</v>
      </c>
    </row>
    <row r="25" spans="1:9" ht="27.95" customHeight="1">
      <c r="A25" s="5" t="s">
        <v>82</v>
      </c>
      <c r="B25" s="5" t="s">
        <v>9</v>
      </c>
      <c r="C25" s="5" t="s">
        <v>63</v>
      </c>
      <c r="D25" s="19" t="s">
        <v>83</v>
      </c>
      <c r="E25" s="5" t="s">
        <v>34</v>
      </c>
      <c r="F25" s="14">
        <v>0</v>
      </c>
      <c r="G25" s="8"/>
      <c r="H25" s="10" t="str">
        <f t="shared" si="0"/>
        <v/>
      </c>
      <c r="I25" s="19" t="s">
        <v>84</v>
      </c>
    </row>
    <row r="26" spans="1:9" ht="27.95" customHeight="1">
      <c r="A26" s="5" t="s">
        <v>85</v>
      </c>
      <c r="B26" s="5" t="s">
        <v>9</v>
      </c>
      <c r="C26" s="5" t="s">
        <v>63</v>
      </c>
      <c r="D26" s="19" t="s">
        <v>86</v>
      </c>
      <c r="E26" s="5" t="s">
        <v>43</v>
      </c>
      <c r="F26" s="14">
        <v>0</v>
      </c>
      <c r="G26" s="8"/>
      <c r="H26" s="10" t="str">
        <f t="shared" si="0"/>
        <v/>
      </c>
      <c r="I26" s="19" t="s">
        <v>87</v>
      </c>
    </row>
    <row r="27" spans="1:9" ht="27.95" customHeight="1">
      <c r="A27" s="5" t="s">
        <v>88</v>
      </c>
      <c r="B27" s="5" t="s">
        <v>9</v>
      </c>
      <c r="C27" s="5" t="s">
        <v>63</v>
      </c>
      <c r="D27" s="19" t="s">
        <v>89</v>
      </c>
      <c r="E27" s="5" t="s">
        <v>57</v>
      </c>
      <c r="F27" s="14">
        <v>0</v>
      </c>
      <c r="G27" s="8"/>
      <c r="H27" s="10" t="str">
        <f t="shared" si="0"/>
        <v/>
      </c>
      <c r="I27" s="19" t="s">
        <v>90</v>
      </c>
    </row>
    <row r="28" spans="1:9" ht="27.95" customHeight="1">
      <c r="A28" s="5" t="s">
        <v>91</v>
      </c>
      <c r="B28" s="5" t="s">
        <v>9</v>
      </c>
      <c r="C28" s="5" t="s">
        <v>63</v>
      </c>
      <c r="D28" s="19" t="s">
        <v>92</v>
      </c>
      <c r="E28" s="5" t="s">
        <v>34</v>
      </c>
      <c r="F28" s="14">
        <v>0</v>
      </c>
      <c r="G28" s="8"/>
      <c r="H28" s="10" t="str">
        <f t="shared" si="0"/>
        <v/>
      </c>
      <c r="I28" s="19" t="s">
        <v>61</v>
      </c>
    </row>
    <row r="29" spans="1:9" ht="27.95" customHeight="1">
      <c r="A29" s="5" t="s">
        <v>93</v>
      </c>
      <c r="B29" s="5" t="s">
        <v>9</v>
      </c>
      <c r="C29" s="5" t="s">
        <v>94</v>
      </c>
      <c r="D29" s="19" t="s">
        <v>95</v>
      </c>
      <c r="E29" s="5" t="s">
        <v>43</v>
      </c>
      <c r="F29" s="14">
        <v>0</v>
      </c>
      <c r="G29" s="8"/>
      <c r="H29" s="10" t="str">
        <f t="shared" si="0"/>
        <v/>
      </c>
      <c r="I29" s="19" t="s">
        <v>96</v>
      </c>
    </row>
    <row r="30" spans="1:9" ht="27.95" customHeight="1">
      <c r="A30" s="5" t="s">
        <v>97</v>
      </c>
      <c r="B30" s="5" t="s">
        <v>9</v>
      </c>
      <c r="C30" s="5" t="s">
        <v>94</v>
      </c>
      <c r="D30" s="19" t="s">
        <v>98</v>
      </c>
      <c r="E30" s="5" t="s">
        <v>47</v>
      </c>
      <c r="F30" s="14">
        <v>0</v>
      </c>
      <c r="G30" s="8"/>
      <c r="H30" s="10" t="str">
        <f t="shared" si="0"/>
        <v/>
      </c>
      <c r="I30" s="19" t="s">
        <v>99</v>
      </c>
    </row>
    <row r="31" spans="1:9" ht="27.95" customHeight="1">
      <c r="A31" s="5" t="s">
        <v>100</v>
      </c>
      <c r="B31" s="5" t="s">
        <v>9</v>
      </c>
      <c r="C31" s="5" t="s">
        <v>101</v>
      </c>
      <c r="D31" s="19" t="s">
        <v>102</v>
      </c>
      <c r="E31" s="5" t="s">
        <v>47</v>
      </c>
      <c r="F31" s="14">
        <v>0</v>
      </c>
      <c r="G31" s="8"/>
      <c r="H31" s="10" t="str">
        <f t="shared" si="0"/>
        <v/>
      </c>
      <c r="I31" s="19" t="s">
        <v>103</v>
      </c>
    </row>
    <row r="32" spans="1:9" ht="27.95" customHeight="1">
      <c r="A32" s="5" t="s">
        <v>104</v>
      </c>
      <c r="B32" s="5" t="s">
        <v>9</v>
      </c>
      <c r="C32" s="5" t="s">
        <v>101</v>
      </c>
      <c r="D32" s="19" t="s">
        <v>105</v>
      </c>
      <c r="E32" s="5" t="s">
        <v>47</v>
      </c>
      <c r="F32" s="14">
        <v>0</v>
      </c>
      <c r="G32" s="8"/>
      <c r="H32" s="10" t="str">
        <f t="shared" si="0"/>
        <v/>
      </c>
      <c r="I32" s="19" t="s">
        <v>103</v>
      </c>
    </row>
    <row r="33" spans="1:9" ht="27.95" customHeight="1">
      <c r="A33" s="5" t="s">
        <v>106</v>
      </c>
      <c r="B33" s="5" t="s">
        <v>9</v>
      </c>
      <c r="C33" s="5" t="s">
        <v>101</v>
      </c>
      <c r="D33" s="19" t="s">
        <v>107</v>
      </c>
      <c r="E33" s="5" t="s">
        <v>57</v>
      </c>
      <c r="F33" s="14">
        <v>0</v>
      </c>
      <c r="G33" s="8"/>
      <c r="H33" s="10" t="str">
        <f t="shared" si="0"/>
        <v/>
      </c>
      <c r="I33" s="19" t="s">
        <v>103</v>
      </c>
    </row>
    <row r="34" spans="1:9" ht="27.95" customHeight="1">
      <c r="A34" s="5" t="s">
        <v>108</v>
      </c>
      <c r="B34" s="5" t="s">
        <v>9</v>
      </c>
      <c r="C34" s="5" t="s">
        <v>101</v>
      </c>
      <c r="D34" s="19" t="s">
        <v>109</v>
      </c>
      <c r="E34" s="5" t="s">
        <v>57</v>
      </c>
      <c r="F34" s="14">
        <v>0</v>
      </c>
      <c r="G34" s="8"/>
      <c r="H34" s="10" t="str">
        <f t="shared" si="0"/>
        <v/>
      </c>
      <c r="I34" s="19" t="s">
        <v>103</v>
      </c>
    </row>
    <row r="35" spans="1:9" ht="27.95" customHeight="1">
      <c r="A35" s="5" t="s">
        <v>110</v>
      </c>
      <c r="B35" s="5" t="s">
        <v>9</v>
      </c>
      <c r="C35" s="5" t="s">
        <v>101</v>
      </c>
      <c r="D35" s="19" t="s">
        <v>111</v>
      </c>
      <c r="E35" s="5" t="s">
        <v>34</v>
      </c>
      <c r="F35" s="14">
        <v>0</v>
      </c>
      <c r="G35" s="8"/>
      <c r="H35" s="10" t="str">
        <f t="shared" si="0"/>
        <v/>
      </c>
      <c r="I35" s="19" t="s">
        <v>103</v>
      </c>
    </row>
    <row r="36" spans="1:9" ht="27.95" customHeight="1">
      <c r="A36" s="5" t="s">
        <v>112</v>
      </c>
      <c r="B36" s="5" t="s">
        <v>9</v>
      </c>
      <c r="C36" s="5" t="s">
        <v>113</v>
      </c>
      <c r="D36" s="19" t="s">
        <v>114</v>
      </c>
      <c r="E36" s="5" t="s">
        <v>57</v>
      </c>
      <c r="F36" s="14">
        <v>0</v>
      </c>
      <c r="G36" s="8"/>
      <c r="H36" s="10" t="str">
        <f t="shared" si="0"/>
        <v/>
      </c>
      <c r="I36" s="19" t="s">
        <v>115</v>
      </c>
    </row>
    <row r="37" spans="1:9" ht="27.95" customHeight="1">
      <c r="A37" s="5" t="s">
        <v>116</v>
      </c>
      <c r="B37" s="5" t="s">
        <v>9</v>
      </c>
      <c r="C37" s="5" t="s">
        <v>113</v>
      </c>
      <c r="D37" s="19" t="s">
        <v>117</v>
      </c>
      <c r="E37" s="5" t="s">
        <v>57</v>
      </c>
      <c r="F37" s="14">
        <v>0</v>
      </c>
      <c r="G37" s="8"/>
      <c r="H37" s="10" t="str">
        <f t="shared" si="0"/>
        <v/>
      </c>
      <c r="I37" s="19" t="s">
        <v>118</v>
      </c>
    </row>
    <row r="38" spans="1:9" ht="27.95" customHeight="1">
      <c r="A38" s="5" t="s">
        <v>119</v>
      </c>
      <c r="B38" s="5" t="s">
        <v>9</v>
      </c>
      <c r="C38" s="5" t="s">
        <v>113</v>
      </c>
      <c r="D38" s="19" t="s">
        <v>120</v>
      </c>
      <c r="E38" s="5" t="s">
        <v>57</v>
      </c>
      <c r="F38" s="14">
        <v>0</v>
      </c>
      <c r="G38" s="8"/>
      <c r="H38" s="10" t="str">
        <f t="shared" si="0"/>
        <v/>
      </c>
      <c r="I38" s="19" t="s">
        <v>121</v>
      </c>
    </row>
    <row r="39" spans="1:9" ht="27.95" customHeight="1">
      <c r="A39" s="5" t="s">
        <v>122</v>
      </c>
      <c r="B39" s="5" t="s">
        <v>9</v>
      </c>
      <c r="C39" s="5" t="s">
        <v>113</v>
      </c>
      <c r="D39" s="19" t="s">
        <v>123</v>
      </c>
      <c r="E39" s="5" t="s">
        <v>34</v>
      </c>
      <c r="F39" s="14">
        <v>0</v>
      </c>
      <c r="G39" s="8"/>
      <c r="H39" s="10" t="str">
        <f t="shared" si="0"/>
        <v/>
      </c>
      <c r="I39" s="19" t="s">
        <v>124</v>
      </c>
    </row>
    <row r="40" spans="1:9" ht="27.95" customHeight="1">
      <c r="A40" s="5" t="s">
        <v>125</v>
      </c>
      <c r="B40" s="5" t="s">
        <v>9</v>
      </c>
      <c r="C40" s="5" t="s">
        <v>113</v>
      </c>
      <c r="D40" s="19" t="s">
        <v>126</v>
      </c>
      <c r="E40" s="5" t="s">
        <v>47</v>
      </c>
      <c r="F40" s="14">
        <v>0</v>
      </c>
      <c r="G40" s="8"/>
      <c r="H40" s="10" t="str">
        <f t="shared" si="0"/>
        <v/>
      </c>
      <c r="I40" s="19" t="s">
        <v>127</v>
      </c>
    </row>
    <row r="41" spans="1:9" ht="27.95" customHeight="1">
      <c r="A41" s="5" t="s">
        <v>128</v>
      </c>
      <c r="B41" s="5" t="s">
        <v>9</v>
      </c>
      <c r="C41" s="5" t="s">
        <v>113</v>
      </c>
      <c r="D41" s="19" t="s">
        <v>129</v>
      </c>
      <c r="E41" s="5" t="s">
        <v>47</v>
      </c>
      <c r="F41" s="14">
        <v>0</v>
      </c>
      <c r="G41" s="8"/>
      <c r="H41" s="10" t="str">
        <f t="shared" si="0"/>
        <v/>
      </c>
      <c r="I41" s="19" t="s">
        <v>127</v>
      </c>
    </row>
    <row r="42" spans="1:9" ht="27.95" customHeight="1">
      <c r="A42" s="5" t="s">
        <v>130</v>
      </c>
      <c r="B42" s="5" t="s">
        <v>9</v>
      </c>
      <c r="C42" s="5" t="s">
        <v>113</v>
      </c>
      <c r="D42" s="19" t="s">
        <v>131</v>
      </c>
      <c r="E42" s="5" t="s">
        <v>34</v>
      </c>
      <c r="F42" s="14">
        <v>0</v>
      </c>
      <c r="G42" s="8"/>
      <c r="H42" s="10" t="str">
        <f t="shared" si="0"/>
        <v/>
      </c>
      <c r="I42" s="19" t="s">
        <v>132</v>
      </c>
    </row>
    <row r="43" spans="1:9" ht="27.95" customHeight="1">
      <c r="A43" s="6" t="s">
        <v>133</v>
      </c>
      <c r="B43" s="6" t="s">
        <v>9</v>
      </c>
      <c r="C43" s="6" t="s">
        <v>134</v>
      </c>
      <c r="D43" s="20" t="s">
        <v>135</v>
      </c>
      <c r="E43" s="6" t="s">
        <v>34</v>
      </c>
      <c r="F43" s="15">
        <v>0</v>
      </c>
      <c r="G43" s="8"/>
      <c r="H43" s="11" t="str">
        <f t="shared" si="0"/>
        <v/>
      </c>
      <c r="I43" s="20" t="s">
        <v>136</v>
      </c>
    </row>
    <row r="44" spans="1:9" ht="23.1" customHeight="1">
      <c r="A44" s="33" t="s">
        <v>137</v>
      </c>
      <c r="B44" s="34"/>
      <c r="C44" s="34"/>
      <c r="D44" s="37"/>
      <c r="E44" s="34"/>
      <c r="F44" s="38"/>
      <c r="G44" s="34"/>
      <c r="H44" s="3">
        <f>SUM(H10:H43)</f>
        <v>0</v>
      </c>
      <c r="I44" s="23"/>
    </row>
    <row r="45" spans="1:9">
      <c r="D45" s="21"/>
      <c r="F45" s="16"/>
      <c r="I45" s="21"/>
    </row>
    <row r="46" spans="1:9" ht="21.95" customHeight="1">
      <c r="A46" s="28" t="s">
        <v>138</v>
      </c>
      <c r="B46" s="29" t="s">
        <v>138</v>
      </c>
      <c r="C46" s="29" t="s">
        <v>138</v>
      </c>
      <c r="D46" s="30" t="s">
        <v>138</v>
      </c>
      <c r="E46" s="29" t="s">
        <v>138</v>
      </c>
      <c r="F46" s="31" t="s">
        <v>138</v>
      </c>
      <c r="G46" s="29" t="s">
        <v>138</v>
      </c>
      <c r="H46" s="29" t="s">
        <v>138</v>
      </c>
      <c r="I46" s="32" t="s">
        <v>138</v>
      </c>
    </row>
    <row r="47" spans="1:9" ht="27.95" customHeight="1">
      <c r="A47" s="4" t="s">
        <v>139</v>
      </c>
      <c r="B47" s="4" t="s">
        <v>140</v>
      </c>
      <c r="C47" s="4" t="s">
        <v>52</v>
      </c>
      <c r="D47" s="18" t="s">
        <v>53</v>
      </c>
      <c r="E47" s="4" t="s">
        <v>43</v>
      </c>
      <c r="F47" s="13">
        <v>0</v>
      </c>
      <c r="G47" s="8"/>
      <c r="H47" s="9" t="str">
        <f t="shared" ref="H47:H55" si="1">IF(G47="","",F47*G47)</f>
        <v/>
      </c>
      <c r="I47" s="18" t="s">
        <v>141</v>
      </c>
    </row>
    <row r="48" spans="1:9" ht="27.95" customHeight="1">
      <c r="A48" s="5" t="s">
        <v>142</v>
      </c>
      <c r="B48" s="5" t="s">
        <v>140</v>
      </c>
      <c r="C48" s="5" t="s">
        <v>52</v>
      </c>
      <c r="D48" s="19" t="s">
        <v>56</v>
      </c>
      <c r="E48" s="5" t="s">
        <v>57</v>
      </c>
      <c r="F48" s="14">
        <v>0</v>
      </c>
      <c r="G48" s="8"/>
      <c r="H48" s="10" t="str">
        <f t="shared" si="1"/>
        <v/>
      </c>
      <c r="I48" s="19" t="s">
        <v>143</v>
      </c>
    </row>
    <row r="49" spans="1:9" ht="27.95" customHeight="1">
      <c r="A49" s="5" t="s">
        <v>144</v>
      </c>
      <c r="B49" s="5" t="s">
        <v>140</v>
      </c>
      <c r="C49" s="5" t="s">
        <v>63</v>
      </c>
      <c r="D49" s="19" t="s">
        <v>145</v>
      </c>
      <c r="E49" s="5" t="s">
        <v>47</v>
      </c>
      <c r="F49" s="14">
        <v>0</v>
      </c>
      <c r="G49" s="8"/>
      <c r="H49" s="10" t="str">
        <f t="shared" si="1"/>
        <v/>
      </c>
      <c r="I49" s="19" t="s">
        <v>143</v>
      </c>
    </row>
    <row r="50" spans="1:9" ht="27.95" customHeight="1">
      <c r="A50" s="5" t="s">
        <v>146</v>
      </c>
      <c r="B50" s="5" t="s">
        <v>140</v>
      </c>
      <c r="C50" s="5" t="s">
        <v>63</v>
      </c>
      <c r="D50" s="19" t="s">
        <v>70</v>
      </c>
      <c r="E50" s="5" t="s">
        <v>47</v>
      </c>
      <c r="F50" s="14">
        <v>0</v>
      </c>
      <c r="G50" s="8"/>
      <c r="H50" s="10" t="str">
        <f t="shared" si="1"/>
        <v/>
      </c>
      <c r="I50" s="19" t="s">
        <v>143</v>
      </c>
    </row>
    <row r="51" spans="1:9" ht="27.95" customHeight="1">
      <c r="A51" s="5" t="s">
        <v>147</v>
      </c>
      <c r="B51" s="5" t="s">
        <v>140</v>
      </c>
      <c r="C51" s="5" t="s">
        <v>63</v>
      </c>
      <c r="D51" s="19" t="s">
        <v>72</v>
      </c>
      <c r="E51" s="5" t="s">
        <v>57</v>
      </c>
      <c r="F51" s="14">
        <v>0</v>
      </c>
      <c r="G51" s="8"/>
      <c r="H51" s="10" t="str">
        <f t="shared" si="1"/>
        <v/>
      </c>
      <c r="I51" s="19" t="s">
        <v>148</v>
      </c>
    </row>
    <row r="52" spans="1:9" ht="27.95" customHeight="1">
      <c r="A52" s="5" t="s">
        <v>149</v>
      </c>
      <c r="B52" s="5" t="s">
        <v>140</v>
      </c>
      <c r="C52" s="5" t="s">
        <v>63</v>
      </c>
      <c r="D52" s="19" t="s">
        <v>77</v>
      </c>
      <c r="E52" s="5" t="s">
        <v>57</v>
      </c>
      <c r="F52" s="14">
        <v>0</v>
      </c>
      <c r="G52" s="8"/>
      <c r="H52" s="10" t="str">
        <f t="shared" si="1"/>
        <v/>
      </c>
      <c r="I52" s="19" t="s">
        <v>150</v>
      </c>
    </row>
    <row r="53" spans="1:9" ht="27.95" customHeight="1">
      <c r="A53" s="5" t="s">
        <v>151</v>
      </c>
      <c r="B53" s="5" t="s">
        <v>140</v>
      </c>
      <c r="C53" s="5" t="s">
        <v>113</v>
      </c>
      <c r="D53" s="19" t="s">
        <v>117</v>
      </c>
      <c r="E53" s="5" t="s">
        <v>57</v>
      </c>
      <c r="F53" s="14">
        <v>0</v>
      </c>
      <c r="G53" s="8"/>
      <c r="H53" s="10" t="str">
        <f t="shared" si="1"/>
        <v/>
      </c>
      <c r="I53" s="19" t="s">
        <v>118</v>
      </c>
    </row>
    <row r="54" spans="1:9" ht="27.95" customHeight="1">
      <c r="A54" s="5" t="s">
        <v>152</v>
      </c>
      <c r="B54" s="5" t="s">
        <v>140</v>
      </c>
      <c r="C54" s="5" t="s">
        <v>113</v>
      </c>
      <c r="D54" s="19" t="s">
        <v>153</v>
      </c>
      <c r="E54" s="5" t="s">
        <v>47</v>
      </c>
      <c r="F54" s="14">
        <v>0</v>
      </c>
      <c r="G54" s="8"/>
      <c r="H54" s="10" t="str">
        <f t="shared" si="1"/>
        <v/>
      </c>
      <c r="I54" s="19" t="s">
        <v>118</v>
      </c>
    </row>
    <row r="55" spans="1:9" ht="27.95" customHeight="1">
      <c r="A55" s="6" t="s">
        <v>154</v>
      </c>
      <c r="B55" s="6" t="s">
        <v>140</v>
      </c>
      <c r="C55" s="6" t="s">
        <v>134</v>
      </c>
      <c r="D55" s="20" t="s">
        <v>155</v>
      </c>
      <c r="E55" s="6" t="s">
        <v>34</v>
      </c>
      <c r="F55" s="15">
        <v>0</v>
      </c>
      <c r="G55" s="8"/>
      <c r="H55" s="11" t="str">
        <f t="shared" si="1"/>
        <v/>
      </c>
      <c r="I55" s="20" t="s">
        <v>136</v>
      </c>
    </row>
    <row r="56" spans="1:9" ht="23.1" customHeight="1">
      <c r="A56" s="33" t="s">
        <v>156</v>
      </c>
      <c r="B56" s="34"/>
      <c r="C56" s="34"/>
      <c r="D56" s="37"/>
      <c r="E56" s="34"/>
      <c r="F56" s="38"/>
      <c r="G56" s="34"/>
      <c r="H56" s="3">
        <f>SUM(H47:H55)</f>
        <v>0</v>
      </c>
      <c r="I56" s="23"/>
    </row>
    <row r="57" spans="1:9">
      <c r="D57" s="21"/>
      <c r="F57" s="16"/>
      <c r="I57" s="21"/>
    </row>
    <row r="58" spans="1:9" ht="21.95" customHeight="1">
      <c r="A58" s="28" t="s">
        <v>157</v>
      </c>
      <c r="B58" s="29" t="s">
        <v>157</v>
      </c>
      <c r="C58" s="29" t="s">
        <v>157</v>
      </c>
      <c r="D58" s="30" t="s">
        <v>157</v>
      </c>
      <c r="E58" s="29" t="s">
        <v>157</v>
      </c>
      <c r="F58" s="31" t="s">
        <v>157</v>
      </c>
      <c r="G58" s="29" t="s">
        <v>157</v>
      </c>
      <c r="H58" s="29" t="s">
        <v>157</v>
      </c>
      <c r="I58" s="32" t="s">
        <v>157</v>
      </c>
    </row>
    <row r="59" spans="1:9" ht="42" customHeight="1">
      <c r="A59" s="7" t="s">
        <v>158</v>
      </c>
      <c r="B59" s="7" t="s">
        <v>159</v>
      </c>
      <c r="C59" s="7" t="s">
        <v>63</v>
      </c>
      <c r="D59" s="22" t="s">
        <v>160</v>
      </c>
      <c r="E59" s="7" t="s">
        <v>34</v>
      </c>
      <c r="F59" s="17">
        <v>0</v>
      </c>
      <c r="G59" s="8"/>
      <c r="H59" s="12" t="str">
        <f>IF(G59="","",F59*G59)</f>
        <v/>
      </c>
      <c r="I59" s="22" t="s">
        <v>161</v>
      </c>
    </row>
    <row r="60" spans="1:9" ht="23.1" customHeight="1">
      <c r="A60" s="33" t="s">
        <v>162</v>
      </c>
      <c r="B60" s="34"/>
      <c r="C60" s="34"/>
      <c r="D60" s="34"/>
      <c r="E60" s="34"/>
      <c r="F60" s="34"/>
      <c r="G60" s="34"/>
      <c r="H60" s="3">
        <f>SUM(H59:H59)</f>
        <v>0</v>
      </c>
      <c r="I60" s="2"/>
    </row>
  </sheetData>
  <mergeCells count="12">
    <mergeCell ref="A1:I1"/>
    <mergeCell ref="A2:I2"/>
    <mergeCell ref="A4:B4"/>
    <mergeCell ref="C4:F4"/>
    <mergeCell ref="H4:I4"/>
    <mergeCell ref="A58:I58"/>
    <mergeCell ref="A60:G60"/>
    <mergeCell ref="A6:I6"/>
    <mergeCell ref="A9:I9"/>
    <mergeCell ref="A44:G44"/>
    <mergeCell ref="A46:I46"/>
    <mergeCell ref="A56:G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Bid Summary</vt:lpstr>
      <vt:lpstr>Bid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Ferguson</dc:creator>
  <cp:lastModifiedBy>Greenwalt, Blaine - FS, AZ</cp:lastModifiedBy>
  <dcterms:created xsi:type="dcterms:W3CDTF">2026-09-02T10:18:17Z</dcterms:created>
  <dcterms:modified xsi:type="dcterms:W3CDTF">2026-09-02T21:28:39Z</dcterms:modified>
</cp:coreProperties>
</file>