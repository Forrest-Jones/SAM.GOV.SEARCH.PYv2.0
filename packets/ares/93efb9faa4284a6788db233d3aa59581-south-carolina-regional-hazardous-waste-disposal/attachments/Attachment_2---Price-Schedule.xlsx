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Z:\DispSvcs_P\DispSvcs_PS_Only\PSR Requirements Branch\HW Requirements Team\HW Disposal Contracts\Jackson Shaw 22-D-0003\04_Submitted PR Documents\Finals for Submission\"/>
    </mc:Choice>
  </mc:AlternateContent>
  <xr:revisionPtr revIDLastSave="0" documentId="8_{7C86D8A6-32F4-4AF8-A01B-DA3D462EDBA9}" xr6:coauthVersionLast="47" xr6:coauthVersionMax="47" xr10:uidLastSave="{00000000-0000-0000-0000-000000000000}"/>
  <bookViews>
    <workbookView xWindow="-120" yWindow="90" windowWidth="29040" windowHeight="15510" xr2:uid="{00000000-000D-0000-FFFF-FFFF00000000}"/>
  </bookViews>
  <sheets>
    <sheet name="Base Period" sheetId="5" r:id="rId1"/>
    <sheet name="Option" sheetId="1" r:id="rId2"/>
    <sheet name="CLIN Suffix Table" sheetId="4" r:id="rId3"/>
    <sheet name="CGC Cross Reference Table" sheetId="3" r:id="rId4"/>
  </sheets>
  <definedNames>
    <definedName name="_xlnm._FilterDatabase" localSheetId="0" hidden="1">'Base Period'!$A$6:$E$376</definedName>
    <definedName name="_xlnm._FilterDatabase" localSheetId="3" hidden="1">'CGC Cross Reference Table'!$A$1:$B$896</definedName>
    <definedName name="_xlnm._FilterDatabase" localSheetId="1" hidden="1">Option!$A$6:$E$376</definedName>
    <definedName name="_xlnm.Print_Area" localSheetId="2">'CLIN Suffix Table'!$A$1:$F$37</definedName>
    <definedName name="_xlnm.Print_Titles" localSheetId="0">'Base Period'!#REF!</definedName>
    <definedName name="_xlnm.Print_Titles" localSheetId="1">Option!#REF!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76" i="5" l="1"/>
  <c r="E376" i="5"/>
  <c r="G375" i="5"/>
  <c r="E375" i="5"/>
  <c r="G374" i="5"/>
  <c r="E374" i="5"/>
  <c r="G373" i="5"/>
  <c r="E373" i="5"/>
  <c r="G372" i="5"/>
  <c r="E372" i="5"/>
  <c r="G371" i="5"/>
  <c r="E371" i="5"/>
  <c r="G370" i="5"/>
  <c r="E370" i="5"/>
  <c r="G369" i="5"/>
  <c r="E369" i="5"/>
  <c r="G368" i="5"/>
  <c r="E368" i="5"/>
  <c r="G367" i="5"/>
  <c r="E367" i="5"/>
  <c r="G366" i="5"/>
  <c r="E366" i="5"/>
  <c r="G365" i="5"/>
  <c r="E365" i="5"/>
  <c r="G364" i="5"/>
  <c r="E364" i="5"/>
  <c r="G363" i="5"/>
  <c r="E363" i="5"/>
  <c r="G362" i="5"/>
  <c r="E362" i="5"/>
  <c r="G361" i="5"/>
  <c r="E361" i="5"/>
  <c r="G360" i="5"/>
  <c r="E360" i="5"/>
  <c r="G359" i="5"/>
  <c r="E359" i="5"/>
  <c r="G358" i="5"/>
  <c r="E358" i="5"/>
  <c r="G357" i="5"/>
  <c r="E357" i="5"/>
  <c r="G356" i="5"/>
  <c r="E356" i="5"/>
  <c r="G355" i="5"/>
  <c r="E355" i="5"/>
  <c r="G354" i="5"/>
  <c r="E354" i="5"/>
  <c r="G353" i="5"/>
  <c r="E353" i="5"/>
  <c r="G352" i="5"/>
  <c r="E352" i="5"/>
  <c r="G351" i="5"/>
  <c r="G350" i="5"/>
  <c r="E350" i="5"/>
  <c r="G349" i="5"/>
  <c r="E349" i="5"/>
  <c r="G348" i="5"/>
  <c r="E348" i="5"/>
  <c r="G347" i="5"/>
  <c r="E347" i="5"/>
  <c r="G346" i="5"/>
  <c r="E346" i="5"/>
  <c r="G345" i="5"/>
  <c r="E345" i="5"/>
  <c r="G344" i="5"/>
  <c r="E344" i="5"/>
  <c r="G343" i="5"/>
  <c r="E343" i="5"/>
  <c r="G342" i="5"/>
  <c r="E342" i="5"/>
  <c r="G341" i="5"/>
  <c r="E341" i="5"/>
  <c r="G340" i="5"/>
  <c r="E340" i="5"/>
  <c r="G339" i="5"/>
  <c r="G338" i="5"/>
  <c r="G337" i="5"/>
  <c r="E337" i="5"/>
  <c r="G336" i="5"/>
  <c r="E336" i="5"/>
  <c r="G335" i="5"/>
  <c r="E335" i="5"/>
  <c r="G334" i="5"/>
  <c r="E334" i="5"/>
  <c r="G333" i="5"/>
  <c r="E333" i="5"/>
  <c r="G332" i="5"/>
  <c r="E332" i="5"/>
  <c r="G331" i="5"/>
  <c r="E331" i="5"/>
  <c r="G330" i="5"/>
  <c r="E330" i="5"/>
  <c r="G329" i="5"/>
  <c r="E329" i="5"/>
  <c r="G328" i="5"/>
  <c r="E328" i="5"/>
  <c r="G327" i="5"/>
  <c r="E327" i="5"/>
  <c r="G326" i="5"/>
  <c r="E326" i="5"/>
  <c r="G325" i="5"/>
  <c r="E325" i="5"/>
  <c r="G324" i="5"/>
  <c r="E324" i="5"/>
  <c r="G323" i="5"/>
  <c r="E323" i="5"/>
  <c r="G322" i="5"/>
  <c r="E322" i="5"/>
  <c r="G321" i="5"/>
  <c r="E321" i="5"/>
  <c r="G320" i="5"/>
  <c r="E320" i="5"/>
  <c r="G319" i="5"/>
  <c r="E319" i="5"/>
  <c r="G318" i="5"/>
  <c r="E318" i="5"/>
  <c r="G317" i="5"/>
  <c r="E317" i="5"/>
  <c r="G316" i="5"/>
  <c r="G315" i="5"/>
  <c r="G314" i="5"/>
  <c r="G313" i="5"/>
  <c r="G312" i="5"/>
  <c r="E312" i="5"/>
  <c r="G311" i="5"/>
  <c r="E311" i="5"/>
  <c r="G310" i="5"/>
  <c r="E310" i="5"/>
  <c r="G309" i="5"/>
  <c r="E309" i="5"/>
  <c r="G308" i="5"/>
  <c r="G307" i="5"/>
  <c r="E307" i="5"/>
  <c r="G306" i="5"/>
  <c r="E306" i="5"/>
  <c r="G305" i="5"/>
  <c r="E305" i="5"/>
  <c r="G304" i="5"/>
  <c r="E304" i="5"/>
  <c r="G303" i="5"/>
  <c r="E303" i="5"/>
  <c r="G302" i="5"/>
  <c r="E302" i="5"/>
  <c r="G301" i="5"/>
  <c r="E301" i="5"/>
  <c r="G300" i="5"/>
  <c r="E300" i="5"/>
  <c r="G299" i="5"/>
  <c r="E299" i="5"/>
  <c r="G298" i="5"/>
  <c r="E298" i="5"/>
  <c r="G297" i="5"/>
  <c r="E297" i="5"/>
  <c r="G296" i="5"/>
  <c r="E296" i="5"/>
  <c r="G295" i="5"/>
  <c r="G294" i="5"/>
  <c r="G293" i="5"/>
  <c r="G292" i="5"/>
  <c r="G291" i="5"/>
  <c r="G290" i="5"/>
  <c r="G289" i="5"/>
  <c r="G288" i="5"/>
  <c r="G287" i="5"/>
  <c r="G286" i="5"/>
  <c r="G285" i="5"/>
  <c r="G284" i="5"/>
  <c r="G283" i="5"/>
  <c r="G282" i="5"/>
  <c r="G281" i="5"/>
  <c r="G280" i="5"/>
  <c r="G279" i="5"/>
  <c r="G278" i="5"/>
  <c r="G277" i="5"/>
  <c r="G276" i="5"/>
  <c r="G275" i="5"/>
  <c r="G274" i="5"/>
  <c r="G273" i="5"/>
  <c r="E273" i="5"/>
  <c r="G272" i="5"/>
  <c r="G271" i="5"/>
  <c r="G270" i="5"/>
  <c r="E270" i="5"/>
  <c r="G269" i="5"/>
  <c r="E269" i="5"/>
  <c r="G268" i="5"/>
  <c r="E268" i="5"/>
  <c r="G267" i="5"/>
  <c r="E267" i="5"/>
  <c r="G266" i="5"/>
  <c r="E266" i="5"/>
  <c r="G265" i="5"/>
  <c r="E265" i="5"/>
  <c r="G264" i="5"/>
  <c r="E264" i="5"/>
  <c r="G263" i="5"/>
  <c r="E263" i="5"/>
  <c r="G262" i="5"/>
  <c r="E262" i="5"/>
  <c r="G261" i="5"/>
  <c r="E261" i="5"/>
  <c r="G260" i="5"/>
  <c r="E260" i="5"/>
  <c r="G259" i="5"/>
  <c r="E259" i="5"/>
  <c r="G258" i="5"/>
  <c r="G257" i="5"/>
  <c r="E257" i="5"/>
  <c r="G256" i="5"/>
  <c r="E256" i="5"/>
  <c r="G255" i="5"/>
  <c r="E255" i="5"/>
  <c r="G254" i="5"/>
  <c r="E254" i="5"/>
  <c r="G253" i="5"/>
  <c r="E253" i="5"/>
  <c r="G252" i="5"/>
  <c r="E252" i="5"/>
  <c r="G251" i="5"/>
  <c r="E251" i="5"/>
  <c r="G250" i="5"/>
  <c r="E250" i="5"/>
  <c r="G249" i="5"/>
  <c r="E249" i="5"/>
  <c r="G248" i="5"/>
  <c r="E248" i="5"/>
  <c r="G247" i="5"/>
  <c r="E247" i="5"/>
  <c r="G246" i="5"/>
  <c r="E246" i="5"/>
  <c r="G245" i="5"/>
  <c r="E245" i="5"/>
  <c r="G244" i="5"/>
  <c r="G243" i="5"/>
  <c r="G242" i="5"/>
  <c r="E242" i="5"/>
  <c r="G241" i="5"/>
  <c r="E241" i="5"/>
  <c r="G240" i="5"/>
  <c r="E240" i="5"/>
  <c r="G239" i="5"/>
  <c r="E239" i="5"/>
  <c r="G238" i="5"/>
  <c r="E238" i="5"/>
  <c r="G237" i="5"/>
  <c r="E237" i="5"/>
  <c r="G236" i="5"/>
  <c r="E236" i="5"/>
  <c r="G235" i="5"/>
  <c r="E235" i="5"/>
  <c r="G234" i="5"/>
  <c r="E234" i="5"/>
  <c r="G233" i="5"/>
  <c r="E233" i="5"/>
  <c r="G232" i="5"/>
  <c r="E232" i="5"/>
  <c r="G231" i="5"/>
  <c r="E231" i="5"/>
  <c r="G230" i="5"/>
  <c r="E230" i="5"/>
  <c r="G229" i="5"/>
  <c r="E229" i="5"/>
  <c r="G228" i="5"/>
  <c r="E228" i="5"/>
  <c r="G227" i="5"/>
  <c r="E227" i="5"/>
  <c r="G226" i="5"/>
  <c r="E226" i="5"/>
  <c r="G225" i="5"/>
  <c r="E225" i="5"/>
  <c r="G224" i="5"/>
  <c r="E224" i="5"/>
  <c r="G223" i="5"/>
  <c r="E223" i="5"/>
  <c r="G222" i="5"/>
  <c r="E222" i="5"/>
  <c r="G221" i="5"/>
  <c r="E221" i="5"/>
  <c r="G220" i="5"/>
  <c r="E220" i="5"/>
  <c r="G219" i="5"/>
  <c r="E219" i="5"/>
  <c r="G218" i="5"/>
  <c r="E218" i="5"/>
  <c r="G217" i="5"/>
  <c r="E217" i="5"/>
  <c r="G216" i="5"/>
  <c r="E216" i="5"/>
  <c r="G215" i="5"/>
  <c r="E215" i="5"/>
  <c r="G214" i="5"/>
  <c r="E214" i="5"/>
  <c r="G213" i="5"/>
  <c r="E213" i="5"/>
  <c r="G212" i="5"/>
  <c r="E212" i="5"/>
  <c r="G211" i="5"/>
  <c r="E211" i="5"/>
  <c r="G210" i="5"/>
  <c r="E210" i="5"/>
  <c r="G209" i="5"/>
  <c r="E209" i="5"/>
  <c r="G208" i="5"/>
  <c r="E208" i="5"/>
  <c r="G207" i="5"/>
  <c r="E207" i="5"/>
  <c r="G206" i="5"/>
  <c r="E206" i="5"/>
  <c r="G205" i="5"/>
  <c r="E205" i="5"/>
  <c r="G204" i="5"/>
  <c r="E204" i="5"/>
  <c r="G203" i="5"/>
  <c r="E203" i="5"/>
  <c r="G202" i="5"/>
  <c r="E202" i="5"/>
  <c r="G201" i="5"/>
  <c r="E201" i="5"/>
  <c r="G200" i="5"/>
  <c r="E200" i="5"/>
  <c r="G199" i="5"/>
  <c r="E199" i="5"/>
  <c r="G198" i="5"/>
  <c r="E198" i="5"/>
  <c r="G197" i="5"/>
  <c r="E197" i="5"/>
  <c r="G196" i="5"/>
  <c r="E196" i="5"/>
  <c r="G195" i="5"/>
  <c r="E195" i="5"/>
  <c r="G194" i="5"/>
  <c r="E194" i="5"/>
  <c r="G193" i="5"/>
  <c r="E193" i="5"/>
  <c r="G192" i="5"/>
  <c r="E192" i="5"/>
  <c r="G191" i="5"/>
  <c r="E191" i="5"/>
  <c r="G190" i="5"/>
  <c r="E190" i="5"/>
  <c r="G189" i="5"/>
  <c r="E189" i="5"/>
  <c r="G188" i="5"/>
  <c r="E188" i="5"/>
  <c r="G187" i="5"/>
  <c r="E187" i="5"/>
  <c r="G186" i="5"/>
  <c r="E186" i="5"/>
  <c r="G185" i="5"/>
  <c r="E185" i="5"/>
  <c r="G184" i="5"/>
  <c r="E184" i="5"/>
  <c r="G183" i="5"/>
  <c r="E183" i="5"/>
  <c r="G182" i="5"/>
  <c r="E182" i="5"/>
  <c r="G181" i="5"/>
  <c r="E181" i="5"/>
  <c r="G180" i="5"/>
  <c r="G179" i="5"/>
  <c r="E179" i="5"/>
  <c r="G178" i="5"/>
  <c r="E178" i="5"/>
  <c r="G177" i="5"/>
  <c r="E177" i="5"/>
  <c r="G176" i="5"/>
  <c r="E176" i="5"/>
  <c r="G175" i="5"/>
  <c r="E175" i="5"/>
  <c r="G174" i="5"/>
  <c r="E174" i="5"/>
  <c r="G173" i="5"/>
  <c r="E173" i="5"/>
  <c r="G172" i="5"/>
  <c r="E172" i="5"/>
  <c r="G171" i="5"/>
  <c r="E171" i="5"/>
  <c r="G170" i="5"/>
  <c r="E170" i="5"/>
  <c r="G169" i="5"/>
  <c r="E169" i="5"/>
  <c r="G168" i="5"/>
  <c r="E168" i="5"/>
  <c r="G167" i="5"/>
  <c r="E167" i="5"/>
  <c r="G166" i="5"/>
  <c r="E166" i="5"/>
  <c r="G165" i="5"/>
  <c r="E165" i="5"/>
  <c r="G164" i="5"/>
  <c r="E164" i="5"/>
  <c r="G163" i="5"/>
  <c r="E163" i="5"/>
  <c r="G162" i="5"/>
  <c r="E162" i="5"/>
  <c r="G161" i="5"/>
  <c r="E161" i="5"/>
  <c r="G160" i="5"/>
  <c r="E160" i="5"/>
  <c r="G159" i="5"/>
  <c r="G158" i="5"/>
  <c r="E158" i="5"/>
  <c r="G157" i="5"/>
  <c r="E157" i="5"/>
  <c r="G156" i="5"/>
  <c r="E156" i="5"/>
  <c r="G155" i="5"/>
  <c r="E155" i="5"/>
  <c r="G154" i="5"/>
  <c r="E154" i="5"/>
  <c r="G153" i="5"/>
  <c r="E153" i="5"/>
  <c r="G152" i="5"/>
  <c r="E152" i="5"/>
  <c r="G151" i="5"/>
  <c r="E151" i="5"/>
  <c r="G150" i="5"/>
  <c r="E150" i="5"/>
  <c r="G149" i="5"/>
  <c r="E149" i="5"/>
  <c r="G148" i="5"/>
  <c r="E148" i="5"/>
  <c r="G147" i="5"/>
  <c r="E147" i="5"/>
  <c r="G146" i="5"/>
  <c r="E146" i="5"/>
  <c r="G145" i="5"/>
  <c r="E145" i="5"/>
  <c r="G144" i="5"/>
  <c r="G143" i="5"/>
  <c r="E143" i="5"/>
  <c r="G142" i="5"/>
  <c r="E142" i="5"/>
  <c r="G141" i="5"/>
  <c r="E141" i="5"/>
  <c r="G140" i="5"/>
  <c r="E140" i="5"/>
  <c r="G139" i="5"/>
  <c r="E139" i="5"/>
  <c r="G138" i="5"/>
  <c r="E138" i="5"/>
  <c r="G137" i="5"/>
  <c r="E137" i="5"/>
  <c r="G136" i="5"/>
  <c r="E136" i="5"/>
  <c r="G135" i="5"/>
  <c r="E135" i="5"/>
  <c r="G134" i="5"/>
  <c r="E134" i="5"/>
  <c r="G133" i="5"/>
  <c r="E133" i="5"/>
  <c r="G132" i="5"/>
  <c r="G131" i="5"/>
  <c r="E131" i="5"/>
  <c r="G130" i="5"/>
  <c r="E130" i="5"/>
  <c r="G129" i="5"/>
  <c r="E129" i="5"/>
  <c r="G128" i="5"/>
  <c r="E128" i="5"/>
  <c r="G127" i="5"/>
  <c r="E127" i="5"/>
  <c r="G126" i="5"/>
  <c r="E126" i="5"/>
  <c r="G125" i="5"/>
  <c r="E125" i="5"/>
  <c r="G124" i="5"/>
  <c r="E124" i="5"/>
  <c r="G123" i="5"/>
  <c r="E123" i="5"/>
  <c r="G122" i="5"/>
  <c r="E122" i="5"/>
  <c r="G121" i="5"/>
  <c r="E121" i="5"/>
  <c r="G120" i="5"/>
  <c r="E120" i="5"/>
  <c r="G119" i="5"/>
  <c r="E119" i="5"/>
  <c r="G118" i="5"/>
  <c r="E118" i="5"/>
  <c r="G117" i="5"/>
  <c r="E117" i="5"/>
  <c r="G116" i="5"/>
  <c r="E116" i="5"/>
  <c r="G115" i="5"/>
  <c r="E115" i="5"/>
  <c r="G114" i="5"/>
  <c r="E114" i="5"/>
  <c r="G113" i="5"/>
  <c r="E113" i="5"/>
  <c r="G112" i="5"/>
  <c r="E112" i="5"/>
  <c r="G111" i="5"/>
  <c r="E111" i="5"/>
  <c r="G110" i="5"/>
  <c r="E110" i="5"/>
  <c r="G109" i="5"/>
  <c r="E109" i="5"/>
  <c r="G108" i="5"/>
  <c r="E108" i="5"/>
  <c r="G107" i="5"/>
  <c r="E107" i="5"/>
  <c r="G106" i="5"/>
  <c r="E106" i="5"/>
  <c r="G105" i="5"/>
  <c r="E105" i="5"/>
  <c r="G104" i="5"/>
  <c r="E104" i="5"/>
  <c r="G103" i="5"/>
  <c r="G102" i="5"/>
  <c r="G101" i="5"/>
  <c r="G100" i="5"/>
  <c r="G99" i="5"/>
  <c r="G98" i="5"/>
  <c r="G97" i="5"/>
  <c r="G96" i="5"/>
  <c r="G95" i="5"/>
  <c r="G94" i="5"/>
  <c r="G93" i="5"/>
  <c r="G92" i="5"/>
  <c r="G91" i="5"/>
  <c r="G90" i="5"/>
  <c r="G89" i="5"/>
  <c r="G88" i="5"/>
  <c r="G87" i="5"/>
  <c r="G86" i="5"/>
  <c r="G85" i="5"/>
  <c r="G84" i="5"/>
  <c r="G83" i="5"/>
  <c r="G82" i="5"/>
  <c r="G81" i="5"/>
  <c r="G80" i="5"/>
  <c r="G79" i="5"/>
  <c r="G78" i="5"/>
  <c r="G77" i="5"/>
  <c r="G76" i="5"/>
  <c r="G75" i="5"/>
  <c r="G74" i="5"/>
  <c r="G73" i="5"/>
  <c r="G72" i="5"/>
  <c r="G71" i="5"/>
  <c r="G70" i="5"/>
  <c r="G69" i="5"/>
  <c r="G68" i="5"/>
  <c r="G67" i="5"/>
  <c r="G66" i="5"/>
  <c r="G65" i="5"/>
  <c r="G64" i="5"/>
  <c r="G63" i="5"/>
  <c r="G62" i="5"/>
  <c r="G61" i="5"/>
  <c r="G60" i="5"/>
  <c r="G59" i="5"/>
  <c r="G58" i="5"/>
  <c r="G57" i="5"/>
  <c r="G56" i="5"/>
  <c r="G55" i="5"/>
  <c r="G54" i="5"/>
  <c r="G53" i="5"/>
  <c r="G52" i="5"/>
  <c r="G51" i="5"/>
  <c r="G50" i="5"/>
  <c r="G49" i="5"/>
  <c r="G48" i="5"/>
  <c r="G47" i="5"/>
  <c r="G46" i="5"/>
  <c r="G45" i="5"/>
  <c r="G44" i="5"/>
  <c r="G43" i="5"/>
  <c r="G42" i="5"/>
  <c r="G41" i="5"/>
  <c r="G40" i="5"/>
  <c r="G39" i="5"/>
  <c r="G38" i="5"/>
  <c r="G37" i="5"/>
  <c r="G36" i="5"/>
  <c r="G35" i="5"/>
  <c r="G34" i="5"/>
  <c r="G33" i="5"/>
  <c r="G32" i="5"/>
  <c r="G31" i="5"/>
  <c r="C31" i="5"/>
  <c r="G30" i="5"/>
  <c r="C30" i="5"/>
  <c r="G29" i="5"/>
  <c r="C29" i="5"/>
  <c r="G28" i="5"/>
  <c r="C28" i="5"/>
  <c r="G27" i="5"/>
  <c r="C27" i="5"/>
  <c r="G26" i="5"/>
  <c r="C26" i="5"/>
  <c r="G25" i="5"/>
  <c r="C25" i="5"/>
  <c r="G24" i="5"/>
  <c r="C24" i="5"/>
  <c r="G23" i="5"/>
  <c r="C23" i="5"/>
  <c r="G22" i="5"/>
  <c r="C22" i="5"/>
  <c r="G21" i="5"/>
  <c r="C21" i="5"/>
  <c r="G20" i="5"/>
  <c r="C20" i="5"/>
  <c r="G19" i="5"/>
  <c r="C19" i="5"/>
  <c r="G18" i="5"/>
  <c r="C18" i="5"/>
  <c r="G17" i="5"/>
  <c r="C17" i="5"/>
  <c r="G16" i="5"/>
  <c r="G15" i="5"/>
  <c r="G14" i="5"/>
  <c r="G13" i="5"/>
  <c r="G12" i="5"/>
  <c r="G11" i="5"/>
  <c r="G10" i="5"/>
  <c r="G9" i="5"/>
  <c r="G8" i="5"/>
  <c r="G7" i="5"/>
  <c r="G6" i="5"/>
  <c r="G378" i="5" s="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6" i="1"/>
  <c r="G378" i="1" s="1"/>
  <c r="C25" i="1" l="1"/>
  <c r="E165" i="1" l="1"/>
  <c r="E166" i="1"/>
  <c r="E233" i="1" l="1"/>
  <c r="E232" i="1"/>
  <c r="E231" i="1"/>
  <c r="E230" i="1"/>
  <c r="E312" i="1" l="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3" i="1"/>
  <c r="E134" i="1"/>
  <c r="E135" i="1"/>
  <c r="E136" i="1"/>
  <c r="E137" i="1"/>
  <c r="E138" i="1"/>
  <c r="E139" i="1"/>
  <c r="E140" i="1"/>
  <c r="E141" i="1"/>
  <c r="E142" i="1"/>
  <c r="E143" i="1"/>
  <c r="E145" i="1"/>
  <c r="E146" i="1"/>
  <c r="E147" i="1"/>
  <c r="E148" i="1"/>
  <c r="E149" i="1"/>
  <c r="E150" i="1"/>
  <c r="E151" i="1"/>
  <c r="E152" i="1"/>
  <c r="E153" i="1"/>
  <c r="E154" i="1"/>
  <c r="E155" i="1"/>
  <c r="E156" i="1"/>
  <c r="E157" i="1"/>
  <c r="E158" i="1"/>
  <c r="E160" i="1"/>
  <c r="E161" i="1"/>
  <c r="E162" i="1"/>
  <c r="E163" i="1"/>
  <c r="E164" i="1"/>
  <c r="E167" i="1"/>
  <c r="E168" i="1"/>
  <c r="E169" i="1"/>
  <c r="E170" i="1"/>
  <c r="E171" i="1"/>
  <c r="E172" i="1"/>
  <c r="E173" i="1"/>
  <c r="E174" i="1"/>
  <c r="E175" i="1"/>
  <c r="E176" i="1"/>
  <c r="E177" i="1"/>
  <c r="E178" i="1"/>
  <c r="E179"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4" i="1"/>
  <c r="E235" i="1"/>
  <c r="E236" i="1"/>
  <c r="E237" i="1"/>
  <c r="E238" i="1"/>
  <c r="E239" i="1"/>
  <c r="E240" i="1"/>
  <c r="E241" i="1"/>
  <c r="E242" i="1"/>
  <c r="E245" i="1"/>
  <c r="E246" i="1"/>
  <c r="E247" i="1"/>
  <c r="E248" i="1"/>
  <c r="E249" i="1"/>
  <c r="E250" i="1"/>
  <c r="E251" i="1"/>
  <c r="E252" i="1"/>
  <c r="E253" i="1"/>
  <c r="E254" i="1"/>
  <c r="E255" i="1"/>
  <c r="E256" i="1"/>
  <c r="E257" i="1"/>
  <c r="E259" i="1"/>
  <c r="E260" i="1"/>
  <c r="E261" i="1"/>
  <c r="E262" i="1"/>
  <c r="E263" i="1"/>
  <c r="E264" i="1"/>
  <c r="E265" i="1"/>
  <c r="E266" i="1"/>
  <c r="E267" i="1"/>
  <c r="E268" i="1"/>
  <c r="E269" i="1"/>
  <c r="E270" i="1"/>
  <c r="E273" i="1"/>
  <c r="E296" i="1"/>
  <c r="E297" i="1"/>
  <c r="E298" i="1"/>
  <c r="E299" i="1"/>
  <c r="E300" i="1"/>
  <c r="E301" i="1"/>
  <c r="E302" i="1"/>
  <c r="E303" i="1"/>
  <c r="E304" i="1"/>
  <c r="E305" i="1"/>
  <c r="E306" i="1"/>
  <c r="E307" i="1"/>
  <c r="E309" i="1"/>
  <c r="E310" i="1"/>
  <c r="E311" i="1"/>
  <c r="E317" i="1"/>
  <c r="E318" i="1"/>
  <c r="E319" i="1"/>
  <c r="E320" i="1"/>
  <c r="E321" i="1"/>
  <c r="E322" i="1"/>
  <c r="E323" i="1"/>
  <c r="E324" i="1"/>
  <c r="E325" i="1"/>
  <c r="E326" i="1"/>
  <c r="E327" i="1"/>
  <c r="E328" i="1"/>
  <c r="E329" i="1"/>
  <c r="E330" i="1"/>
  <c r="E331" i="1"/>
  <c r="E332" i="1"/>
  <c r="E333" i="1"/>
  <c r="E334" i="1"/>
  <c r="E335" i="1"/>
  <c r="E336" i="1"/>
  <c r="E337" i="1"/>
  <c r="E340" i="1"/>
  <c r="E341" i="1"/>
  <c r="E342" i="1"/>
  <c r="E343" i="1"/>
  <c r="E344" i="1"/>
  <c r="E345" i="1"/>
  <c r="E346" i="1"/>
  <c r="E347" i="1"/>
  <c r="E348" i="1"/>
  <c r="E349" i="1"/>
  <c r="E350"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C21" i="1" l="1"/>
  <c r="C22" i="1"/>
  <c r="C23" i="1"/>
  <c r="C24" i="1"/>
  <c r="C26" i="1"/>
  <c r="C27" i="1"/>
  <c r="C28" i="1"/>
  <c r="C29" i="1"/>
  <c r="C30" i="1"/>
  <c r="C31" i="1"/>
  <c r="C18" i="1"/>
  <c r="C19" i="1"/>
  <c r="C20" i="1"/>
  <c r="C17" i="1"/>
</calcChain>
</file>

<file path=xl/sharedStrings.xml><?xml version="1.0" encoding="utf-8"?>
<sst xmlns="http://schemas.openxmlformats.org/spreadsheetml/2006/main" count="3690" uniqueCount="1682">
  <si>
    <t>TX22</t>
  </si>
  <si>
    <t>TX21</t>
  </si>
  <si>
    <t>TX20</t>
  </si>
  <si>
    <t>TX16</t>
  </si>
  <si>
    <t>TX12</t>
  </si>
  <si>
    <t>TX10</t>
  </si>
  <si>
    <t>TX09</t>
  </si>
  <si>
    <t>TX07</t>
  </si>
  <si>
    <t>TX06</t>
  </si>
  <si>
    <t>RX99</t>
  </si>
  <si>
    <t>RX98</t>
  </si>
  <si>
    <t>RX97</t>
  </si>
  <si>
    <t>RX09</t>
  </si>
  <si>
    <t>RX06</t>
  </si>
  <si>
    <t>RX04</t>
  </si>
  <si>
    <t>RX01</t>
  </si>
  <si>
    <t>RE13</t>
  </si>
  <si>
    <t>RE12</t>
  </si>
  <si>
    <t>RE11</t>
  </si>
  <si>
    <t>RE10</t>
  </si>
  <si>
    <t>RE09</t>
  </si>
  <si>
    <t>RE08</t>
  </si>
  <si>
    <t>RE06</t>
  </si>
  <si>
    <t>RE05</t>
  </si>
  <si>
    <t>RE04</t>
  </si>
  <si>
    <t>RE03</t>
  </si>
  <si>
    <t>RE02</t>
  </si>
  <si>
    <t>RE01</t>
  </si>
  <si>
    <t>PC10</t>
  </si>
  <si>
    <t>PC09</t>
  </si>
  <si>
    <t>PC07</t>
  </si>
  <si>
    <t>PC06</t>
  </si>
  <si>
    <t>PC03</t>
  </si>
  <si>
    <t>PC02</t>
  </si>
  <si>
    <t>PC01</t>
  </si>
  <si>
    <t>NR98</t>
  </si>
  <si>
    <t>NR07</t>
  </si>
  <si>
    <t>NR05</t>
  </si>
  <si>
    <t>NR04</t>
  </si>
  <si>
    <t>NR03</t>
  </si>
  <si>
    <t>NR02</t>
  </si>
  <si>
    <t>NR01</t>
  </si>
  <si>
    <t>LP78</t>
  </si>
  <si>
    <t>LP15</t>
  </si>
  <si>
    <t>LP14</t>
  </si>
  <si>
    <t>LP12</t>
  </si>
  <si>
    <t>LP11</t>
  </si>
  <si>
    <t>LP10</t>
  </si>
  <si>
    <t>LP09</t>
  </si>
  <si>
    <t>LP08</t>
  </si>
  <si>
    <t>LP07</t>
  </si>
  <si>
    <t>LP06</t>
  </si>
  <si>
    <t>LP05</t>
  </si>
  <si>
    <t>LP04</t>
  </si>
  <si>
    <t>LP03</t>
  </si>
  <si>
    <t>LP02</t>
  </si>
  <si>
    <t>LP01</t>
  </si>
  <si>
    <t>FL99</t>
  </si>
  <si>
    <t>FL13</t>
  </si>
  <si>
    <t>FL08</t>
  </si>
  <si>
    <t>FL06</t>
  </si>
  <si>
    <t>FL05</t>
  </si>
  <si>
    <t>FL04</t>
  </si>
  <si>
    <t>FL03</t>
  </si>
  <si>
    <t>FL02</t>
  </si>
  <si>
    <t>FL01</t>
  </si>
  <si>
    <t>CY12</t>
  </si>
  <si>
    <t>CY11</t>
  </si>
  <si>
    <t>CY10</t>
  </si>
  <si>
    <t>CY09</t>
  </si>
  <si>
    <t>CY08</t>
  </si>
  <si>
    <t>CY07</t>
  </si>
  <si>
    <t>CY06</t>
  </si>
  <si>
    <t>CY05</t>
  </si>
  <si>
    <t>CY04</t>
  </si>
  <si>
    <t>CY03</t>
  </si>
  <si>
    <t>CY02</t>
  </si>
  <si>
    <t>CY01</t>
  </si>
  <si>
    <t>CS15</t>
  </si>
  <si>
    <t>CS14</t>
  </si>
  <si>
    <t>CS13</t>
  </si>
  <si>
    <t>CS12</t>
  </si>
  <si>
    <t>CS10</t>
  </si>
  <si>
    <t>CS09</t>
  </si>
  <si>
    <t>CS04</t>
  </si>
  <si>
    <t>CS03</t>
  </si>
  <si>
    <t>CS02</t>
  </si>
  <si>
    <t>CS01</t>
  </si>
  <si>
    <t>BA15</t>
  </si>
  <si>
    <t>BA14</t>
  </si>
  <si>
    <t>BA13</t>
  </si>
  <si>
    <t>BA12</t>
  </si>
  <si>
    <t>BA11</t>
  </si>
  <si>
    <t>BA10</t>
  </si>
  <si>
    <t>BA09</t>
  </si>
  <si>
    <t>BA08</t>
  </si>
  <si>
    <t>BA07</t>
  </si>
  <si>
    <t>BA05</t>
  </si>
  <si>
    <t>BA04</t>
  </si>
  <si>
    <t>BA03</t>
  </si>
  <si>
    <t>BA01</t>
  </si>
  <si>
    <t>C1</t>
  </si>
  <si>
    <t>C2</t>
  </si>
  <si>
    <t>C3</t>
  </si>
  <si>
    <t>C4</t>
  </si>
  <si>
    <t>C5</t>
  </si>
  <si>
    <t>C6</t>
  </si>
  <si>
    <t>C7</t>
  </si>
  <si>
    <t>CYB, TRIWALL  or PALLET</t>
  </si>
  <si>
    <t>Containerized Pounds</t>
  </si>
  <si>
    <t>B1</t>
  </si>
  <si>
    <t>B2</t>
  </si>
  <si>
    <t>B3</t>
  </si>
  <si>
    <t>B4</t>
  </si>
  <si>
    <t>B5</t>
  </si>
  <si>
    <t>B6</t>
  </si>
  <si>
    <t>Notes:</t>
  </si>
  <si>
    <t>ME</t>
  </si>
  <si>
    <t>M1</t>
  </si>
  <si>
    <t>M2</t>
  </si>
  <si>
    <t>M3</t>
  </si>
  <si>
    <t>Lecture</t>
  </si>
  <si>
    <t>Small</t>
  </si>
  <si>
    <t>Medium</t>
  </si>
  <si>
    <t>Large</t>
  </si>
  <si>
    <t>Size Up To:</t>
  </si>
  <si>
    <t>3" x 12"</t>
  </si>
  <si>
    <t>4" x 24"</t>
  </si>
  <si>
    <t>12" x 36"</t>
  </si>
  <si>
    <t>16" x 56"</t>
  </si>
  <si>
    <t>CLIN Suffix ME (Misc. Each) also has other applications, e.g., on-site vacuumed/pumped 55-gal drums.</t>
  </si>
  <si>
    <t>Hybrid Bid Schedules Only</t>
  </si>
  <si>
    <t xml:space="preserve">
Container Size:</t>
  </si>
  <si>
    <t>1.25 Gal</t>
  </si>
  <si>
    <t>2.5 Gal</t>
  </si>
  <si>
    <t>Type:</t>
  </si>
  <si>
    <t>Base CLIN</t>
  </si>
  <si>
    <t>ACETALDEHYDE</t>
  </si>
  <si>
    <t>ACETONE</t>
  </si>
  <si>
    <t>ACETONITRILE</t>
  </si>
  <si>
    <t>ACETYL CHLORIDE</t>
  </si>
  <si>
    <t>ACETYL FLUORIDE</t>
  </si>
  <si>
    <t>ACROLEIN INHIBITED</t>
  </si>
  <si>
    <t>ACRYLOFUME (ACRYLONITRILE)</t>
  </si>
  <si>
    <t>AIR</t>
  </si>
  <si>
    <t>ALANE DIMETHYLETHYAMINE SOLUTION</t>
  </si>
  <si>
    <t>ALLENE (PROPADIENE)</t>
  </si>
  <si>
    <t>ALLYL MAGNESIUM BROMIDE</t>
  </si>
  <si>
    <t>ALLYL MAGNESIUM CHLORIDE</t>
  </si>
  <si>
    <t>ALLYL TRICHLORO SILANE</t>
  </si>
  <si>
    <t>ALLYLAMINE</t>
  </si>
  <si>
    <t>ALLYLENE</t>
  </si>
  <si>
    <t>ALPHA OLEFIN C4</t>
  </si>
  <si>
    <t>ALUMINUM CHLORIDE</t>
  </si>
  <si>
    <t>ALUMINUM TRICHLORIDE</t>
  </si>
  <si>
    <t>AMINOPROPANE (ISOPROPYLAMINE)</t>
  </si>
  <si>
    <t>AMMONIA</t>
  </si>
  <si>
    <t>ANILINE</t>
  </si>
  <si>
    <t>ANTIMONY PENTACHLORIDE</t>
  </si>
  <si>
    <t>ANTIMONY PENTACHLORIDE CATALYST</t>
  </si>
  <si>
    <t>ANTIMONY PENTAFLUORIDE</t>
  </si>
  <si>
    <t>ANTIMONY TRIBROMIDE</t>
  </si>
  <si>
    <t>ANTIMONY TRICHLORIDE</t>
  </si>
  <si>
    <t>ANTIMONY TRIFLUORIDE</t>
  </si>
  <si>
    <t>ANTIMONY TRIIODIDE</t>
  </si>
  <si>
    <t>ARGON</t>
  </si>
  <si>
    <t>ARSENIC PENTAFLUORIDE</t>
  </si>
  <si>
    <t>ARSENIC TRIBROMIDE</t>
  </si>
  <si>
    <t>ARSENIC TRICHLORIDE</t>
  </si>
  <si>
    <t>ARSENIC TRIFLUORIDE</t>
  </si>
  <si>
    <t>ARSENIC TRIIODIDE</t>
  </si>
  <si>
    <t>ARSENIOUS FLUORIDE (ARSENIC TRIFLUORIDE)</t>
  </si>
  <si>
    <r>
      <t xml:space="preserve">ARSINE *                              </t>
    </r>
    <r>
      <rPr>
        <b/>
        <sz val="10"/>
        <color rgb="FFFF0000"/>
        <rFont val="Arial"/>
        <family val="2"/>
      </rPr>
      <t>ZONE A</t>
    </r>
  </si>
  <si>
    <t>BAYGON,PT-250</t>
  </si>
  <si>
    <t>BENZENE</t>
  </si>
  <si>
    <t>BENZYL MAGNESIUM CHLORIDE</t>
  </si>
  <si>
    <t>BENZYL MERCAPTAN</t>
  </si>
  <si>
    <t>BIS(CYCLOPENTADIENYL) CHROMIUM</t>
  </si>
  <si>
    <t>BIS(CYCLOPENTADIENYL) IRON</t>
  </si>
  <si>
    <t>BIS(CYCLOPENTADIENYL) MAGNESIUM</t>
  </si>
  <si>
    <t>BIS(TRIFLUOROMETHYL) DISUFIDE</t>
  </si>
  <si>
    <t>BIS(TRIFLUOROMETHYL)PEROXIDE</t>
  </si>
  <si>
    <t>BISPHOSPHINOETHANE</t>
  </si>
  <si>
    <t>BLOOD GAS</t>
  </si>
  <si>
    <t>BORANE THF COMPLEX</t>
  </si>
  <si>
    <t>BORAZINE</t>
  </si>
  <si>
    <t>BORON TRIBROMIDE</t>
  </si>
  <si>
    <t>BORON TRICHLORIDE</t>
  </si>
  <si>
    <t>BORON TRIETHYL (TRIETHYL BORANE)</t>
  </si>
  <si>
    <t>BORON TRIFLUORIDE</t>
  </si>
  <si>
    <t>BORON TRIFLUORIDE ETHYL ETHERATE</t>
  </si>
  <si>
    <t>BORON TRIIODIDE</t>
  </si>
  <si>
    <r>
      <t xml:space="preserve">BROMINE *                </t>
    </r>
    <r>
      <rPr>
        <b/>
        <sz val="10"/>
        <color rgb="FFFF0000"/>
        <rFont val="Arial"/>
        <family val="2"/>
      </rPr>
      <t>ZONE A</t>
    </r>
  </si>
  <si>
    <t>BROMINE CHLORIDE</t>
  </si>
  <si>
    <r>
      <t xml:space="preserve">BROMINE PENTAFLUORIDE *              </t>
    </r>
    <r>
      <rPr>
        <b/>
        <sz val="10"/>
        <color rgb="FF0000FF"/>
        <rFont val="Arial"/>
        <family val="2"/>
      </rPr>
      <t>(PHOTOS REQUIRED)</t>
    </r>
    <r>
      <rPr>
        <sz val="10"/>
        <color theme="1"/>
        <rFont val="Arial"/>
        <family val="2"/>
      </rPr>
      <t xml:space="preserve">   </t>
    </r>
    <r>
      <rPr>
        <b/>
        <sz val="10"/>
        <color rgb="FFFF0000"/>
        <rFont val="Arial"/>
        <family val="2"/>
      </rPr>
      <t>ZONE A</t>
    </r>
  </si>
  <si>
    <r>
      <t xml:space="preserve">BROMINE TRIFLUORIDE </t>
    </r>
    <r>
      <rPr>
        <b/>
        <sz val="10"/>
        <color rgb="FF0000FF"/>
        <rFont val="Arial"/>
        <family val="2"/>
      </rPr>
      <t>(PHOTOS REQUIRED)</t>
    </r>
  </si>
  <si>
    <t>BROMO-2,2,2-TRIFLUOROETHANE, 1-</t>
  </si>
  <si>
    <t>BROMOACETONE</t>
  </si>
  <si>
    <t>BROMOCHLORODIFLUOROMETHANE (HALON1211 or R12B1)</t>
  </si>
  <si>
    <t>BROMOCHLOROMETHANE (HALON 1011)</t>
  </si>
  <si>
    <t>BROMODIFLUOROETHYLENE</t>
  </si>
  <si>
    <t>BROMODIFLUOROMETHANE</t>
  </si>
  <si>
    <t>BROMOETHANE (ETHYL BROMIDE)</t>
  </si>
  <si>
    <t>BROMOFORM</t>
  </si>
  <si>
    <t>BROMOMETHANE (METHYL BROMIDE)</t>
  </si>
  <si>
    <t>BROMOPENTAFLUOROETHANE</t>
  </si>
  <si>
    <t>BROMOPROPANE</t>
  </si>
  <si>
    <t>BROMOTRIFLUOROETHYLENE (R-113B1)</t>
  </si>
  <si>
    <t>BROMOTRIFLUOROMETHANE (HALON 1301 or R13B1)</t>
  </si>
  <si>
    <t>BUTADIENE</t>
  </si>
  <si>
    <t>BUTANE</t>
  </si>
  <si>
    <t xml:space="preserve">BUTANE THIOL </t>
  </si>
  <si>
    <t>BUTENAL, 2-</t>
  </si>
  <si>
    <t>BUTENE</t>
  </si>
  <si>
    <t>BUTYL ETHYL MAGNESIUM</t>
  </si>
  <si>
    <t>BUTYL LITHIUM</t>
  </si>
  <si>
    <t xml:space="preserve">BUTYL MAGNESIUM CHLORIDE </t>
  </si>
  <si>
    <t xml:space="preserve">BUTYL MERCAPTAN </t>
  </si>
  <si>
    <t>BUTYL PHOSPHINE</t>
  </si>
  <si>
    <t xml:space="preserve">BUTYL, 1 ARSINE </t>
  </si>
  <si>
    <t>BUTYLENE</t>
  </si>
  <si>
    <t>BUTYNE (ETHYL ACETYLENE)</t>
  </si>
  <si>
    <t>CARBON DIOXIDE</t>
  </si>
  <si>
    <t xml:space="preserve">CARBON DISULFIDE </t>
  </si>
  <si>
    <t>CARBON MONOXIDE</t>
  </si>
  <si>
    <t>CARBON TETRABROMIDE</t>
  </si>
  <si>
    <t>CARBON TETRACHLORIDE</t>
  </si>
  <si>
    <t>CARBON TETRAFLUORIDE (R-14)</t>
  </si>
  <si>
    <t>CARBONYL CHLORIDE (PHOSGENE) * [1]    LEAK TEST or OP   ZONE A</t>
  </si>
  <si>
    <t>CARBONYL CHLORIDE FLUORIDE</t>
  </si>
  <si>
    <t>CARBONYL FLUORIDE</t>
  </si>
  <si>
    <t>CARBONYL SULFIDE</t>
  </si>
  <si>
    <t>CHLORINE</t>
  </si>
  <si>
    <r>
      <t xml:space="preserve">CHLORINE MONOFLUORIDE </t>
    </r>
    <r>
      <rPr>
        <b/>
        <sz val="10"/>
        <color rgb="FF0000FF"/>
        <rFont val="Arial"/>
        <family val="2"/>
      </rPr>
      <t>(PHOTOS REQUIRED)</t>
    </r>
  </si>
  <si>
    <r>
      <t xml:space="preserve">CHLORINE PENTAFLUORIDE*              </t>
    </r>
    <r>
      <rPr>
        <b/>
        <sz val="10"/>
        <color rgb="FF0000FF"/>
        <rFont val="Arial"/>
        <family val="2"/>
      </rPr>
      <t>(PHOTOS REQUIRED)</t>
    </r>
    <r>
      <rPr>
        <sz val="10"/>
        <color theme="1"/>
        <rFont val="Arial"/>
        <family val="2"/>
      </rPr>
      <t xml:space="preserve">  </t>
    </r>
    <r>
      <rPr>
        <b/>
        <sz val="10"/>
        <color rgb="FFFF0000"/>
        <rFont val="Arial"/>
        <family val="2"/>
      </rPr>
      <t>ZONE A</t>
    </r>
  </si>
  <si>
    <r>
      <t xml:space="preserve">CHLORINE TRIFLUORIDE </t>
    </r>
    <r>
      <rPr>
        <b/>
        <sz val="10"/>
        <color rgb="FF0000FF"/>
        <rFont val="Arial"/>
        <family val="2"/>
      </rPr>
      <t>(PHOTOS REQUIRED)</t>
    </r>
  </si>
  <si>
    <t>CHLOROACETOPHENONE</t>
  </si>
  <si>
    <t>CHLOROBENZENE</t>
  </si>
  <si>
    <t>CHLOROBENZILATE</t>
  </si>
  <si>
    <t>CHLORODIFLUOROACETONITRILE</t>
  </si>
  <si>
    <t>CHLORODIFLUOROACETYLCHLORIDE</t>
  </si>
  <si>
    <t>CHLORODIFLUOROBROMOMETHANE (HALON1211 &amp; R12B1)</t>
  </si>
  <si>
    <t>CHLORODIFLUOROETHANE (R-142B)</t>
  </si>
  <si>
    <t>CHLORODIFLUOROETHYLENE (R-1122)</t>
  </si>
  <si>
    <t>CHLORODIFLUOROMETHANE (R-22)</t>
  </si>
  <si>
    <t>CHLORODIFLUOROPROPENE</t>
  </si>
  <si>
    <t>CHLOROETHANE</t>
  </si>
  <si>
    <t>CHLOROFLUOROETHYLENE (R-1131A)</t>
  </si>
  <si>
    <t xml:space="preserve">CHLOROFLUOROMETHANE </t>
  </si>
  <si>
    <t>CHLOROFORM</t>
  </si>
  <si>
    <t>CHLOROHEPTAFLUOROBUTANE</t>
  </si>
  <si>
    <t>CHLOROHEPTAFLUOROBUTENE</t>
  </si>
  <si>
    <t>CHLOROHEPTAFLUOROPROPANE</t>
  </si>
  <si>
    <t>CHLOROIODOMETHANE</t>
  </si>
  <si>
    <t>CHLOROMETHANE (METHYL CHLORIDE) (R40)</t>
  </si>
  <si>
    <t>CHLOROPENTAFLUOROACETONE</t>
  </si>
  <si>
    <t>CHLOROPENTAFLUOROETHANE (R-115)</t>
  </si>
  <si>
    <t>CHLOROPENTAFLUOROPROPENE</t>
  </si>
  <si>
    <t>CHLOROPICRIN</t>
  </si>
  <si>
    <t>CHLOROPICRIN/METHYL BROMIDE</t>
  </si>
  <si>
    <t>CHLOROPROPANE</t>
  </si>
  <si>
    <t>CHLOROPROPENE</t>
  </si>
  <si>
    <t xml:space="preserve">CHLOROSULFONIC ACID </t>
  </si>
  <si>
    <t>CHLOROSULFONYL FLUORIDE</t>
  </si>
  <si>
    <t>CHLOROTETRAFLUOROETHANE (R-124)</t>
  </si>
  <si>
    <t>CHLOROTRIFLUOROETHANE (R-133A)</t>
  </si>
  <si>
    <t>CHLOROTRIFLUOROETHYLDIFLUOROMETHYLETHER</t>
  </si>
  <si>
    <t xml:space="preserve">CHLOROTRIFLUOROETHYLENE </t>
  </si>
  <si>
    <t>CHLOROTRIFLUOROMETHANE (R-13)</t>
  </si>
  <si>
    <t>CHLOROTRIFLUOROMETHYLDIFLUOROETHYL ETHER</t>
  </si>
  <si>
    <t>CHLOROTRIMETHYL SILANE</t>
  </si>
  <si>
    <t>CHROMIUM 2-ETHYL-HEANOATE</t>
  </si>
  <si>
    <t>CHROMIUM OXYCHLORIDE (CHROMYL CHLORIDE)</t>
  </si>
  <si>
    <t>CHROMYL CHLORIDE</t>
  </si>
  <si>
    <t>CIS-2-BUTENE</t>
  </si>
  <si>
    <t>CIS-BUTENE</t>
  </si>
  <si>
    <t>CROTONYLENE (2-BUTYNE)</t>
  </si>
  <si>
    <t>CYANOGEN</t>
  </si>
  <si>
    <t>CYANOGEN BROMIDE</t>
  </si>
  <si>
    <t>CYANOGEN CHLORIDE</t>
  </si>
  <si>
    <t>CYANURIC FLUORIDE</t>
  </si>
  <si>
    <t>CYCLOBUTANE</t>
  </si>
  <si>
    <t>CYCLOHEXANE</t>
  </si>
  <si>
    <t>CYCLOHEXYLMAGNESIUM CHLORIDE</t>
  </si>
  <si>
    <t>CYCLOHEXYLPHOSPHINE</t>
  </si>
  <si>
    <t>CYCLOPENTANE</t>
  </si>
  <si>
    <t>CYCLOPENTENE</t>
  </si>
  <si>
    <t>CYCLOPENTYLMAGNESIUM CHLORIDE</t>
  </si>
  <si>
    <t>CYCLOPENTYLPHOSPHINE</t>
  </si>
  <si>
    <t>CYCLOPROPANE</t>
  </si>
  <si>
    <t>DDT/SOLUTION</t>
  </si>
  <si>
    <t xml:space="preserve">DECAFLUORO BUTANE </t>
  </si>
  <si>
    <t>DESFLURANE</t>
  </si>
  <si>
    <t>DEUTERIUM</t>
  </si>
  <si>
    <t>DEUTERIUM BROMIDE [2]   (Photos required, all sizes.  OP required, lectures)</t>
  </si>
  <si>
    <t>DEUTERIUM CHLORIDE</t>
  </si>
  <si>
    <t>DEUTERIUM FLUORIDE</t>
  </si>
  <si>
    <t>DEUTERIUM HYDRIDE</t>
  </si>
  <si>
    <t>DEUTERIUM IODIDE</t>
  </si>
  <si>
    <t>DEUTERIUM SELENIDE</t>
  </si>
  <si>
    <t xml:space="preserve">DEUTERIUM SULFIDE </t>
  </si>
  <si>
    <t>DI(TRIFLUOROMETHYL) DISULFIDE</t>
  </si>
  <si>
    <t>DIBORANE (&lt;10%)</t>
  </si>
  <si>
    <t>DIBROMODICHLOROMETHANE</t>
  </si>
  <si>
    <t>DIBROMODIFLOUROMETHANE (R-12B2)</t>
  </si>
  <si>
    <t>DIBROMOFLUOROMETHANE</t>
  </si>
  <si>
    <t>DIBROMOMETHANE</t>
  </si>
  <si>
    <t>DIBROMOTETRAFLUOROETHANE (R-2402)</t>
  </si>
  <si>
    <t>DIBUTYL ETHER</t>
  </si>
  <si>
    <t>DIBUTYL MAGNESIUM IN HEPTANE</t>
  </si>
  <si>
    <t>DIBUTYL SULFIDE</t>
  </si>
  <si>
    <t>DIBUTYL ZINC</t>
  </si>
  <si>
    <t>DICHLORO-1,4, BUTENE-2</t>
  </si>
  <si>
    <t>DICHLOROBENZENE IN SOLVENT</t>
  </si>
  <si>
    <t>DICHLORODIFLUOROACETONITRILE</t>
  </si>
  <si>
    <t>DICHLORODIFLUOROETHANE (R-132)</t>
  </si>
  <si>
    <t>DICHLORODIFLUOROETHYLENE (R-1112)</t>
  </si>
  <si>
    <t>DICHLORODIFLUOROMETHANE &amp; DIFLUOROETHANE (R-500)</t>
  </si>
  <si>
    <t>DICHLORODIFLUOROMETHANE (R-12)</t>
  </si>
  <si>
    <t>DICHLORODIMETHYL SILANE</t>
  </si>
  <si>
    <t>DICHLORODIPHENYL TRICHLOROETHANE</t>
  </si>
  <si>
    <t>DICHLOROETHANE</t>
  </si>
  <si>
    <t>DICHLOROFLUOROETHANE</t>
  </si>
  <si>
    <t>DICHLOROFLUOROMETHANE (R-21)</t>
  </si>
  <si>
    <t>DICHLOROHEXAFLUOROPROPANE</t>
  </si>
  <si>
    <t xml:space="preserve">DICHLOROMETHANE </t>
  </si>
  <si>
    <t>DICHLOROMETHYL SILANE</t>
  </si>
  <si>
    <t>DICHLOROPHENYLPHOSPHINE</t>
  </si>
  <si>
    <t>DICHLOROSILANE</t>
  </si>
  <si>
    <t>DICHLOROTETRAFLUOROETHANE (R-114)</t>
  </si>
  <si>
    <t>DICHLOROTRIFLUOROETHANE (R-123)</t>
  </si>
  <si>
    <t>DICHLOROVINYL DIMETHYL PHOSPHATE</t>
  </si>
  <si>
    <t>DICHLORVOS (DDVP) IN SOLVENTS  (LETHALAIRE G68)</t>
  </si>
  <si>
    <t>DICUMENE CHROMIUM</t>
  </si>
  <si>
    <t>DICYCLOPENTADIENE</t>
  </si>
  <si>
    <t>DIETHYL ALUMINUM CHLORIDE</t>
  </si>
  <si>
    <t>DIETHYL ALUMINUM ETHOXIDE</t>
  </si>
  <si>
    <t>DIETHYL ALUMINUM IODIDE</t>
  </si>
  <si>
    <t>DIETHYL ARSINE</t>
  </si>
  <si>
    <t>DIETHYL BERYLLIUM</t>
  </si>
  <si>
    <t>DIETHYL CADMIUM</t>
  </si>
  <si>
    <t>DIETHYL DITELLURIDE</t>
  </si>
  <si>
    <t>DIETHYL ETHER</t>
  </si>
  <si>
    <t>DIETHYL GALLIUM CHLORIDE</t>
  </si>
  <si>
    <t>DIETHYL PHOSPHINE</t>
  </si>
  <si>
    <t>DIETHYL TELLURIDE</t>
  </si>
  <si>
    <t>DIETHYL ZINC</t>
  </si>
  <si>
    <t>DIETHYLAMINE</t>
  </si>
  <si>
    <t>DIETHYLFLUORO ALUMINUM</t>
  </si>
  <si>
    <t xml:space="preserve">DIFLUORO(FLUOROSULFONYL)ACETYL FLUORIDE </t>
  </si>
  <si>
    <t>DIFLUORO(FLUOROSULFONYL)DIFLUOROECETYL FLUORIDE</t>
  </si>
  <si>
    <t>DIFLUORODIMETHYL SILANE</t>
  </si>
  <si>
    <t>DIFLUOROETHANE (R-152A)</t>
  </si>
  <si>
    <t>DIFLUOROETHYLENE (R-1132A)</t>
  </si>
  <si>
    <t>DIFLUOROMETHANE</t>
  </si>
  <si>
    <t>DIFLUOROMETHYL BROMIDE</t>
  </si>
  <si>
    <t>DIFLUOROMETHYL IODIDE</t>
  </si>
  <si>
    <t>DIFLUOROPROPANE</t>
  </si>
  <si>
    <t>DIHEXYL MAGNESIUM</t>
  </si>
  <si>
    <t>DIISOBUTYL ALUMINUM</t>
  </si>
  <si>
    <t>DIISOBUTYL ALUMINUM CHLORIDE</t>
  </si>
  <si>
    <t>DIISOBUTYL ALUMINUM ETHOXIDE</t>
  </si>
  <si>
    <t>DIISOBUTYL ALUMINUM HYDRIDE</t>
  </si>
  <si>
    <t xml:space="preserve">DIISOBUTYL ALUMINUM OXIDE </t>
  </si>
  <si>
    <t>DI-ISOPROPYL TELLURIDE</t>
  </si>
  <si>
    <t>DIMETHOXYDIMETHYLSILANE</t>
  </si>
  <si>
    <t>DIMETHYL ACETAMIDE</t>
  </si>
  <si>
    <t>DIMETHYL ACETYLENE</t>
  </si>
  <si>
    <t>DIMETHYL ALANE (DIMETHYL ALUMINUM HYDRIDE)</t>
  </si>
  <si>
    <t>DIMETHYL ALUMINUM CHLORIDE</t>
  </si>
  <si>
    <t>DIMETHYL ALUMINUM HYDRIDE  (DIMETHYLALANE)</t>
  </si>
  <si>
    <t>DIMETHYL ARSINE</t>
  </si>
  <si>
    <t>DIMETHYL CADMIUM</t>
  </si>
  <si>
    <t>DIMETHYL DIFLUOROSILANE</t>
  </si>
  <si>
    <t xml:space="preserve">DIMETHYL DISULFIDE </t>
  </si>
  <si>
    <t>DIMETHYL DITELLURIDE</t>
  </si>
  <si>
    <t>DIMETHYL ETHER (METHYL ETHER)</t>
  </si>
  <si>
    <t>DIMETHYL ETHOXY SILANE</t>
  </si>
  <si>
    <t>DIMETHYL METHANE (PROPANE)</t>
  </si>
  <si>
    <t>DIMETHYL METHYL PHOSPHONATE (DMMP)</t>
  </si>
  <si>
    <t>DIMETHYL PENTANE, 2,2-</t>
  </si>
  <si>
    <t>DIMETHYL PHOSPHINE</t>
  </si>
  <si>
    <t xml:space="preserve">DIMETHYL PROPANE </t>
  </si>
  <si>
    <t>DIMETHYL PROPANE (NEOPENTANE)</t>
  </si>
  <si>
    <t xml:space="preserve">DIMETHYL SELENIDE </t>
  </si>
  <si>
    <t>DIMETHYL SILANE</t>
  </si>
  <si>
    <t>DIMETHYL SULFATE</t>
  </si>
  <si>
    <t>DIMETHYL SULFIDE</t>
  </si>
  <si>
    <t>DIMETHYL SULFIDE BORANE MIXTURE</t>
  </si>
  <si>
    <t>DIMETHYL ZINC</t>
  </si>
  <si>
    <t>DIMETHYL ZINC TRIMETHYLAMINE ADDUCT</t>
  </si>
  <si>
    <t>DIMETHYLAMINE</t>
  </si>
  <si>
    <t>DIMETHYLETHOXY SILANE</t>
  </si>
  <si>
    <t>DIMETHYLPROPANE</t>
  </si>
  <si>
    <t>DI-N-BUTYL SULFIDE</t>
  </si>
  <si>
    <t>DI-N-BUTYLMAGNESIUM TRIETHYLALUMINUM COMPLEX</t>
  </si>
  <si>
    <r>
      <t xml:space="preserve">DINITROGEN TETROXIDE (NITROGEN DIOXIDE) *                </t>
    </r>
    <r>
      <rPr>
        <b/>
        <sz val="10"/>
        <color rgb="FFFF0000"/>
        <rFont val="Arial"/>
        <family val="2"/>
      </rPr>
      <t>ZONE A</t>
    </r>
  </si>
  <si>
    <t>DINORBONYLPHOSPHINE</t>
  </si>
  <si>
    <t>DINOYL BUTYL SULFIDE</t>
  </si>
  <si>
    <t>DI-N-PROPYL SULFIDE</t>
  </si>
  <si>
    <t>DIPENTENE DIMERCAPTAN</t>
  </si>
  <si>
    <t xml:space="preserve">DIPHENYLMETHANE DIISOCYANATE </t>
  </si>
  <si>
    <t>DISILANE</t>
  </si>
  <si>
    <t>DI-TERT BUTYL POLYSULFIDE</t>
  </si>
  <si>
    <t>DI-TERT BUTYL SULFIDE</t>
  </si>
  <si>
    <t>DI-TERT BUTYL TELLURIDE</t>
  </si>
  <si>
    <t>DMMP (DIMETHYL METHYL PHOSPHONATE)</t>
  </si>
  <si>
    <t>DODECAFLUORODIMETHYL CYCLOBUTANE</t>
  </si>
  <si>
    <t>DODECYL DISULFIDE</t>
  </si>
  <si>
    <t xml:space="preserve">DODECYL MERCAPTAN </t>
  </si>
  <si>
    <t>DURSBAN-4E INSECTICIDE</t>
  </si>
  <si>
    <t>DYMEL 142B (CHLORODIFLUOROETHANE)</t>
  </si>
  <si>
    <t>DYMEL 152A (DIFLUOROETHANE)</t>
  </si>
  <si>
    <t>DYMEL 22 (CHLORODIFLUOROMETHANE)</t>
  </si>
  <si>
    <t>ENDOSULFAN IN SOLVENT</t>
  </si>
  <si>
    <t>ENFLURANE (CHLOROTRIFLUOROETHANE R133A)</t>
  </si>
  <si>
    <t>ENGINE STARTING FLUID</t>
  </si>
  <si>
    <t>EPICHLOROHYDRIN</t>
  </si>
  <si>
    <t>ETHANE</t>
  </si>
  <si>
    <t>ETHANETHIOL</t>
  </si>
  <si>
    <t>ETHANOL</t>
  </si>
  <si>
    <t>ETHYL ACETYLENE (1-BUTYNE)</t>
  </si>
  <si>
    <t>ETHYL ALCOHOL</t>
  </si>
  <si>
    <t>ETHYL ALUMINUM DICHLORIDE</t>
  </si>
  <si>
    <t>ETHYL ALUMINUM SESQUIBROMIDE</t>
  </si>
  <si>
    <t>ETHYL ALUMINUM SESQUICHLORIDE</t>
  </si>
  <si>
    <t>ETHYL AMINE</t>
  </si>
  <si>
    <t>ETHYL BROMIDE</t>
  </si>
  <si>
    <t>ETHYL CHLORIDE (CHLOROETHANE)</t>
  </si>
  <si>
    <t>ETHYL ETHER</t>
  </si>
  <si>
    <t>ETHYL FLUORIDE (R161)</t>
  </si>
  <si>
    <t xml:space="preserve">ETHYL IODIDE </t>
  </si>
  <si>
    <t>ETHYL MAGNESIUM BROMIDE</t>
  </si>
  <si>
    <t>ETHYL MERCAPTAN</t>
  </si>
  <si>
    <t>ETHYL METHYL ETHER</t>
  </si>
  <si>
    <t>ETHYL SILICATE</t>
  </si>
  <si>
    <t>ETHYL SULFIDE</t>
  </si>
  <si>
    <t>ETHYL THIOACETATE</t>
  </si>
  <si>
    <t xml:space="preserve">ETHYL THIOETHANOL </t>
  </si>
  <si>
    <t>ETHYL-2-BUTANE, 2</t>
  </si>
  <si>
    <t>ETHYLENE</t>
  </si>
  <si>
    <t>ETHYLENE DIBROMIDE</t>
  </si>
  <si>
    <t>ETHYLENE DIBROMIDE/METHYL BROMIDE</t>
  </si>
  <si>
    <t>ETHYLENE DICHLORIDE</t>
  </si>
  <si>
    <t xml:space="preserve">ETHYLENE IMINE </t>
  </si>
  <si>
    <t>ETHYLENE OXIDE</t>
  </si>
  <si>
    <t>ETHYLENE PROPIONATE</t>
  </si>
  <si>
    <t>ETHYLIDENE FLUORIDE (R152A)</t>
  </si>
  <si>
    <t>ETHYNE (ACETYLENE)</t>
  </si>
  <si>
    <t>FIRE EXTINGUISHER (DRY CHEMICAL)</t>
  </si>
  <si>
    <t>FLUOREZE M (1,2,3,5-TETRAFLUOROBENZENE)</t>
  </si>
  <si>
    <r>
      <t xml:space="preserve">FLUORINE *             </t>
    </r>
    <r>
      <rPr>
        <b/>
        <sz val="10"/>
        <color rgb="FFFF0000"/>
        <rFont val="Arial"/>
        <family val="2"/>
      </rPr>
      <t>ZONE A</t>
    </r>
  </si>
  <si>
    <t>FLUORO-2, METHYL PROPANE-2</t>
  </si>
  <si>
    <t>FLUOROETHANE R-161</t>
  </si>
  <si>
    <t>FLUOROETHYLENE (VINYL FLUORIDE)</t>
  </si>
  <si>
    <t>FLUOROFORM (R23) (TRIFLUOROMETHANE)</t>
  </si>
  <si>
    <t>FLUOROMETHANE (METHYL FLUORIDE)</t>
  </si>
  <si>
    <t>FLUOROPHENYLMAGNESIUM BROMIDE</t>
  </si>
  <si>
    <t>FLUOROPROPENE</t>
  </si>
  <si>
    <t>FLUOROPROPIONITRILE</t>
  </si>
  <si>
    <t>FLUOROSULFONYL CHLORIDE</t>
  </si>
  <si>
    <t>FORALKYL (PERFLUOROALKYL IODINE)</t>
  </si>
  <si>
    <t>FORANE 502 (R-502)</t>
  </si>
  <si>
    <t>FORMALDEHYDE</t>
  </si>
  <si>
    <t>FORMALIN</t>
  </si>
  <si>
    <t>FORMIC ACID</t>
  </si>
  <si>
    <t>GERMANE (GERMANIUM TETRAHYDRIDE)</t>
  </si>
  <si>
    <t>GERMANIUM TETRACHLORIDE</t>
  </si>
  <si>
    <t>GERMANIUM TETRAFLUORIDE</t>
  </si>
  <si>
    <t>GERMANIUM TETRHYDRIDE (GERMANE)</t>
  </si>
  <si>
    <t>HALON 1211</t>
  </si>
  <si>
    <t>HALON 1301</t>
  </si>
  <si>
    <t>HALOTHANE (BROMOCHLOROTRIFLUOROETHANE)</t>
  </si>
  <si>
    <t>HELIUM</t>
  </si>
  <si>
    <t>HEPTAFLUOROBUTYLENE</t>
  </si>
  <si>
    <t>HEPTAFLUOROBUTYLNITRILE</t>
  </si>
  <si>
    <t>HEPTAFLUOROBUTYRYL CHLORIDE</t>
  </si>
  <si>
    <t>HEPTAFLUOROPROPANE</t>
  </si>
  <si>
    <t>HEPTAFLUOROPROPIONITRILE</t>
  </si>
  <si>
    <t>HEPTAFLUOROPROPYL BROMIDE</t>
  </si>
  <si>
    <t>HEPTAFLUOROPROPYL IODIDE</t>
  </si>
  <si>
    <t>HEPTANE</t>
  </si>
  <si>
    <t>HEXACHLORODIFLUOROPROPANE (R212)</t>
  </si>
  <si>
    <t>HEXACHLOROETHANE</t>
  </si>
  <si>
    <t>HEXACHLOROPROPANE</t>
  </si>
  <si>
    <t>HEXADIENE</t>
  </si>
  <si>
    <t>HEXAFLUORO ISOBUTYLENE</t>
  </si>
  <si>
    <t>HEXAFLUOROACETIC ANHYDRIDE</t>
  </si>
  <si>
    <t>HEXAFLUOROACETONE</t>
  </si>
  <si>
    <t>HEXAFLUOROACETYL ACETONE</t>
  </si>
  <si>
    <t>HEXAFLUOROBIACETYL</t>
  </si>
  <si>
    <t>HEXAFLUOROBUTADIENE</t>
  </si>
  <si>
    <t>HEXAFLUOROBUTANEDIONE</t>
  </si>
  <si>
    <t>HEXAFLUOROBUTYNE</t>
  </si>
  <si>
    <t>HEXAFLUOROCYCLOBUTANE</t>
  </si>
  <si>
    <t>HEXAFLUOROCYCLOBUTENE</t>
  </si>
  <si>
    <t>HEXAFLUOROETHANE (R-116)</t>
  </si>
  <si>
    <t>HEXAFLUOROPENTANE DIONE</t>
  </si>
  <si>
    <t xml:space="preserve">HEXAFLUOROPROPANE </t>
  </si>
  <si>
    <t>HEXAFLUOROPROPENE</t>
  </si>
  <si>
    <t>HEXAFLUOROPROPYLENE (R-1216)</t>
  </si>
  <si>
    <t>HEXAFLUOROPROPYLENE EPOXIDE</t>
  </si>
  <si>
    <t>HEXAFLUOROPROPYLENE OXIDE</t>
  </si>
  <si>
    <t>HEXAMETHYLENEDIAMINE</t>
  </si>
  <si>
    <t>HEXANE</t>
  </si>
  <si>
    <t>HEXENE</t>
  </si>
  <si>
    <t>HEXYL LITHIUM IN HEXANE</t>
  </si>
  <si>
    <t xml:space="preserve">HEXYL MERCAPTAN </t>
  </si>
  <si>
    <t>HYDRAZINE</t>
  </si>
  <si>
    <t>HYDRAZINE HYDRATE</t>
  </si>
  <si>
    <t>HYDRIODIC ACID</t>
  </si>
  <si>
    <t>HYDROBROMIC ACID</t>
  </si>
  <si>
    <t xml:space="preserve">HYDROCYANIC ACID &lt;10% </t>
  </si>
  <si>
    <t>HYDROFLUORIC ACID</t>
  </si>
  <si>
    <t>HYDROGEN</t>
  </si>
  <si>
    <t>HYDROGEN BROMIDE [3] (Photos required, all sizes.  OP required, lectures)</t>
  </si>
  <si>
    <t>HYDROGEN CHLORIDE</t>
  </si>
  <si>
    <r>
      <t xml:space="preserve">HYDROGEN CYANIDE (&lt;10% MIXTURE) * </t>
    </r>
    <r>
      <rPr>
        <b/>
        <sz val="10"/>
        <color rgb="FFFF0000"/>
        <rFont val="Arial"/>
        <family val="2"/>
      </rPr>
      <t>ZONE A</t>
    </r>
  </si>
  <si>
    <r>
      <t xml:space="preserve">HYDROGEN FLUORIDE </t>
    </r>
    <r>
      <rPr>
        <b/>
        <sz val="9"/>
        <color rgb="FFFF0000"/>
        <rFont val="Arial"/>
        <family val="2"/>
      </rPr>
      <t>(Photos required, all sizes.  OP required, lectures)</t>
    </r>
  </si>
  <si>
    <t>HYDROGEN IODIDE</t>
  </si>
  <si>
    <t>HYDROGEN PHOSPHIDE (PHOSPHINE)</t>
  </si>
  <si>
    <r>
      <t xml:space="preserve">HYDROGEN SELENIDE * </t>
    </r>
    <r>
      <rPr>
        <b/>
        <sz val="10"/>
        <color rgb="FFFF0000"/>
        <rFont val="Arial"/>
        <family val="2"/>
      </rPr>
      <t>ZONE A</t>
    </r>
  </si>
  <si>
    <t>HYDROGEN SULFIDE</t>
  </si>
  <si>
    <t>HYDROXYETHYLPHENYL SULFIDE</t>
  </si>
  <si>
    <t>INSTA FOAM PART A       (UN1956)</t>
  </si>
  <si>
    <t>INSTA FOAM PART B    (UN1956)</t>
  </si>
  <si>
    <t>INSTAPAK-A</t>
  </si>
  <si>
    <t>INSTAPAK-B</t>
  </si>
  <si>
    <t>IODINE</t>
  </si>
  <si>
    <t>IODINE MONOCHLORIDE</t>
  </si>
  <si>
    <t>IODINE PENTAFLUORIDE</t>
  </si>
  <si>
    <t>IODOETHANE</t>
  </si>
  <si>
    <t>IODOFLUOROETHANE</t>
  </si>
  <si>
    <r>
      <t>IODOMETHANE (Methyl Iodide</t>
    </r>
    <r>
      <rPr>
        <sz val="9"/>
        <color theme="1"/>
        <rFont val="Arial"/>
        <family val="2"/>
      </rPr>
      <t>)  Insp w/ net weight, Valve &amp; DOT spec. 6-11-09</t>
    </r>
  </si>
  <si>
    <t>CY05/CY07</t>
  </si>
  <si>
    <t>IODOPENTAFLUOROETHANE</t>
  </si>
  <si>
    <t>IODOPERFLUOROETHANE</t>
  </si>
  <si>
    <t>IODOTRIFLUOROETHANE</t>
  </si>
  <si>
    <t>IODOTRIFLUOROETHYLENE</t>
  </si>
  <si>
    <t>IODOTRIFLUOROMETHANE</t>
  </si>
  <si>
    <t>IRIDIUM HEXAFLUORIDE</t>
  </si>
  <si>
    <r>
      <t xml:space="preserve">IRON PENTACARBONYL * </t>
    </r>
    <r>
      <rPr>
        <b/>
        <sz val="10"/>
        <color rgb="FFFF0000"/>
        <rFont val="Arial"/>
        <family val="2"/>
      </rPr>
      <t>ZONE A</t>
    </r>
  </si>
  <si>
    <t>ISOBUTANE (2-Methyl Propane)</t>
  </si>
  <si>
    <t>ISOBUTENE</t>
  </si>
  <si>
    <t>ISOBUTYL ALUMINUM DICHLORIDE</t>
  </si>
  <si>
    <t>ISOBUTYLENE</t>
  </si>
  <si>
    <t>ISOBUTYLMAGNESIUM CHLORIDE</t>
  </si>
  <si>
    <t>ISOCYANATE</t>
  </si>
  <si>
    <t>ISOFLURANE</t>
  </si>
  <si>
    <t>ISOOCTANE</t>
  </si>
  <si>
    <t>ISOPENTANE</t>
  </si>
  <si>
    <t>ISOPENTENE</t>
  </si>
  <si>
    <t>ISOPRENE</t>
  </si>
  <si>
    <t>ISOPROPANOL</t>
  </si>
  <si>
    <t>ISOPROPYL ALCOHOL</t>
  </si>
  <si>
    <t>ISOPROPYL FLUORIDE (2-FLUOROPROPANE)</t>
  </si>
  <si>
    <t xml:space="preserve">ISOPROPYL MAGNESIUM CHLORIDE </t>
  </si>
  <si>
    <t>ISOPROPYL MERCAPTAN</t>
  </si>
  <si>
    <t>ISOPROPYLAMINE</t>
  </si>
  <si>
    <t>KRYPTON</t>
  </si>
  <si>
    <t>LETHALAIRE A-20</t>
  </si>
  <si>
    <t>LETHALAIRE G52 (TETRAETHYLPYROPHOSPHATE)</t>
  </si>
  <si>
    <t>LETHALAIRE G54 (PARATHION)</t>
  </si>
  <si>
    <t>LETHALAIRE G57 (SULFOTEPP)</t>
  </si>
  <si>
    <t>LETHALAIRE G59</t>
  </si>
  <si>
    <t>LETHALAIRE G60 (ARAMITE)</t>
  </si>
  <si>
    <t>LETHALAIRE G61 (ARAMITE/LINDANE)</t>
  </si>
  <si>
    <t>LETHALAIRE G64 (PHOSDRIN)</t>
  </si>
  <si>
    <t>LETHALAIRE G68 (DDVP)</t>
  </si>
  <si>
    <t>LETHALAIRE V23 (Virchem Twenty-Three)</t>
  </si>
  <si>
    <t>LETHANE</t>
  </si>
  <si>
    <t>LINDANE</t>
  </si>
  <si>
    <t>LITHIUM ALUMINUM HYDRIDE</t>
  </si>
  <si>
    <t>LITHIUM DIISOPROPYLAMIDE</t>
  </si>
  <si>
    <t>LITHIUM TRIBUTYL BOROHYDRIDE</t>
  </si>
  <si>
    <t>LPG</t>
  </si>
  <si>
    <t>MAPP GAS (METHYL ACETYLENE PROPADIENE, STABILIZED)</t>
  </si>
  <si>
    <t>MDI POLYOL</t>
  </si>
  <si>
    <t xml:space="preserve">MERCAPTOETHANOL </t>
  </si>
  <si>
    <t>METHANE</t>
  </si>
  <si>
    <t>METHANETHIOL (Methyl Mercaptan)</t>
  </si>
  <si>
    <t>METHANOL</t>
  </si>
  <si>
    <t>METHOXYBENZENE (ANISOLE)</t>
  </si>
  <si>
    <t>METHYL ACETYLENE (PROPYNE)</t>
  </si>
  <si>
    <t>METHYL ACETYLENE PROPADIENE, STABILIZED (MAPP)</t>
  </si>
  <si>
    <t>METHYL ACROLEIN</t>
  </si>
  <si>
    <t>METHYL ALCOHOL</t>
  </si>
  <si>
    <t>METHYL ALLYL TELLURIDE</t>
  </si>
  <si>
    <t>METHYL ALUMINUM SESQUICHLORIDE</t>
  </si>
  <si>
    <t>METHYL ALUMINUMOXANE</t>
  </si>
  <si>
    <t>METHYL BROMIDE  (BROMOMETHANE)</t>
  </si>
  <si>
    <t>METHYL BROMIDE/ETHYLENE DIBROMIDE</t>
  </si>
  <si>
    <t>METHYL BUTADIENE</t>
  </si>
  <si>
    <t>METHYL BUTANETHIOL</t>
  </si>
  <si>
    <t>METHYL BUTENE</t>
  </si>
  <si>
    <t>METHYL BUTYL ETHER</t>
  </si>
  <si>
    <t>METHYL CHLORIDE (CHLOROMETHANE) (R40)</t>
  </si>
  <si>
    <t>METHYL CHLOROFORM</t>
  </si>
  <si>
    <t>METHYL CYCLOHEXANE</t>
  </si>
  <si>
    <t>METHYL CYCLOPENTANE</t>
  </si>
  <si>
    <t xml:space="preserve">METHYL CYCLOPROPANE </t>
  </si>
  <si>
    <t>METHYL CYCLOPROPANOL</t>
  </si>
  <si>
    <t>METHYL DICHLOROSILANE</t>
  </si>
  <si>
    <t>METHYL ETHER (DIMETHYLETHER)</t>
  </si>
  <si>
    <t>METHYL FLUORIDE (FLUOROMETHANE)</t>
  </si>
  <si>
    <r>
      <t xml:space="preserve">METHYL HYDRAZINE * </t>
    </r>
    <r>
      <rPr>
        <b/>
        <sz val="10"/>
        <color rgb="FFFF0000"/>
        <rFont val="Arial"/>
        <family val="2"/>
      </rPr>
      <t>ZONE A</t>
    </r>
  </si>
  <si>
    <r>
      <t xml:space="preserve">METHYL IODIDE (Iodomethane) </t>
    </r>
    <r>
      <rPr>
        <sz val="9"/>
        <color theme="1"/>
        <rFont val="Arial"/>
        <family val="2"/>
      </rPr>
      <t>Insp w/ net weight, Valve &amp; DOT spec 6-11-09</t>
    </r>
  </si>
  <si>
    <t>METHYL LITHIUM</t>
  </si>
  <si>
    <t>METHYL MAGNESIUM BROMIDE</t>
  </si>
  <si>
    <t>METHYL MAGNESIUM CHLORIDE</t>
  </si>
  <si>
    <t>METHYL MAGNESIUM IODIDE</t>
  </si>
  <si>
    <t>METHYL MERCAPTAN (Methanethiol)</t>
  </si>
  <si>
    <t>METHYL PENTENE</t>
  </si>
  <si>
    <t>METHYL PHENYL ETHER</t>
  </si>
  <si>
    <t>METHYL PROPANE (ISOBUTANE)</t>
  </si>
  <si>
    <t>METHYL SILANE</t>
  </si>
  <si>
    <t>METHYL TRICHLOROSILANE</t>
  </si>
  <si>
    <t>METHYL TRIFLUOROSILANE</t>
  </si>
  <si>
    <t>METHYL VINYL ETHER</t>
  </si>
  <si>
    <t>METHYLALUMINOXANE</t>
  </si>
  <si>
    <t>METHYLAMINE</t>
  </si>
  <si>
    <t xml:space="preserve">METHYLDICHLOROARSINE </t>
  </si>
  <si>
    <t>METHYLENE BROMIDE</t>
  </si>
  <si>
    <t>METHYLENE CHLORIDE</t>
  </si>
  <si>
    <t>METHYLENE FLUORIDE</t>
  </si>
  <si>
    <t>METHYLETHENE</t>
  </si>
  <si>
    <t>METHYLETHYLENE</t>
  </si>
  <si>
    <t>METHYLPROPANE-2</t>
  </si>
  <si>
    <t>METHYLPROPENE (ISOBUTYLENE)</t>
  </si>
  <si>
    <t>METHYLPROPYLENE (ISOBUTYLENE)</t>
  </si>
  <si>
    <t>METHYL-TERT-BUTYL ETHER</t>
  </si>
  <si>
    <t>MEVINPHOS</t>
  </si>
  <si>
    <t>MOLYBDENUM FLUORIDE</t>
  </si>
  <si>
    <t>MOLYBDENUM HEXAFLUORIDE</t>
  </si>
  <si>
    <t>MONOCHLORODIFLUOROMETHANE</t>
  </si>
  <si>
    <t>MONOCHLOROSILANE</t>
  </si>
  <si>
    <t>MONOETHANOLAMINE</t>
  </si>
  <si>
    <t>MONOETHYLAMINE</t>
  </si>
  <si>
    <t>MONOMETHYLAMINE</t>
  </si>
  <si>
    <t>NAPTHA PETROLEUM DISTILLATES</t>
  </si>
  <si>
    <t>NATURAL GAS</t>
  </si>
  <si>
    <t>N-BUTYL FLUORIDE</t>
  </si>
  <si>
    <t>N-BUTYL SULFIDE</t>
  </si>
  <si>
    <t>NEON</t>
  </si>
  <si>
    <t>NEOPENTANE (DIMETHYLPROPANE)</t>
  </si>
  <si>
    <t>N-HEPTAFLUOROPROPYL IODIDE</t>
  </si>
  <si>
    <t>N-HEXYL MERCAPTAN</t>
  </si>
  <si>
    <r>
      <t xml:space="preserve">NICKEL CARBONYL * </t>
    </r>
    <r>
      <rPr>
        <b/>
        <sz val="10"/>
        <color rgb="FFFF0000"/>
        <rFont val="Arial"/>
        <family val="2"/>
      </rPr>
      <t>ZONE A</t>
    </r>
  </si>
  <si>
    <r>
      <t xml:space="preserve">NITRIC OXIDE * </t>
    </r>
    <r>
      <rPr>
        <b/>
        <sz val="10"/>
        <color rgb="FFFF0000"/>
        <rFont val="Arial"/>
        <family val="2"/>
      </rPr>
      <t>ZONE A</t>
    </r>
  </si>
  <si>
    <t>NITROGEN</t>
  </si>
  <si>
    <t>CY01/CY13</t>
  </si>
  <si>
    <r>
      <t xml:space="preserve">NITROGEN DIOXIDE (DINITROGEN TETROXIDE) * </t>
    </r>
    <r>
      <rPr>
        <b/>
        <sz val="10"/>
        <color rgb="FFFF0000"/>
        <rFont val="Arial"/>
        <family val="2"/>
      </rPr>
      <t>ZONE A</t>
    </r>
  </si>
  <si>
    <r>
      <t xml:space="preserve">NITROGEN PEROXIDE (NITROGEN DIOXIDE) * </t>
    </r>
    <r>
      <rPr>
        <b/>
        <sz val="10"/>
        <color rgb="FFFF0000"/>
        <rFont val="Arial"/>
        <family val="2"/>
      </rPr>
      <t>ZONE A</t>
    </r>
  </si>
  <si>
    <r>
      <t xml:space="preserve">NITROGEN TRIFLUORIDE        </t>
    </r>
    <r>
      <rPr>
        <b/>
        <sz val="10"/>
        <color rgb="FF0000FF"/>
        <rFont val="Arial"/>
        <family val="2"/>
      </rPr>
      <t>(PHOTOS REQUIRED)</t>
    </r>
  </si>
  <si>
    <r>
      <t xml:space="preserve">NITROGEN TRIOXIDE * </t>
    </r>
    <r>
      <rPr>
        <b/>
        <sz val="10"/>
        <color rgb="FFFF0000"/>
        <rFont val="Arial"/>
        <family val="2"/>
      </rPr>
      <t>ZONE A</t>
    </r>
  </si>
  <si>
    <t>NITROSYL CHLORIDE</t>
  </si>
  <si>
    <r>
      <t xml:space="preserve">NITROSYL FLUORIDE </t>
    </r>
    <r>
      <rPr>
        <b/>
        <sz val="10"/>
        <color rgb="FF0000FF"/>
        <rFont val="Arial"/>
        <family val="2"/>
      </rPr>
      <t>(PHOTOS REQUIRED)</t>
    </r>
  </si>
  <si>
    <t>NITROUS OXIDE</t>
  </si>
  <si>
    <r>
      <t xml:space="preserve">NITRYL FLUORIDE </t>
    </r>
    <r>
      <rPr>
        <b/>
        <sz val="10"/>
        <color rgb="FF0000FF"/>
        <rFont val="Arial"/>
        <family val="2"/>
      </rPr>
      <t>(PHOTOS REQUIRED)</t>
    </r>
  </si>
  <si>
    <t>N-OCTYL MERCAPTAN</t>
  </si>
  <si>
    <t>NONAFLUOROISOBUTANE</t>
  </si>
  <si>
    <t>OCTAFLUOROBUTENE</t>
  </si>
  <si>
    <t>OCTAFLUOROCYCLOBUTANE (R-C318)</t>
  </si>
  <si>
    <t>OCTAFLUOROCYCLOPENTANE</t>
  </si>
  <si>
    <t>OCTAFLUOROPROPANE (R-218)</t>
  </si>
  <si>
    <t>OCTANES</t>
  </si>
  <si>
    <t>OCTANETHIOL</t>
  </si>
  <si>
    <t>OCTYL FLUORIDE</t>
  </si>
  <si>
    <t>OCTYLBICYCLOHEPTENE</t>
  </si>
  <si>
    <t>OLEUM</t>
  </si>
  <si>
    <t>OXYFUME-12 STERILANT</t>
  </si>
  <si>
    <t>OXYGEN</t>
  </si>
  <si>
    <t>OXYGEN DIFLUORIDE</t>
  </si>
  <si>
    <t>PARAQUAT IN H20</t>
  </si>
  <si>
    <t>PARATHION</t>
  </si>
  <si>
    <t>PENETENE-2</t>
  </si>
  <si>
    <t>PENTABORANE</t>
  </si>
  <si>
    <t>PENTACHLOROFLUOROETHANE (R111)</t>
  </si>
  <si>
    <t>PENTACHLOROPROPANE</t>
  </si>
  <si>
    <t>PENTACHLOROTRIFLUOROPROPANE (R213)</t>
  </si>
  <si>
    <t>PENTAFLUOROACETONE</t>
  </si>
  <si>
    <t>PENTAFLUOROBUTENE</t>
  </si>
  <si>
    <t>PENTAFLUOROCHLORO ACETONE</t>
  </si>
  <si>
    <t>PENTAFLUORODIMETHYL ETHER</t>
  </si>
  <si>
    <t>PENTAFLUOROETHANE</t>
  </si>
  <si>
    <t>PENTAFLUOROETHYL IODIDE</t>
  </si>
  <si>
    <t>PENTAFLUOROETHYLENE IODIDE</t>
  </si>
  <si>
    <t>PENTAFLUOROMONOCHLOROACETONE</t>
  </si>
  <si>
    <t>PENTAFLUOROPROPANOL</t>
  </si>
  <si>
    <t>PENTAFLUOROPROPENE</t>
  </si>
  <si>
    <t>PENTAFLUOROPROPIONILE CHLORIDE</t>
  </si>
  <si>
    <t>PENTAFLUOROPROPIONITRILE</t>
  </si>
  <si>
    <t>PENTANE</t>
  </si>
  <si>
    <t>PENTENE-1</t>
  </si>
  <si>
    <t xml:space="preserve">PERCHLOROETHANE </t>
  </si>
  <si>
    <r>
      <t xml:space="preserve">PERCHLORYL FLUORIDE </t>
    </r>
    <r>
      <rPr>
        <b/>
        <sz val="10"/>
        <color rgb="FF0000FF"/>
        <rFont val="Arial"/>
        <family val="2"/>
      </rPr>
      <t>(PHOTOS REQUIRED)</t>
    </r>
  </si>
  <si>
    <t>PERFLUORO-2-BUTENE</t>
  </si>
  <si>
    <t>PERFLUOROACETONE</t>
  </si>
  <si>
    <t>PERFLUOROACETYL CHLORIDE</t>
  </si>
  <si>
    <t>PERFLUOROALKYL IODINE (FORALKYL)</t>
  </si>
  <si>
    <t>PERFLUOROBUTADIENE</t>
  </si>
  <si>
    <t>PERFLUOROBUTANE</t>
  </si>
  <si>
    <t>PERFLUOROBUTANONE</t>
  </si>
  <si>
    <t>PERFLUOROBUTENE</t>
  </si>
  <si>
    <t>PERFLUOROBUTYRYL FLUORIDE</t>
  </si>
  <si>
    <t>PERFLUOROCYCLOBUTANE (R318)</t>
  </si>
  <si>
    <t>PERFLUOROCYCLOBUTENE</t>
  </si>
  <si>
    <t>PERFLUOROCYCLOHEXENE</t>
  </si>
  <si>
    <t>PERFLUORODIETHYL ETHER</t>
  </si>
  <si>
    <t>PERFLUORODIMETHYL CYCLOBUTANE</t>
  </si>
  <si>
    <t>PERFLUOROETHANE (R-125)</t>
  </si>
  <si>
    <t>PERFLUOROETHYL IODIDE</t>
  </si>
  <si>
    <t>PERFLUOROISOBUTENE</t>
  </si>
  <si>
    <t>PERFLUOROISOBUTYLENE</t>
  </si>
  <si>
    <t>PERFLUOROISOHEXANE</t>
  </si>
  <si>
    <t>PERFLUOROMETHYLSULFONYL FLUORIDE</t>
  </si>
  <si>
    <t>PERFLUOROPENTANE</t>
  </si>
  <si>
    <t>PERFLUOROPROPANE</t>
  </si>
  <si>
    <t>PERFLUOROPROPENE</t>
  </si>
  <si>
    <t>PERFLUOROPROPIONITRILE</t>
  </si>
  <si>
    <t>PERFLUOROPROPYL VINYL ETHER</t>
  </si>
  <si>
    <t>PERFLUOROPROPYLENE</t>
  </si>
  <si>
    <t>PERFLUOROPROPYLENE OXIDE</t>
  </si>
  <si>
    <t>PETROLEUM DISTILLATES</t>
  </si>
  <si>
    <t>PETROLEUM GASES, LIQUIFIED</t>
  </si>
  <si>
    <t>PHENYL LITHIUM</t>
  </si>
  <si>
    <t>PHENYL MAGNESIUM BROMIDE</t>
  </si>
  <si>
    <t>PHENYL MAGNESIUM CHLORIDE</t>
  </si>
  <si>
    <t>PHENYL MERCAPTAN</t>
  </si>
  <si>
    <t>PHENYL SILANE</t>
  </si>
  <si>
    <t>PHOSDRIN (LETHALAIRE G64)</t>
  </si>
  <si>
    <t>PHOSGENE (CARBONYL CHLORIDE) * [4] LEAK TEST or OP        ZONE A</t>
  </si>
  <si>
    <r>
      <t xml:space="preserve">PHOSPHINE *                  </t>
    </r>
    <r>
      <rPr>
        <b/>
        <sz val="10"/>
        <color rgb="FFFF0000"/>
        <rFont val="Arial"/>
        <family val="2"/>
      </rPr>
      <t>ZONE A</t>
    </r>
  </si>
  <si>
    <t>PHOSPHORUS OXYCHLORIDE</t>
  </si>
  <si>
    <t>PHOSPHORUS PENTAFLUORIDE</t>
  </si>
  <si>
    <t>PHOSPHORUS TRIBROMIDE</t>
  </si>
  <si>
    <t>PHOSPHORUS TRICHLORIDE</t>
  </si>
  <si>
    <t>PHOSPHORUS TRIFLUORIDE</t>
  </si>
  <si>
    <t>PHOSPHORYL CHLORIDE</t>
  </si>
  <si>
    <t>PINACOLBORANE</t>
  </si>
  <si>
    <t>PINANYL MERCAPTAN</t>
  </si>
  <si>
    <t>PINENE</t>
  </si>
  <si>
    <t>PIPERONYL BUTOXIDE</t>
  </si>
  <si>
    <t>POLYAMINE ISOCYANATE</t>
  </si>
  <si>
    <t>POLYMERIC MDI</t>
  </si>
  <si>
    <t>POLYMETHYLALUMINOXANE</t>
  </si>
  <si>
    <t>POLYMETHYLENE POLYPHENYL ISOCYANATE</t>
  </si>
  <si>
    <t>PROPADIENE (ALLENE)</t>
  </si>
  <si>
    <t>PROPANE (20-Lb "Grill Size")</t>
  </si>
  <si>
    <t>PROPANE (Cartridges)</t>
  </si>
  <si>
    <r>
      <t xml:space="preserve">PROPANE (DIMETHYLMETHANE) </t>
    </r>
    <r>
      <rPr>
        <sz val="8"/>
        <color theme="1"/>
        <rFont val="Arial"/>
        <family val="2"/>
      </rPr>
      <t>Other than 20-Lb "Grill Size" and Cartridges</t>
    </r>
  </si>
  <si>
    <t>PROPANE DITHIOL</t>
  </si>
  <si>
    <t>PROPANE TRITHIOL</t>
  </si>
  <si>
    <t>PROPANETHIOL</t>
  </si>
  <si>
    <t>PROPENE</t>
  </si>
  <si>
    <t>PROPYL FLUORIDE</t>
  </si>
  <si>
    <t>PROPYL MERCAPTAN</t>
  </si>
  <si>
    <t>PROPYLENE</t>
  </si>
  <si>
    <t>PROPYLENE OXIDE</t>
  </si>
  <si>
    <t>PROPYNE (METHYLACETYLENE)</t>
  </si>
  <si>
    <t>PURPLE K (FIRE EXTINGUISHER)</t>
  </si>
  <si>
    <t>PYRETHRINS</t>
  </si>
  <si>
    <t>PYRETHRUM</t>
  </si>
  <si>
    <t>R-11 (TRICHLOROFLUOROMETHANE)</t>
  </si>
  <si>
    <t>R-111 (PENTACHLOROFLUOROETHANE)</t>
  </si>
  <si>
    <t>R-1112 (DICHLORODIFLUROETHYLENE)</t>
  </si>
  <si>
    <t>R-1113 (TRIFLUOROCHLOROETHYLENE)</t>
  </si>
  <si>
    <t>R-112 (TETRACHLORODIFLUOROETHANE)</t>
  </si>
  <si>
    <t>R-1123 (TRIFLUOROETHYLENE)</t>
  </si>
  <si>
    <t>R-113 (TRICHLOROTRIFLUOROETHANE)</t>
  </si>
  <si>
    <t>R-1131A (CHLOROFLUOROETHYLENE)</t>
  </si>
  <si>
    <t>R-1132A (DIFLUOROETHYLENE)</t>
  </si>
  <si>
    <t>R-113B1 (BROMOTRIFLUOROETHYLENE)</t>
  </si>
  <si>
    <t>R-114 (DICHLOROTETRAFLUOROETHANE)</t>
  </si>
  <si>
    <t>R-115(CHLOROPENTAFLUOROETHANE)</t>
  </si>
  <si>
    <t>R-116 (HEXAFLUOROETHANE)</t>
  </si>
  <si>
    <t>R-12 (DICHLORODIFLUOROMETHANE)</t>
  </si>
  <si>
    <t>R-1211 (BROMOCHLORODIFLUOROMETHANE)</t>
  </si>
  <si>
    <t>R-1216 (HEXAFLUOROPROPYLENE)</t>
  </si>
  <si>
    <t>R-123 (DICHLOROTRIFLUOROETHANE)</t>
  </si>
  <si>
    <t>R-124 (CHLOROTETRAFLUOROETHANE)</t>
  </si>
  <si>
    <t>R-125 (PERFLUOROETHANE)</t>
  </si>
  <si>
    <t>R-12B2 (DIBROMODIFLOUROMETHANE)</t>
  </si>
  <si>
    <t>R-13 (CHLOROTRIFLUORMETHANE)</t>
  </si>
  <si>
    <t>R-1301 (BROMOTRIFLUOROMETHANE)</t>
  </si>
  <si>
    <t>R-132 (DICHLORODIFLUOROETHANE)</t>
  </si>
  <si>
    <t>R-133A (CHLOROTIRFLUOROETHANE)</t>
  </si>
  <si>
    <t>R-134A (TETRAFLUOROETHANE 1,1,1,2)</t>
  </si>
  <si>
    <t>R-13B1 (BROMOTRIFLUOROMETHANE)</t>
  </si>
  <si>
    <t>R-14 (TETRAFLUOROMETHANE)</t>
  </si>
  <si>
    <t>R-141B (1,1 DICHLORO-1-FLUOROETHANE)</t>
  </si>
  <si>
    <t>R-142B (1-CHLORO-1,1-DIFLUOROETHANE)</t>
  </si>
  <si>
    <t>R-143 (TRIFLUOROETHANE)</t>
  </si>
  <si>
    <t>R-152A (1,1-DIFLUOROETHANE)</t>
  </si>
  <si>
    <t>R-161 (FLUOROETHANE)</t>
  </si>
  <si>
    <t>R-21 (DICHLOFLUOROMETHANE)</t>
  </si>
  <si>
    <t>R-212 (HEXACHLORODIFLUOROPROPANE)</t>
  </si>
  <si>
    <t>R-213 (PENTACHLOROTRIFLUOROPROPANE)</t>
  </si>
  <si>
    <t>R-215 (TRICHLOROPENTAFLUOROPROPANE)</t>
  </si>
  <si>
    <t>R-217 (CHLOROHEPTAFLUOROPROPANE)</t>
  </si>
  <si>
    <t>R-218 (OCTAFLUOROPROPANE)</t>
  </si>
  <si>
    <t>R-22 (CHLORODIFLUOROMETHANE)</t>
  </si>
  <si>
    <t>R-23 (TRIFLUOROMETHANE)</t>
  </si>
  <si>
    <t>R-2402 (DIBROMOTETRAFLUOROETHANE)</t>
  </si>
  <si>
    <t>R-318 (PERFLUOROCYCLOBUTANE)</t>
  </si>
  <si>
    <t>R-32 (METHYLENE FLUORIDE)</t>
  </si>
  <si>
    <t>R-40 (METHYL CHLORIDE) (CHLOROMETHANE)</t>
  </si>
  <si>
    <t>R-402A</t>
  </si>
  <si>
    <t>R-404A</t>
  </si>
  <si>
    <t>R-409A</t>
  </si>
  <si>
    <t>R-41 (METHYL FLUORIDE)</t>
  </si>
  <si>
    <t>R-500 (DICHLORODIFLUOROMETHANE &amp; DIFLUOROETHANE)</t>
  </si>
  <si>
    <t>R-502 (R-22 &amp; RR-115 MIX)</t>
  </si>
  <si>
    <t>R-503</t>
  </si>
  <si>
    <t>R-C318 (OCTAFLUOROCYCLOBUTANE)</t>
  </si>
  <si>
    <t>RESMETHRIN IN SOLUTION</t>
  </si>
  <si>
    <t>RHENIUM HEXAFLUORIDE</t>
  </si>
  <si>
    <t>SELECTRIDE-L (LITHIUM TRI-SEC-BUTYL BOROHYDRIDE)</t>
  </si>
  <si>
    <t>SELENIUM CHLORIDE</t>
  </si>
  <si>
    <r>
      <t xml:space="preserve">SELENIUM HEXAFLUORIDE * </t>
    </r>
    <r>
      <rPr>
        <b/>
        <sz val="10"/>
        <color rgb="FFFF0000"/>
        <rFont val="Arial"/>
        <family val="2"/>
      </rPr>
      <t>ZONE A</t>
    </r>
  </si>
  <si>
    <t>SELENIUM OXYCHLORIDE</t>
  </si>
  <si>
    <t>SILANE</t>
  </si>
  <si>
    <t>SILICON TETRABROMIDE</t>
  </si>
  <si>
    <t>SILICON TETRACHLORIDE</t>
  </si>
  <si>
    <t>SILICON TETRAFLUORIDE</t>
  </si>
  <si>
    <t>SILICON TETRAHYDRIDE (SILANE)</t>
  </si>
  <si>
    <t>SODIUM ALUMINUM DIETHYL DIHYDRIDE</t>
  </si>
  <si>
    <t>SODIUM DIETHYLDIHYDROALUMINATE IN TOLUENE</t>
  </si>
  <si>
    <t>SODIUM-POTASSIUM ALLOY</t>
  </si>
  <si>
    <t>STANNIC CHLORIDE</t>
  </si>
  <si>
    <t>STYRENE</t>
  </si>
  <si>
    <t>SULFOTEPP(LETHALAIRE G57)</t>
  </si>
  <si>
    <t>SULFUR CHLORIDE</t>
  </si>
  <si>
    <t>SULFUR CHLOROPENTAFLUORIDE</t>
  </si>
  <si>
    <t>SULFUR DICHLORIDE</t>
  </si>
  <si>
    <t>SULFUR DIOXIDE</t>
  </si>
  <si>
    <t>SULFUR HEXAFLUORIDE</t>
  </si>
  <si>
    <t>SULFUR MONOCHLORIDE</t>
  </si>
  <si>
    <t>SULFUR PENTAFLUORIDE</t>
  </si>
  <si>
    <r>
      <t xml:space="preserve">SULFUR TETRACHLORIDE * </t>
    </r>
    <r>
      <rPr>
        <b/>
        <sz val="10"/>
        <color rgb="FFFF0000"/>
        <rFont val="Arial"/>
        <family val="2"/>
      </rPr>
      <t>ZONE A</t>
    </r>
  </si>
  <si>
    <t>SULFUR TETRAFLUORIDE</t>
  </si>
  <si>
    <t>SULFUR TRIOXIDE</t>
  </si>
  <si>
    <t>SULFURIC ACID</t>
  </si>
  <si>
    <r>
      <t xml:space="preserve">SULFURYL CHLORIDE * </t>
    </r>
    <r>
      <rPr>
        <b/>
        <sz val="10"/>
        <color rgb="FFFF0000"/>
        <rFont val="Arial"/>
        <family val="2"/>
      </rPr>
      <t>ZONE A</t>
    </r>
  </si>
  <si>
    <t>SULFURYL CHLORIDE FLUORIDE</t>
  </si>
  <si>
    <t>SULFURYL FLUORIDE</t>
  </si>
  <si>
    <t xml:space="preserve">TEAR GAS </t>
  </si>
  <si>
    <r>
      <t xml:space="preserve">TELLURIUMHEXAFLUORIDE * </t>
    </r>
    <r>
      <rPr>
        <b/>
        <sz val="10"/>
        <color rgb="FFFF0000"/>
        <rFont val="Arial"/>
        <family val="2"/>
      </rPr>
      <t>ZONE A</t>
    </r>
  </si>
  <si>
    <t>TERT-BUTYL ARSINE</t>
  </si>
  <si>
    <t>TERT-BUTYL FLUORIDE</t>
  </si>
  <si>
    <t>TERT-BUTYL MERCAPTAN</t>
  </si>
  <si>
    <t>TERT-BUTYL PHOSPHINE</t>
  </si>
  <si>
    <t>TERT-DODECYLDISULFIDE</t>
  </si>
  <si>
    <t>TERT-DODECYLMERCAPTAN</t>
  </si>
  <si>
    <t>TERT-HEXADECYLMERCAPTAN</t>
  </si>
  <si>
    <t>TERTIARY BUTYL ARSINE</t>
  </si>
  <si>
    <t>TERT-OCTYLMERCAPTAN</t>
  </si>
  <si>
    <t>TETRA ISOPROPYL TITANATE</t>
  </si>
  <si>
    <t>TETRA-2-ETHYLHEXYLTITANATE</t>
  </si>
  <si>
    <t>TETRACARBONYL NICKEL</t>
  </si>
  <si>
    <t>TETRACHLORODIFLUOROETHANE (R-112)</t>
  </si>
  <si>
    <t>TETRACHLOROETHYLENE</t>
  </si>
  <si>
    <t>TETRACHLOROSILANE</t>
  </si>
  <si>
    <t>TETRAETHYL LEAD</t>
  </si>
  <si>
    <t>TETRAETHYL ORTHOSILICATE</t>
  </si>
  <si>
    <t>TETRAETHYL PYROPHOSPHATE</t>
  </si>
  <si>
    <t>TETRAETHYL TIN</t>
  </si>
  <si>
    <t>TETRAFLUOROBENZENE (FLUOREZE)</t>
  </si>
  <si>
    <t>TETRAFLUOROBENZENE, 1,2,3,5-</t>
  </si>
  <si>
    <t>TETRAFLUOROETHANE 1,1,1,2 (R-134A)</t>
  </si>
  <si>
    <t>TETRAFLUOROETHYLENE</t>
  </si>
  <si>
    <t xml:space="preserve">TETRAFLUOROHYDRAZINE </t>
  </si>
  <si>
    <t>TETRAFLUOROMETHANE (R-14)</t>
  </si>
  <si>
    <t>TETRAFLUOROSILANE</t>
  </si>
  <si>
    <t>TETRAHYDROFURAN</t>
  </si>
  <si>
    <t>TETRAMETHYL METHANE</t>
  </si>
  <si>
    <t>TETRAMETHYL TIN</t>
  </si>
  <si>
    <t>TETRAMETHYLENE</t>
  </si>
  <si>
    <t>TETRAMETHYLETHOXY SILANE</t>
  </si>
  <si>
    <t>TETRAMETHYLMETHANE (NEOPENTANE)</t>
  </si>
  <si>
    <t>TETRAMETHYLSILANE</t>
  </si>
  <si>
    <t>TETRA-N-PROPYL TITANATE</t>
  </si>
  <si>
    <t>TETRA-N-PROPYL ZIRCONATE</t>
  </si>
  <si>
    <t>TETRAPHENYL SILANE</t>
  </si>
  <si>
    <t xml:space="preserve">THIOETHANOL </t>
  </si>
  <si>
    <t>THIOLCYCLOBUTANE</t>
  </si>
  <si>
    <t>THIONYL BROMIDE</t>
  </si>
  <si>
    <t>THIONYL CHLORIDE</t>
  </si>
  <si>
    <t>THIONYL FLUORIDE</t>
  </si>
  <si>
    <t>TIN CHLORIDE</t>
  </si>
  <si>
    <t>TIN DICHLORIDE (STANNOUS CHLORIDE)</t>
  </si>
  <si>
    <t>TIN TETRACHLORIDE</t>
  </si>
  <si>
    <t>TIN TETRACHLORIDE (STANNIC CHLORIDE)</t>
  </si>
  <si>
    <t>TITANIUM TETRABROMIDE</t>
  </si>
  <si>
    <t>TITANIUM TETRACHLORIDE</t>
  </si>
  <si>
    <t>TITANIUM TETRAPROPOXIDE</t>
  </si>
  <si>
    <t>TOLUENE</t>
  </si>
  <si>
    <t>TOLUENE THIOL</t>
  </si>
  <si>
    <t>TRANS-2-BUTENE</t>
  </si>
  <si>
    <t>TRIALLYALUMINUM</t>
  </si>
  <si>
    <t>TRIALLYLARSINE</t>
  </si>
  <si>
    <t>TRIBROMOMETHANE (BROMOFORM)</t>
  </si>
  <si>
    <t>TRIBUTYL ALUMINUM</t>
  </si>
  <si>
    <t>TRIBUTYL BORANE</t>
  </si>
  <si>
    <t>TRIBUTYL BORON</t>
  </si>
  <si>
    <t>TRIBUTYLAMINE</t>
  </si>
  <si>
    <t>TRIBUTYLTIN CHLORIDE</t>
  </si>
  <si>
    <t>TRICHLOROACETYL CHLORIDE</t>
  </si>
  <si>
    <t>TRICHLOROALUMINUM (ALUMINUM TRICHLORIDE)</t>
  </si>
  <si>
    <t>TRICHLOROETHANE</t>
  </si>
  <si>
    <t>TRICHLOROETHYLENE</t>
  </si>
  <si>
    <t>TRICHLOROFLUOROMETHANE (R-11)</t>
  </si>
  <si>
    <t>TRICHLOROMETHANE SULFONYL CHLORIDE</t>
  </si>
  <si>
    <t>TRICHLOROPENTAFLUOROPROPANE (R-215)</t>
  </si>
  <si>
    <t>TRICHLOROPHENYL SILANE</t>
  </si>
  <si>
    <t>TRICHLOROSILANE</t>
  </si>
  <si>
    <t>TRICHLOROTRIFLUOROETHANE (R-113)</t>
  </si>
  <si>
    <t>TRICITRONELLYL ALUMINUM</t>
  </si>
  <si>
    <t>TRIETHYL ALUMINUM</t>
  </si>
  <si>
    <t>TRIETHYL ARSENIC</t>
  </si>
  <si>
    <t>TRIETHYL BORANE</t>
  </si>
  <si>
    <t>TRIETHYL BORON (TRIETHYL BORANE)</t>
  </si>
  <si>
    <t>TRIETHYL GALLIUM</t>
  </si>
  <si>
    <t>TRIETHYL INDIUM</t>
  </si>
  <si>
    <t>TRIETHYL PHOSPHINE</t>
  </si>
  <si>
    <t>TRIETHYLAMINE</t>
  </si>
  <si>
    <t>TRIETHYLOXONIUM TETRAFLUOROBORATE</t>
  </si>
  <si>
    <t>TRIFLUOROACETIC ANHYDRIDE</t>
  </si>
  <si>
    <t>TRIFLUOROACETONE</t>
  </si>
  <si>
    <t>TRIFLUOROACETONITRILE</t>
  </si>
  <si>
    <t>TRIFLUOROACETYL CHLORIDE</t>
  </si>
  <si>
    <t>TRIFLUOROACETYL FLUORIDE</t>
  </si>
  <si>
    <t>TRIFLUOROAMINE (NITROGEN TRIFLUORIDE)</t>
  </si>
  <si>
    <t>TRIFLUOROBROMOMETHANE</t>
  </si>
  <si>
    <t>TRIFLUOROCHLOROETHYLENE (R-1113)</t>
  </si>
  <si>
    <t>TRIFLUOROCYANOMETHANE</t>
  </si>
  <si>
    <t>TRIFLUOROETHANE</t>
  </si>
  <si>
    <t>TRIFLUOROETHYL BROMIDE</t>
  </si>
  <si>
    <t>TRIFLUOROETHYL CHLORIDE, 2,2,2-</t>
  </si>
  <si>
    <t>TRIFLUOROETHYL IODIDE</t>
  </si>
  <si>
    <t>TRIFLUOROETHYLENE (R-1123)</t>
  </si>
  <si>
    <t>TRIFLUOROMETHANE (FLUOROFORM) (R-23)</t>
  </si>
  <si>
    <t>TRIFLUOROMETHANE SULFONYL CHLORIDE</t>
  </si>
  <si>
    <t xml:space="preserve">TRIFLUOROMETHANE SULFONYL FLUORIDE </t>
  </si>
  <si>
    <t>TRIFLUOROMETHYL BROMIDE</t>
  </si>
  <si>
    <t>TRIFLUOROMETHYL BUTYL TELLERIUM</t>
  </si>
  <si>
    <t>TRIFLUOROMETHYL DISULFIDE</t>
  </si>
  <si>
    <t>TRIFLUOROMETHYL HEXAFLUOROPROPANE</t>
  </si>
  <si>
    <r>
      <t xml:space="preserve">TRIFLUOROMETHYL HYDROFUORITE </t>
    </r>
    <r>
      <rPr>
        <b/>
        <sz val="10"/>
        <color rgb="FF0000FF"/>
        <rFont val="Arial"/>
        <family val="2"/>
      </rPr>
      <t>(PHOTOS REQUIRED)</t>
    </r>
  </si>
  <si>
    <r>
      <t xml:space="preserve">TRIFLUOROMETHYL HYPOFLUORITE </t>
    </r>
    <r>
      <rPr>
        <b/>
        <sz val="10"/>
        <color rgb="FF0000FF"/>
        <rFont val="Arial"/>
        <family val="2"/>
      </rPr>
      <t>(PHOTOS REQUIRED)</t>
    </r>
  </si>
  <si>
    <t>TRIFLUOROMETHYL IODIDE</t>
  </si>
  <si>
    <t>TRIFLUOROMETHYL SILANE</t>
  </si>
  <si>
    <t>TRIFLUOROMETHYLPROPENE</t>
  </si>
  <si>
    <t>TRIFLUORONITROSOMETHANE</t>
  </si>
  <si>
    <t>TRIFLUOROPHOSPHINE</t>
  </si>
  <si>
    <t>TRIFLUOROPROPENE</t>
  </si>
  <si>
    <t>TRIFLUOROPROPYNE-3,3,3-</t>
  </si>
  <si>
    <t>TRIHEXYL ALUMINUM</t>
  </si>
  <si>
    <t>TRIISOBUTYL ALUMINUM</t>
  </si>
  <si>
    <t>TRIISOBUTYL BORANE</t>
  </si>
  <si>
    <t>TRIISOBUTYL PHOSPHINE</t>
  </si>
  <si>
    <t>TRIISOHEXYL ALUMINUM</t>
  </si>
  <si>
    <t>TRIISOPROPYLALUMINUM</t>
  </si>
  <si>
    <t>TRIMETHYL ACETYL CHLORIDE</t>
  </si>
  <si>
    <t>TRIMETHYL ALUMINUM</t>
  </si>
  <si>
    <t>TRIMETHYL ANTIMONY</t>
  </si>
  <si>
    <t xml:space="preserve">TRIMETHYL ARSENIC </t>
  </si>
  <si>
    <t>TRIMETHYL ARSINE</t>
  </si>
  <si>
    <t>TRIMETHYL BISMUTH</t>
  </si>
  <si>
    <t>TRIMETHYL BORANE (TRIMETHYL BORON)</t>
  </si>
  <si>
    <t>TRIMETHYL BORATE</t>
  </si>
  <si>
    <t>TRIMETHYL BORON</t>
  </si>
  <si>
    <t>TRIMETHYL BUTOXYSILANE</t>
  </si>
  <si>
    <t>TRIMETHYL ETHOXY SILANE</t>
  </si>
  <si>
    <t>TRIMETHYL GALLIUM</t>
  </si>
  <si>
    <t>TRIMETHYL INDIUM</t>
  </si>
  <si>
    <t>TRIMETHYL METHANE (ISOBUTANE)</t>
  </si>
  <si>
    <t>TRIMETHYL PENTANE</t>
  </si>
  <si>
    <t>TRIMETHYL PHOSPHINE</t>
  </si>
  <si>
    <t>TRIMETHYL PHOSPHITE</t>
  </si>
  <si>
    <t>TRIMETHYL SILANE</t>
  </si>
  <si>
    <t>TRIMETHYL SILYAMIDE</t>
  </si>
  <si>
    <t>TRIMETHYL SILYL CYANIDE</t>
  </si>
  <si>
    <t>TRIMETHYLAMINE</t>
  </si>
  <si>
    <t>TRIMETHYLCHLOROSILANE</t>
  </si>
  <si>
    <t>TRIMETHYLETHOXY SILANE</t>
  </si>
  <si>
    <t>TRIMETHYLFLUOROSILANE</t>
  </si>
  <si>
    <t>TRIMETHYLHEXAMETHYLENE DIISOCYANATE</t>
  </si>
  <si>
    <t>TRI-N-BUTYL ALUMINUM</t>
  </si>
  <si>
    <t>TRI-N-BUTYL ANTIMONITE</t>
  </si>
  <si>
    <t>TRI-N-BUTYL BORANE</t>
  </si>
  <si>
    <t>TRI-N-BUTYL BORON</t>
  </si>
  <si>
    <t>TRI-N-BUTYL PHOSPHINE</t>
  </si>
  <si>
    <t>TRI-N-DECYLALUMINUM</t>
  </si>
  <si>
    <t>TRIOCTYL ALUMINUM</t>
  </si>
  <si>
    <t>TRIPHENYL SILANE</t>
  </si>
  <si>
    <t>TRIPROPYL ALUMINUM</t>
  </si>
  <si>
    <t>TRIS(3,7-DIMETHYL-6-OCTENYL) ALUMINUM</t>
  </si>
  <si>
    <t>TRIS(DIMETHYLAMINO) ARSINE</t>
  </si>
  <si>
    <t>TUNGSTEN BROMIDE</t>
  </si>
  <si>
    <t>TUNGSTEN CARBONYL</t>
  </si>
  <si>
    <t>TUNGSTEN CHLORIDE</t>
  </si>
  <si>
    <t>TUNGSTEN FLUORIDE</t>
  </si>
  <si>
    <t>TUNGSTEN HEXAFLUORIDE</t>
  </si>
  <si>
    <t>UCAT-A CATALYST</t>
  </si>
  <si>
    <t>VANADIUM CHLORIDE (VANADIUM TETRACHLORIDE)</t>
  </si>
  <si>
    <t>VANADIUM OXYTRICHLORIDE</t>
  </si>
  <si>
    <t>VANADIUM PENTAFLUORIDE</t>
  </si>
  <si>
    <t>VANADIUM TETRACHLORIDE</t>
  </si>
  <si>
    <t>VANADIUM TRICHLORIDE</t>
  </si>
  <si>
    <t>VIKANE (SULFURYL FLUORIDE)</t>
  </si>
  <si>
    <t>VINYL ACETATE MONOMER</t>
  </si>
  <si>
    <t>VINYL BROMIDE</t>
  </si>
  <si>
    <t>VINYL CHLORIDE</t>
  </si>
  <si>
    <t>VINYL ETHYLENE</t>
  </si>
  <si>
    <t>VINYL FLUORIDE</t>
  </si>
  <si>
    <t>VINYL LITHIUM</t>
  </si>
  <si>
    <t>VINYL MAGNESIUM BROMIDE</t>
  </si>
  <si>
    <t>VINYL METHYL ETHER</t>
  </si>
  <si>
    <t>VINYLIDENE CHLORIDE</t>
  </si>
  <si>
    <t>VINYLIDENE FLUORIDE</t>
  </si>
  <si>
    <t>WARFARIN</t>
  </si>
  <si>
    <t>XENON</t>
  </si>
  <si>
    <t>XENON DIFLUORIDE</t>
  </si>
  <si>
    <t>XENON HEXAFLUORIDE</t>
  </si>
  <si>
    <t>XENON TETRAFLUORIDE</t>
  </si>
  <si>
    <t xml:space="preserve"> </t>
  </si>
  <si>
    <t>UNIT CLINs:</t>
  </si>
  <si>
    <t>ME = Lecture, M1 = Small, M2 = Medium, M3 = Large</t>
  </si>
  <si>
    <t>Lecture = 3"x 12", Small = 4"x 24", Medium = 12"x 36", Large = 16"x 56"</t>
  </si>
  <si>
    <t>Example: For a small cylinder of Nitrogen gas, use the following CLIN: CY01M1</t>
  </si>
  <si>
    <t>[1] Phosgene requires a leak test prior to shipment per 173.192(c)(3) or requires to be overpacked in a cylinder salvage vessel.</t>
  </si>
  <si>
    <t>[2] Deuterium Bromide requires a photo prior to approval.</t>
  </si>
  <si>
    <t>[3] Hydrogen Bromide requires a photo prior to approval.</t>
  </si>
  <si>
    <t>[4] Phosgene requires a leak test prior to shipment per 173.192 (c)(3) or requires  to be overpacked in a cylinder salvage vessel.</t>
  </si>
  <si>
    <t>C8</t>
  </si>
  <si>
    <t>Containerized Kilograms</t>
  </si>
  <si>
    <t>B7</t>
  </si>
  <si>
    <t>T1</t>
  </si>
  <si>
    <t>T2</t>
  </si>
  <si>
    <t>T3</t>
  </si>
  <si>
    <t>ACETYLENE Contains Asbestos, for Purge and Landfill.</t>
  </si>
  <si>
    <t>ACETYLENE  for Recycle/Reuse.</t>
  </si>
  <si>
    <t>Bulk Pumpable Liquids
Removed via Vac Truck or Tanker</t>
  </si>
  <si>
    <t>PF03</t>
  </si>
  <si>
    <t>PF06</t>
  </si>
  <si>
    <t>PF09</t>
  </si>
  <si>
    <t>Containerized Wastes</t>
  </si>
  <si>
    <t>Gallons
(GL)</t>
  </si>
  <si>
    <t>Liters
(L)</t>
  </si>
  <si>
    <t>Up to 5 Gal
(DM/DF)</t>
  </si>
  <si>
    <t>EA</t>
  </si>
  <si>
    <t>Up to 110 Gal
(DM/DF)</t>
  </si>
  <si>
    <t>LB</t>
  </si>
  <si>
    <t>KG</t>
  </si>
  <si>
    <t>10K-20K Lbs</t>
  </si>
  <si>
    <t>20K-30K Lbs</t>
  </si>
  <si>
    <t>&gt;30,000 Lbs</t>
  </si>
  <si>
    <t>&lt;10,000 Lbs</t>
  </si>
  <si>
    <t>Bulk Solid &amp; Liquid Wastes</t>
  </si>
  <si>
    <t>Unit of Issue:</t>
  </si>
  <si>
    <t>Up to 15 Gal
(DM/DF)</t>
  </si>
  <si>
    <t>Up to 30 Gal
(DM/DF)</t>
  </si>
  <si>
    <t>Up to 55 Gal
(DM/DF)</t>
  </si>
  <si>
    <t>Bulk Load Description:</t>
  </si>
  <si>
    <r>
      <t>CLIN Suffix</t>
    </r>
    <r>
      <rPr>
        <b/>
        <sz val="12"/>
        <color theme="1"/>
        <rFont val="Calibri"/>
        <family val="2"/>
      </rPr>
      <t>→</t>
    </r>
  </si>
  <si>
    <t>Size Category:</t>
  </si>
  <si>
    <t>(DM/DF)</t>
  </si>
  <si>
    <t>Cubic Yards
(CD)</t>
  </si>
  <si>
    <t>CLIN Suffix Table</t>
  </si>
  <si>
    <r>
      <t>Weights shown above are net weights of actual waste per bulk load.
Not to be used for lightweight solids weighing less than 600 Lbs/yd</t>
    </r>
    <r>
      <rPr>
        <vertAlign val="superscript"/>
        <sz val="11"/>
        <color theme="1"/>
        <rFont val="Calibri"/>
        <family val="2"/>
        <scheme val="minor"/>
      </rPr>
      <t>3</t>
    </r>
    <r>
      <rPr>
        <sz val="11"/>
        <color theme="1"/>
        <rFont val="Calibri"/>
        <family val="2"/>
        <scheme val="minor"/>
      </rPr>
      <t>.</t>
    </r>
  </si>
  <si>
    <t>1,500-Gallons</t>
  </si>
  <si>
    <t>75% of
ROB Capacity</t>
  </si>
  <si>
    <t xml:space="preserve">5,000 Liters
(1,320 U.S. Gal)
</t>
  </si>
  <si>
    <r>
      <t>Bulk Heavy Solids (&gt;600 Lbs/Yd</t>
    </r>
    <r>
      <rPr>
        <vertAlign val="superscript"/>
        <sz val="12"/>
        <color theme="1"/>
        <rFont val="Calibri"/>
        <family val="2"/>
        <scheme val="minor"/>
      </rPr>
      <t>3</t>
    </r>
    <r>
      <rPr>
        <sz val="12"/>
        <color theme="1"/>
        <rFont val="Calibri"/>
        <family val="2"/>
        <scheme val="minor"/>
      </rPr>
      <t>)
Priced per Lb, Based on Bulk Loads that are…</t>
    </r>
  </si>
  <si>
    <t>B8</t>
  </si>
  <si>
    <r>
      <t>Bulk Heavy Solids
(&gt;600 Lbs/Yd</t>
    </r>
    <r>
      <rPr>
        <vertAlign val="superscript"/>
        <sz val="12"/>
        <color theme="1"/>
        <rFont val="Calibri"/>
        <family val="2"/>
        <scheme val="minor"/>
      </rPr>
      <t>3</t>
    </r>
    <r>
      <rPr>
        <sz val="12"/>
        <color theme="1"/>
        <rFont val="Calibri"/>
        <family val="2"/>
        <scheme val="minor"/>
      </rPr>
      <t>)
(&gt;350 Kg/M</t>
    </r>
    <r>
      <rPr>
        <vertAlign val="superscript"/>
        <sz val="12"/>
        <color theme="1"/>
        <rFont val="Calibri"/>
        <family val="2"/>
        <scheme val="minor"/>
      </rPr>
      <t>3</t>
    </r>
    <r>
      <rPr>
        <sz val="12"/>
        <color theme="1"/>
        <rFont val="Calibri"/>
        <family val="2"/>
        <scheme val="minor"/>
      </rPr>
      <t>)</t>
    </r>
  </si>
  <si>
    <t>Kilograms
(KG)</t>
  </si>
  <si>
    <t xml:space="preserve">5,000 KG
(11K U.S. Lbs)
</t>
  </si>
  <si>
    <r>
      <t>Bulk Solids
Lightweight
(&lt;600 Lbs/Yd</t>
    </r>
    <r>
      <rPr>
        <vertAlign val="superscript"/>
        <sz val="12"/>
        <color theme="1"/>
        <rFont val="Calibri"/>
        <family val="2"/>
        <scheme val="minor"/>
      </rPr>
      <t>3</t>
    </r>
    <r>
      <rPr>
        <sz val="12"/>
        <color theme="1"/>
        <rFont val="Calibri"/>
        <family val="2"/>
        <scheme val="minor"/>
      </rPr>
      <t>)
Removed via Rolloff Box</t>
    </r>
  </si>
  <si>
    <t>Pumpable Liquid Wastes Removed in Totes / IBCs</t>
  </si>
  <si>
    <t>Minimum Load Ordered:</t>
  </si>
  <si>
    <r>
      <t xml:space="preserve">Compressed Gas Description                          </t>
    </r>
    <r>
      <rPr>
        <sz val="12"/>
        <color theme="1"/>
        <rFont val="Arial"/>
        <family val="2"/>
      </rPr>
      <t>v</t>
    </r>
    <r>
      <rPr>
        <b/>
        <sz val="8"/>
        <color theme="1"/>
        <rFont val="Arial"/>
        <family val="2"/>
      </rPr>
      <t xml:space="preserve">.4, 10/20/2020          </t>
    </r>
  </si>
  <si>
    <t>RE15</t>
  </si>
  <si>
    <t>Container Size:
Type:</t>
  </si>
  <si>
    <t>Up to 220 GL
850 Liters
(TP)</t>
  </si>
  <si>
    <t>Up to 275 GL
1,050 Liters
(TP)</t>
  </si>
  <si>
    <t>Up to 330 GL
1,250 Liters
(TP)</t>
  </si>
  <si>
    <t>Container Size:
Type:</t>
  </si>
  <si>
    <t>B9</t>
  </si>
  <si>
    <t>Pounds
(LB)</t>
  </si>
  <si>
    <t>Bulk Pumpable Liquids
Removed via
Vac Truck
or Tanker</t>
  </si>
  <si>
    <t>PC13</t>
  </si>
  <si>
    <t>PC14</t>
  </si>
  <si>
    <t>PC15</t>
  </si>
  <si>
    <t>PC16</t>
  </si>
  <si>
    <t>Case-by-Case
Restricted Use</t>
  </si>
  <si>
    <t>Compressed Gas Cylinders (Sizes do not include valve or handle.)</t>
  </si>
  <si>
    <t>LP16</t>
  </si>
  <si>
    <t>FL16</t>
  </si>
  <si>
    <t>PF41</t>
  </si>
  <si>
    <t>PF51</t>
  </si>
  <si>
    <t>Alkaline Batteries, for Contractor's choice of recycling or disposal. 
Physical State: Various 
Permissible EPA Waste Codes: UW, D002, D004-11.</t>
  </si>
  <si>
    <t>Carbon-Zinc (CZn) Batteries, for Contractor's choice of recycling or disposal. 
Physical State: Solid 
Permissible EPA Waste Codes: UW, D002, D004-11.</t>
  </si>
  <si>
    <t>Lithium Ion (Li-Ion) Batteries, for mandatory recycling. 
Physical State: Solid 
Permissible EPA Waste Codes: UW, D002-11.</t>
  </si>
  <si>
    <t>Lead Acid Batteries, Wet, Dry, or Gel Pack. May be managed as UW, HW, or RCRA Exempt under 40 CFR Part 266, Subpart G. For mandatory recycling/recovery. 
Physical State: Various 
Permissible EPA Waste Codes: UW, D002, D004-11.</t>
  </si>
  <si>
    <t>Lithium Manganese (LiMn and Oxides thereof) Batteries, for Contractor's choice of recycling or disposal. 
Physical State: Solid 
Permissible EPA Waste Codes: UW, D002-11.</t>
  </si>
  <si>
    <t>Lithium Sulfur Dioxide (LiSO2) Batteries, for Contractor's choice of recycling or disposal. 
Physical State: Solid 
Permissible EPA Waste Codes: UW, D002-11.</t>
  </si>
  <si>
    <t>Lithium Thionyl Chloride (LiSCl) Batteries, for Contractor's choice of recycling or disposal. 
Physical State: Solid 
Permissible EPA Waste Codes: UW, D002-11.</t>
  </si>
  <si>
    <t>Lithium Batteries, Mixed Types, deactivated if applicable, for Contractor's choice of recycling or disposal. 
Physical State: Solid 
Permissible EPA Waste Codes: UW, D002-11.</t>
  </si>
  <si>
    <t>Magnesium (Mg) Batteries, for Contractor's choice of recycling or disposal. 
Physical State: Solid 
Permissible EPA Waste Codes: UW, D002, D004-11.</t>
  </si>
  <si>
    <t>Mercury (Hg) Batteries, for mandatory recycling. 
Physical State: Solid 
Permissible EPA Waste Codes: UW, D002, D004-11.</t>
  </si>
  <si>
    <t>Nickel Metal Hydride (NiMh) Batteries, Wet and Dry, for mandatory recycling. 
Physical State: Various 
Permissible EPA Waste Codes: UW, D002, D004-11.</t>
  </si>
  <si>
    <t>Nickel-Cadmium (NiCd) Batteries, Wet and Dry, for mandatory recycling. 
Physical State: Various 
Permissible EPA Waste Codes: UW, D002, D004-11.</t>
  </si>
  <si>
    <t>Silver-Zinc (AgZn) and Zinc Silver Oxide (ZnAgO) Batteries for mandatory recycling. 
Physical State: Solid 
Permissible EPA Waste Codes: UW, D002, D004-11.</t>
  </si>
  <si>
    <t>Corrosive Acids, Inorganic other than HF and HNO3, &lt;50% in Water, Non-Fuming, &lt;1% Total Metals, Cr+6 &lt;100 ppm. 
Physical State: Liquid 
Permissible EPA Waste Codes: D002, D004-11, Listed Inorganics.</t>
  </si>
  <si>
    <t>Corrosive Acids, Chromic (H2CrO4), &lt;1% Cr+6, Characteristic Liquids, Solids, Sludges, Debris. 
Physical State: Various 
Permissible EPA Waste Codes: D001 (OX), D002, D004-11.</t>
  </si>
  <si>
    <t>Corrosive Acids, Fuming, Hydrofluoric (HF) &gt;40% and/or Nitric (HNO3), ≥25% in Water, may include Red Fuming Nitric Acid (RFNA). Ph
ysical State: Liquid 
Permissible EPA Waste Codes: D001 (OX), D002, D004-11, Listed Inorganics.</t>
  </si>
  <si>
    <t>Corrosive Alkalines, Inorganic, &lt;50% in Water, &lt;1% Total Metals, Cr+6 &lt;100 ppm, No Ammonia/Amines. 
Physical State: Liquid 
Permissible EPA Waste Codes: D002, D004-11, Listed Inorganics.</t>
  </si>
  <si>
    <t>Corrosive Ammonia/Amines, Organic/Inorganic, Liquids/Sludges/Solids/Debris, Flashpoint ≥140◦F. 
Physical State: Various 
Permissible EPA Waste Codes: D002, D004-43, Listed.</t>
  </si>
  <si>
    <t>Corrosive Inorganic Acids or Bases with Debris and Free Liquids, No Ammonia/Amines, Non-Flammable, including broken lead acid batteries. 
Physical State: Various 
Permissible EPA Waste Codes: D002, D004-11, Listed.</t>
  </si>
  <si>
    <t>Corrosive Organic Acids or Bases, Liquids/Sludges/Solids/Debris, No Ammonia/Amines, Flashpoint ≥140◦F.
Physical State: Various 
Permissible EPA Waste Codes: D002, D004-43, Listed.</t>
  </si>
  <si>
    <t>Corrosive Aerosols, Non-Ignitable and Non-Reactive, even when managed as UW. 
Physical State: Various 
Permissible EPA Waste Codes: UW, D002, D004-11, Listed.</t>
  </si>
  <si>
    <t>Category 1 Compressed Gas Cylinders (CGC), Cartridges, Canisters and Vessels. Refer to CGC Cross-Reference Table for list of gases. 
Physical State: Comp. Gas 
Permissible EPA Waste Codes: As applicable to contained gas or mixed gases.</t>
  </si>
  <si>
    <t>Category 2 Compressed Gas Cylinders (CGC), Cartridges, Canisters and Vessels. Refer to CGC Cross-Reference Table for list of gases. 
Physical State: Comp. Gas 
Permissible EPA Waste Codes: As applicable to contained gas or mixed gases.</t>
  </si>
  <si>
    <t>Category 8 Compressed Gas Cylinders (CGC), Cartridges, Canisters and Vessels. Refer to CGC Cross-Reference Table for list of gases. 
Physical State: Comp. Gas 
Permissible EPA Waste Codes: As applicable to contained gas or mixed gases.</t>
  </si>
  <si>
    <t>Cylinders, Acetylene, Containing Asbestos, for Purge and Landfill. 
Physical State: Comp. Gas 
Permissible EPA Waste Codes: D001.</t>
  </si>
  <si>
    <t>Cylinders, Flammable, AVGAS, Ether Gas/Diesel Starting, for Disposal or Recycle. Diameter up to 3", Length up to 12". "ME" = 1 EA Cylinder. Physical State: Comp. Gas 
Permissible EPA Waste Codes: D001.</t>
  </si>
  <si>
    <t>Aerosols, Flammable/Combustible/Ignitable, non-foaming. No isocyanates, reactives, or corrosives, even when managed as UW. 
Physical State: Various 
Permissible EPA Waste Codes: UW, D001 (IGN), D004-43, Listed.</t>
  </si>
  <si>
    <t>Flammable Liquids/Solids/Sludges/Debris, e.g., tank sludge, lubricants, adhesives, miscellaneous debris. Primarily consists of incinerable, non-fuels-blendable materials.  No isocyanates (See FL16). Use LP03 for loose packs. 
Physical State: Various 
Permissible EPA Waste Codes: D001 (IGN), D002, D004-43, Listed.</t>
  </si>
  <si>
    <t>Flammable Debris contaminated with common solvents, shreddable, no free liquids, no large metal, rock, or masonry components. 
Physical State: Solid 
Permissible EPA Waste Codes: D001, D004-43, Listed.</t>
  </si>
  <si>
    <t>Flammable Liquids, Pumpable, Fuels Blendable, Rich, &gt;7,000 BTU/Lb, &lt;5% total chlorine, no isocyanates. 
Physical State: Liquid 
Permissible EPA Waste Codes: D001 (IGN), D004-43, Listed.</t>
  </si>
  <si>
    <t>Flammable Liquids, Pumpable, Fuels Blendable, Lean, 2,500-7,000 BTU/Lb, &lt;5% total chlorine, no isocyanates. 
Physical State: Liquid 
Permissible EPA Waste Codes: D001 (IGN), D004-43, Listed.</t>
  </si>
  <si>
    <t>Flammable Resuspendable Solids/Sludges, Fuels Blendable, Rich, &gt;7,000 BTU/Lb, &lt;5% total chlorine, no isocyanates. 
Physical State: Various 
Permissible EPA Waste Codes: D001 (IGN), D004-43, Listed.</t>
  </si>
  <si>
    <t>Oxidizers, Non-Reactive, Liquids/Sludges/Solids/Debris, other than chromic acid (see Corrosives). 
Physical State: Various 
Permissible EPA Waste Codes: D001 (OX), D002, D004-43, Listed.</t>
  </si>
  <si>
    <t>Non-Reactive paints and other coatings listing isocyanates in the ingredients. Use LP16 for loose packs. 
Physical State: Various 
Permissible EPA Waste Codes: D001 (IGN), D004-43, Listed.</t>
  </si>
  <si>
    <t>Loose-Packed Paints and Paint-Related Materials, Primarily Oil/Petroleum-Based, &gt;7,000 BTU/Lb. May contain &lt;50% water-based paints. Formerly CLIN FL14. No Isocyanates (see LP16). 
Physical State: Various 
Permissible EPA Waste Codes: D001 (IGN), D004-43, Listed.</t>
  </si>
  <si>
    <t>Loose-Packed Paints. Non-Reactive paints and other coatings listing isocyanates in the ingredients. 
Physical State: Various 
Permissible EPA Waste Codes: D001 (IGN), D004-43, Listed.</t>
  </si>
  <si>
    <t>Lab Packs/Loose Packs, Non-RCRA, State and Non-State Regulated, including pharmaceuticals, for mandatory RCRA Incineration. Special Generator turn-in requirements may apply. CD required. 
Physical State: Various 
Permissible EPA Waste Codes: N/A.</t>
  </si>
  <si>
    <t>Non-RCRA Solids/Debris with Asbestos, for direct disposal at a TSCA/RCRA Subtitle D landfill, or equivalent. Passes paint filter test. Special packaging may be required. 
Physical State: Solid 
Permissible EPA Waste Codes: N/A.</t>
  </si>
  <si>
    <t>Non-RCRA Liquids, Water-Based, pumpable. NR03B5 must meet acceptance criteria for wastewater treatment (WWT) and discharge to POTW, per Section 3.29. 
Physical State: Liquid 
Permissible EPA Waste Codes: N/A.</t>
  </si>
  <si>
    <t>Non-RCRA Liquids, Organic-Based, pumpable, primarily consisting of wastes containing hydrocarbons. 
Physical State: Liquid 
Permissible EPA Waste Codes: N/A.</t>
  </si>
  <si>
    <t>Non-RCRA Liquids/Sludges/Solids/Debris, requiring solidification prior to disposal at a RCRA Subtitle D landfill, or equivalent. Includes bulk liquids not meeting acceptance criteria for wastewater treatment (WWT). May include non-PCB oil-filled transformers, ballasts, capacitors and related equipment. 
Physical State: Various 
Permissible EPA Waste Codes: N/A.</t>
  </si>
  <si>
    <t>Non-RCRA Pharmaceuticals, prescription and non-prescription, for thermal destruction. No DEA-restricted meds. CD required. 
Physical State: Various 
Permissible EPA Waste Codes: N/A.</t>
  </si>
  <si>
    <t>Non-RCRA Military Articles, Demil-Required, e.g., boots, gloves, CDE kits, filters, masks, MOPP suits, etc. for direct disposal at a RCRA Subtitle D landfill, or equivalent. CD required. No uniforms (NR99) or submarine tiles (TX99). 
Physical State: Various 
Permissible EPA Waste Codes: N/A.</t>
  </si>
  <si>
    <t>PCB wastes containing or contaminated with a ≥50 ppm PCB Source (≥5 ppm in CA), RCRA or Non-RCRA, e.g., fluids, soil, sludge, debris, leaking capacitors. CD required. 
Physical State: Various 
Permissible EPA Waste Codes: D001-43, Listed.</t>
  </si>
  <si>
    <t>PCB Mineral Oil from Transformers, &lt;50 ppm PCBs (&lt;5 ppm in CA), Non-RCRA. 
Physical State: Liquid 
Permissible EPA Waste Codes: N/A.</t>
  </si>
  <si>
    <t>PCB Mineral Oil from Transformers, 50-4,000 ppm PCBs (5-4,000 ppm in CA). Non-RCRA, CD or Cert of Recycling required. 
Physical State: Liquid 
Permissible EPA Waste Codes: N/A.</t>
  </si>
  <si>
    <t>PCB Oil-Filled Capacitors/Ballasts/Equipment other than Transformers, ≥50 ppm PCBs (≥5 ppm in CA), Non-RCRA, CD or Cert of Recycling required. 
Physical State: Various 
Permissible EPA Waste Codes: N/A.</t>
  </si>
  <si>
    <t>PCB Oil-Filled Transformers, &lt;50 ppm PCBs (&lt;5 ppm in CA), Non-RCRA. 
Physical State: Various 
Permissible EPA Waste Codes: N/A.</t>
  </si>
  <si>
    <t>PCB Solids/Debris Contaminated with &lt;50 ppm Source (&lt;5 ppm in CA), e.g., soil, transformer carcasses, drained equipment, ballasts, rags, PPE, empty containers. No Free Liquids. Non-RCRA. 
Physical State: Solid 
Permissible EPA Waste Codes: N/A.</t>
  </si>
  <si>
    <t>PCB Solids/Debris Contaminated with ≥50 ppm Source (≥5 ppm in CA), e.g., soil, transformer carcasses, drained equipment, ballasts, rags, PPE, empty containers. No Free Liquids. Non-RCRA. CD or Cert of Recycling required. 
Physical State: Solid 
Permissible EPA Waste Codes: N/A.</t>
  </si>
  <si>
    <t>PCB Solids/Debris Contaminated with ≥50 ppm PCB Source, e.g., electrical components, breakers, large capacitors, insulating materials, felt gasket materials. Non-RCRA. Mandatory TSCA Landfill Disposal. CD required.
Physical State: Solid 
Permissible EPA Waste Codes: N/A.</t>
  </si>
  <si>
    <t>PCB Solids/Debris Contaminated with ≥50 ppm PCB Source, Contains Friable and/or Non-Friable Asbestos, e.g., electrical components containing asbestos wiring or insulation. Non-RCRA. Mandatory TSCA Landfill Disposal. CD required.
Physical State: Solid 
Permissible EPA Waste Codes: N/A.</t>
  </si>
  <si>
    <t>PCB Solids/Debris Contaminated with ≥50 ppm PCB Source, Contains RCRA Metals, e.g., various painted items (valves, piping, brackets, etc.) removed from training ships, vacuum cleaners used to remove paint chips. Mandatory TSCA Landfill Disposal. CD required.
Physical State: Solid 
Permissible EPA Waste Codes: D004-D011.</t>
  </si>
  <si>
    <t>PCB Solids/Debris Contaminated with ≥50 ppm PCB Source, Contains RCRA Metals and Friable and/or Non-Friable Asbestos, e.g., various painted components with asbestos wiring, insulating material, or gasket materials removed from training ships. Mandatory TSCA Landfill Disposal. CD required.
Physical State: Solid 
Permissible EPA Waste Codes: D004-D011.</t>
  </si>
  <si>
    <t>AFFF Fire Extinguishers, cart-mounted, containing pressurized liquid with varying PFAS formulations. Non-RCRA. Requires disposal of all liquid components at a RCRA Subtitle C landfill. CD required. Certificate of Disposal required. See 2.4. CLIN Suffix liquid capacities:
M1 = Up to 10-gal, M2 = Up to 20-gal, M3 = Up to 30-gal
M4 = Up to 40-gal, M5 = Up to 50-gal, M6 = Up to 60-gal
M7 = Up to 70-gal, M8 = Up to 80-gal, M9 = &gt;80-gal 
Physical State: Liquid 
Permissible EPA Waste Codes: N/A.</t>
  </si>
  <si>
    <t>Lamps, Fluorescent, Intact. Includes CFLs, U-Bent, Circulars. 
Physical State: Solid 
Permissible EPA Waste Codes: UW, D004-11.</t>
  </si>
  <si>
    <t>Lamps, Fluorescent, Crushed/Broken, may contain filters. 
Physical State: Solid 
Permissible EPA Waste Codes: UW, D004-11.</t>
  </si>
  <si>
    <t>Lamps, Halogen. 
Physical State: Solid 
Permissible EPA Waste Codes: UW, D004-11.</t>
  </si>
  <si>
    <t>Lamps, High Intensity Discharge (HID) and/or Light Emitting Diode (LED). 
Physical State: Solid 
Permissible EPA Waste Codes: UW, D004-11.</t>
  </si>
  <si>
    <t>Lamps, Mercury/Mercury Vapor. 
Physical State: Solid 
Permissible EPA Waste Codes: UW, D004-11.</t>
  </si>
  <si>
    <t>Lamps, Metal Halide and Metal Hydride, including Sodium. 
Physical State: Solid 
Permissible EPA Waste Codes: UW, D003-11.</t>
  </si>
  <si>
    <t>Mercury, High, Dental Amalgams, Debris &amp; Residues, Hg &gt;260 mg/Kg. 
Physical State: Various 
Permissible EPA Waste Codes: UW, D004-11.</t>
  </si>
  <si>
    <t>Mercury, High, Liquid Mercury/Devices, Debris &amp; Residues, Hg &gt;260 mg/Kg. 
Physical State: Various 
Permissible EPA Waste Codes: UW, D004-11.</t>
  </si>
  <si>
    <t>Used Oil Filters, Drained and Undrained, and/or Fully Drained Fuel Filters. 
Physical State: Various 
Permissible EPA Waste Codes: UW, D004-11.</t>
  </si>
  <si>
    <t>Non-PCB Ballasts, Capacitors, Equipment for Recycling. Drained and Undrained. Non-TSCA, Non-RCRA. 
Physical State: Various 
Permissible EPA Waste Codes: N/A.</t>
  </si>
  <si>
    <t>Aerosols, Foaming, Isocyanates or other reactives. 
Physical State: Various 
Permissible EPA Waste Codes: UW, D001-43, Listed.</t>
  </si>
  <si>
    <t>Cyanide Liquids, Solids, &lt;50% Debris, 1%-10% Total CN. 
Physical State: Various 
Permissible EPA Waste Codes: D002-11, Listed.</t>
  </si>
  <si>
    <t>Reactive Oxidizers, e.g., Nitrates, Nitrites, Persulfates, Inorganic Peroxides, No Organic Peroxides. 
Physical State: Various 
Permissible EPA Waste Codes: D001-11, Listed.</t>
  </si>
  <si>
    <t>Reactive Metals, Debris. Air/Water Reactive. Shipped under oil and/or other Generator special packaging may be required. 
Physical State: Solid 
Permissible EPA Waste Codes: D001, D003, D004-11, Listed.</t>
  </si>
  <si>
    <t>Reactive, Ignitable, and Toxic Liquid for RCRA Incineration. Contains Water, Mineral Spirits, Motor Oil, &lt;1% Cyanide, &lt;1%  Alcohol, &lt;1% Total RCRA Metals. 
Physical State: Liquid 
Permissible EPA Waste Codes: D001-11, Listed.</t>
  </si>
  <si>
    <t>OBA Canisters, EEBDs and Oxygen Candles, Potentially Reactive, Spent and/or Unspent. Special packaging may be required. 
Physical State: Solid 
Permissible EPA Waste Codes: D001, D003, D004-11.</t>
  </si>
  <si>
    <t>Military Items, Demil-Required, Reactive, Solids/Liquids/Debris, e.g., CDE Kits, Vials, Filters, PPE, etc. (No Batteries) for Conventional RCRA Treatment and Disposal.  Must Carry D003. CD required. 
Physical State: Various 
Permissible EPA Waste Codes: D001-D043, Listed.</t>
  </si>
  <si>
    <t>Debris, Inorganic Constituents Only. &gt;50% debris by volume, &gt;60 mm (~2.5") particle size. No free liquids unless incidental rainwater or condensation (see TX20).  Refer to Section 1.2.8.1.e. 
Physical State: Debris 
Permissible EPA Waste Codes: D004-11, Listed Inorganics.</t>
  </si>
  <si>
    <t>Debris, Organic Constituents. &gt;50% Debris by volume, &gt;60 mm (~2.5") particle size. Total VOCs &lt;500 ppm. No free liquids unless incidental rainwater or condensation (see TX20). May include inorganic Waste Code(s) and/or RCRA hazardous asbestos.  Refer to Section 1.2.8.e. 
Physical State: Debris 
Permissible EPA Waste Codes: D004-43, Listed, but no F020-32.</t>
  </si>
  <si>
    <t>High Halogen Liquids/Sludges/Solids/Debris, Non-Flammable, Includes Solvents, Herbicides and Pesticides. 
Physical State: Various 
Permissible EPA Waste Codes: UW, D004-43, Listed.</t>
  </si>
  <si>
    <t>Metals in Wastewater, &lt;5% Suspended Solids, &lt;1% Total Metals, Total Cr+6 &lt;100 ppm, Total Hg &lt;260 ppm. 
Physical State: Liquid 
Permissible EPA Waste Codes: D004-11, Listed Inorganics.</t>
  </si>
  <si>
    <t>Metals-Bearing Liquids, Low, &lt;1% TCLP Metals, Total Cr+6 &lt;100 ppm, Total Hg &lt;260 ppm, pumpable if bulk. Characteristic only. 
Physical State: Liquid 
Permissible EPA Waste Codes: D004-11.</t>
  </si>
  <si>
    <t>Metals-Bearing Solids/Sludges/Some Free Liquids, Low (&lt;1%) TCLP Metals, Total Cr+6 &lt;100 ppm, Total Hg &lt;260 ppm. Characteristic only. 
Physical State: Various 
Permissible EPA Waste Codes: D004-11.</t>
  </si>
  <si>
    <t>Organics Contaminated Water, Pumpable, &lt;10% Suspended Solids, &lt;10% Organics, e.g., Toluene, Phenol in water. Not more toxic than common solvents. 
Physical State: Liquid 
Permissible EPA Waste Codes: D004-43, Listed.</t>
  </si>
  <si>
    <t>Organics in Solids/Sludges/Debris, i.e. soil, tank &amp; still bottoms, adhesives, filtercake.  Not more toxic than common solvents. 
Physical State: Various 
Permissible EPA Waste Codes: D004-43, Listed.</t>
  </si>
  <si>
    <t>1000SA</t>
  </si>
  <si>
    <t>Perform sampling and analysis to determine Waste Characteristics (D001-D0043) using current SW-846 Methods. Provide Hazardous Waste Profile Sheet (HWPS).</t>
  </si>
  <si>
    <t>1001SA</t>
  </si>
  <si>
    <t>1002SA</t>
  </si>
  <si>
    <t>1003SA</t>
  </si>
  <si>
    <t>Perform sampling and analysis to determine TCLP concentrations of toxic Metals and Organic Compounds corresponding to EPA Waste Codes D004-D043 and UHCs, using current SW-846 Methods.</t>
  </si>
  <si>
    <t>1030SA</t>
  </si>
  <si>
    <t>Perform sampling and analysis to determine Toxicity Characteristics of eight (8) RCRA Metals (D004-D011) and four (4) UHC Metals via TCLP, SW-846 Method 1311 and current SW-846 quantitative detection method(s).</t>
  </si>
  <si>
    <t>1052SA</t>
  </si>
  <si>
    <t>Perform sampling and analysis to determine TCLP concentrations of chlorinated Herbicides and Pesticides corresponding to EPA Waste Codes D012-D017, D020, D031, and UHCs using EPA Methods 1311, 8151A, 8081B, and updates thereto.</t>
  </si>
  <si>
    <t>1053SA</t>
  </si>
  <si>
    <t>Perform sampling and analysis to determine TCLP concentrations of Volatile and Semi-Volatile Organic Compounds (VOC/SVOC) corresponding to EPA Waste Codes D018-D019, D021-D030, and D032-D043, using EPA Methods 1311, 8260D, 8270E, and updates thereto.</t>
  </si>
  <si>
    <t>1055SA</t>
  </si>
  <si>
    <t>Perform sampling and analysis to determine TCLP concentrations of Volatile and Semi-Volatile Organic Compounds (VOC/SVOC) corresponding to EPA Waste Codes D018-D043 and UHCs, using current SW-846 Methods.</t>
  </si>
  <si>
    <t>1200SA</t>
  </si>
  <si>
    <t>Perform sampling and analysis to determine Total concentrations of Volatile Organic Compounds (VOC) corresponding to EPA Waste Codes and UHCs, using EPA Method 8260D, and updates thereto.</t>
  </si>
  <si>
    <t>1205SA</t>
  </si>
  <si>
    <t>Perform sampling and analysis to determine concentration of Total BTEX (Benzene, Toluene, Ethylbenzene, and Xylenes) using current EPA approved method(s).</t>
  </si>
  <si>
    <t>1208SA</t>
  </si>
  <si>
    <t>Perform sampling and anlysis to determine concentration of total Polychlorinated Biphenyls (PCBs) using current EPA approved method(s).</t>
  </si>
  <si>
    <t>1210SA</t>
  </si>
  <si>
    <t>Perform sampling and analysis to determine total concentration of F001-F005 solvents using current SW-846 Methods.</t>
  </si>
  <si>
    <t>1220SA</t>
  </si>
  <si>
    <t>Perform sampling and analysis to determine concentration of Total Petroleum Hydrocarbons (TPH) using current EPA approved method(s).</t>
  </si>
  <si>
    <t>1310SA</t>
  </si>
  <si>
    <t>Perform qualitative analysis to determine presence of Friable or Non-Friable Asbestos.</t>
  </si>
  <si>
    <t>1370SA</t>
  </si>
  <si>
    <t xml:space="preserve">Perform analysis to identify contents of a compressed gas cylinder and complete a Waste Profile Sheet.  </t>
  </si>
  <si>
    <t>1021RE</t>
  </si>
  <si>
    <t>1022RE</t>
  </si>
  <si>
    <t>1023RE</t>
  </si>
  <si>
    <t>1031RE</t>
  </si>
  <si>
    <t>1032RE</t>
  </si>
  <si>
    <t>1033RE</t>
  </si>
  <si>
    <t>1071RE</t>
  </si>
  <si>
    <t>1072RE</t>
  </si>
  <si>
    <t>1200RE</t>
  </si>
  <si>
    <t>1002SV</t>
  </si>
  <si>
    <t>1003SV</t>
  </si>
  <si>
    <t>1007SV</t>
  </si>
  <si>
    <t>1008SV</t>
  </si>
  <si>
    <t>1080SV</t>
  </si>
  <si>
    <t>1081SV</t>
  </si>
  <si>
    <t>1083SV</t>
  </si>
  <si>
    <t>1095SV</t>
  </si>
  <si>
    <t>1096SV</t>
  </si>
  <si>
    <t>1097SV</t>
  </si>
  <si>
    <t>1098SV</t>
  </si>
  <si>
    <t>1099SV</t>
  </si>
  <si>
    <t>Metals-Bearing Debris/Solids/Sludges with Free Liquids, Total Cr+6 &lt;100 ppm, Total Hg &lt;260 ppm. Characteristic and/or Listed. 
Physical State: Various 
Permissible EPA Waste Codes: D004-11, Listed Inorganics.</t>
  </si>
  <si>
    <r>
      <t xml:space="preserve">Weekly Rental of a FRAC Tank with Containment (See </t>
    </r>
    <r>
      <rPr>
        <sz val="12"/>
        <rFont val="Times New Roman"/>
        <family val="1"/>
      </rPr>
      <t>3.8</t>
    </r>
    <r>
      <rPr>
        <sz val="12"/>
        <color theme="1"/>
        <rFont val="Times New Roman"/>
        <family val="1"/>
      </rPr>
      <t xml:space="preserve">). </t>
    </r>
  </si>
  <si>
    <r>
      <t xml:space="preserve">Initial Placement or Removal of Empty Rented Rolloff Box or Vacuum Box </t>
    </r>
    <r>
      <rPr>
        <sz val="12"/>
        <rFont val="Times New Roman"/>
        <family val="1"/>
      </rPr>
      <t xml:space="preserve"> (See 3.10). </t>
    </r>
  </si>
  <si>
    <r>
      <t>Corrosive Acids, Inorganic other than HF and HNO</t>
    </r>
    <r>
      <rPr>
        <vertAlign val="subscript"/>
        <sz val="12"/>
        <rFont val="Times New Roman"/>
        <family val="1"/>
      </rPr>
      <t>3</t>
    </r>
    <r>
      <rPr>
        <sz val="12"/>
        <rFont val="Times New Roman"/>
        <family val="1"/>
      </rPr>
      <t>, &lt;50% in Water, Non-Fuming, &gt;1% Total Metals, Cr+6 &lt;100 ppm. 
Physical State: Liquid 
Permissible EPA Waste Codes: D002, D004-11, Listed Inorganics.</t>
    </r>
  </si>
  <si>
    <r>
      <t>Corrosive Acids, Inorganic other than HF and HNO</t>
    </r>
    <r>
      <rPr>
        <vertAlign val="subscript"/>
        <sz val="12"/>
        <rFont val="Times New Roman"/>
        <family val="1"/>
      </rPr>
      <t>3</t>
    </r>
    <r>
      <rPr>
        <sz val="12"/>
        <rFont val="Times New Roman"/>
        <family val="1"/>
      </rPr>
      <t>, Concentrated, &lt;1% Total Metals, Cr+6 &lt;100 ppm. 
Physical State: Liquid 
Permissible EPA Waste Codes: D002, D004-11, Listed Inorganics.</t>
    </r>
  </si>
  <si>
    <t>Non-Regulated Solids/Debris, for direct landfill disposal. Passes paint filter test. No asbestos. May include toner, toner cartridges, drained/dry non-PCB transformers, ballasts, capacitors, and related equipment. 
Physical State: Solid 
Permissible EPA Waste Codes: N/A.</t>
  </si>
  <si>
    <t>1100SV</t>
  </si>
  <si>
    <t>GL</t>
  </si>
  <si>
    <t>CD</t>
  </si>
  <si>
    <t>1202SV</t>
  </si>
  <si>
    <t>1203SV</t>
  </si>
  <si>
    <t>1204SV</t>
  </si>
  <si>
    <t>1205SV</t>
  </si>
  <si>
    <t>1206SV</t>
  </si>
  <si>
    <t>1208SV</t>
  </si>
  <si>
    <t>1209SV</t>
  </si>
  <si>
    <t>1210SV</t>
  </si>
  <si>
    <t>1211SV</t>
  </si>
  <si>
    <t>BA01C7</t>
  </si>
  <si>
    <t>BA03C7</t>
  </si>
  <si>
    <t>BA04C7</t>
  </si>
  <si>
    <t>BA05C7</t>
  </si>
  <si>
    <t>BA07C7</t>
  </si>
  <si>
    <t>BA08C7</t>
  </si>
  <si>
    <t>BA09C7</t>
  </si>
  <si>
    <t>BA10C7</t>
  </si>
  <si>
    <t>BA11C7</t>
  </si>
  <si>
    <t>BA12C7</t>
  </si>
  <si>
    <t>BA13C7</t>
  </si>
  <si>
    <t>BA14C7</t>
  </si>
  <si>
    <t>BA15C7</t>
  </si>
  <si>
    <t>CS01C1</t>
  </si>
  <si>
    <t>CS01C4</t>
  </si>
  <si>
    <t>CS01C5</t>
  </si>
  <si>
    <t>CS02C1</t>
  </si>
  <si>
    <t>CS02C4</t>
  </si>
  <si>
    <t>CS03C1</t>
  </si>
  <si>
    <t>CS04C1</t>
  </si>
  <si>
    <t>CS04C4</t>
  </si>
  <si>
    <t>CS09C1</t>
  </si>
  <si>
    <t>CS09C4</t>
  </si>
  <si>
    <t>CS10C1</t>
  </si>
  <si>
    <t>CS10C2</t>
  </si>
  <si>
    <t>CS10C3</t>
  </si>
  <si>
    <t>CS10C4</t>
  </si>
  <si>
    <t>CS10C5</t>
  </si>
  <si>
    <t>CS12C1</t>
  </si>
  <si>
    <t>CS12C2</t>
  </si>
  <si>
    <t>CS12C3</t>
  </si>
  <si>
    <t>CS12C4</t>
  </si>
  <si>
    <t>CS12C5</t>
  </si>
  <si>
    <t>CS13C1</t>
  </si>
  <si>
    <t>CS13C3</t>
  </si>
  <si>
    <t>CS13C4</t>
  </si>
  <si>
    <t>CS14C1</t>
  </si>
  <si>
    <t>CS14C2</t>
  </si>
  <si>
    <t>CS14C3</t>
  </si>
  <si>
    <t>CS14C4</t>
  </si>
  <si>
    <t>CS14C5</t>
  </si>
  <si>
    <t>CS15C7</t>
  </si>
  <si>
    <t>CY01ME</t>
  </si>
  <si>
    <t>CY01M1</t>
  </si>
  <si>
    <t>CY01M2</t>
  </si>
  <si>
    <t>CY01M3</t>
  </si>
  <si>
    <t>CY02ME</t>
  </si>
  <si>
    <t>CY02M1</t>
  </si>
  <si>
    <t>CY02M2</t>
  </si>
  <si>
    <t>CY02M3</t>
  </si>
  <si>
    <t>CY08ME</t>
  </si>
  <si>
    <t>CY09M2</t>
  </si>
  <si>
    <t>CY12ME</t>
  </si>
  <si>
    <t>FL02C1</t>
  </si>
  <si>
    <t>FL02C2</t>
  </si>
  <si>
    <t>FL02C3</t>
  </si>
  <si>
    <t>FL02C4</t>
  </si>
  <si>
    <t>FL03C1</t>
  </si>
  <si>
    <t>FL03C2</t>
  </si>
  <si>
    <t>FL03C3</t>
  </si>
  <si>
    <t>FL03C4</t>
  </si>
  <si>
    <t>FL03C5</t>
  </si>
  <si>
    <t>FL04C1</t>
  </si>
  <si>
    <t>FL04C2</t>
  </si>
  <si>
    <t>FL04C3</t>
  </si>
  <si>
    <t>FL04C4</t>
  </si>
  <si>
    <t>FL04C5</t>
  </si>
  <si>
    <t>FL04C7</t>
  </si>
  <si>
    <t>FL05C1</t>
  </si>
  <si>
    <t>FL05C2</t>
  </si>
  <si>
    <t>FL05C3</t>
  </si>
  <si>
    <t>FL05C4</t>
  </si>
  <si>
    <t>FL05C5</t>
  </si>
  <si>
    <t>FL05T2</t>
  </si>
  <si>
    <t>FL06C1</t>
  </si>
  <si>
    <t>FL06C4</t>
  </si>
  <si>
    <t>FL08C3</t>
  </si>
  <si>
    <t>FL08C4</t>
  </si>
  <si>
    <t>FL08C5</t>
  </si>
  <si>
    <t>FL13C1</t>
  </si>
  <si>
    <t>FL13C4</t>
  </si>
  <si>
    <t>FL16C1</t>
  </si>
  <si>
    <t>FL16C2</t>
  </si>
  <si>
    <t>FL16C4</t>
  </si>
  <si>
    <t>FL16C5</t>
  </si>
  <si>
    <t>FL99C1</t>
  </si>
  <si>
    <t>FL99C4</t>
  </si>
  <si>
    <t>FL99C7</t>
  </si>
  <si>
    <t>LP01C1</t>
  </si>
  <si>
    <t>LP01C2</t>
  </si>
  <si>
    <t>LP01C3</t>
  </si>
  <si>
    <t>LP01C4</t>
  </si>
  <si>
    <t>LP02C1</t>
  </si>
  <si>
    <t>LP03C1</t>
  </si>
  <si>
    <t>LP03C2</t>
  </si>
  <si>
    <t>LP03C3</t>
  </si>
  <si>
    <t>LP03C4</t>
  </si>
  <si>
    <t>LP03C6</t>
  </si>
  <si>
    <t>LP04C1</t>
  </si>
  <si>
    <t>LP04C2</t>
  </si>
  <si>
    <t>LP04C3</t>
  </si>
  <si>
    <t>LP04C4</t>
  </si>
  <si>
    <t>LP04C6</t>
  </si>
  <si>
    <t>LP05C1</t>
  </si>
  <si>
    <t>LP05C3</t>
  </si>
  <si>
    <t>LP05C4</t>
  </si>
  <si>
    <t>LP05C5</t>
  </si>
  <si>
    <t>LP06C1</t>
  </si>
  <si>
    <t>LP06C2</t>
  </si>
  <si>
    <t>LP07C1</t>
  </si>
  <si>
    <t>LP07C4</t>
  </si>
  <si>
    <t>LP08C3</t>
  </si>
  <si>
    <t>LP09C1</t>
  </si>
  <si>
    <t>LP09C4</t>
  </si>
  <si>
    <t>LP10C1</t>
  </si>
  <si>
    <t>LP10C3</t>
  </si>
  <si>
    <t>LP11C1</t>
  </si>
  <si>
    <t>LP11C3</t>
  </si>
  <si>
    <t>LP12C1</t>
  </si>
  <si>
    <t>LP12C4</t>
  </si>
  <si>
    <t>LP14C1</t>
  </si>
  <si>
    <t>LP14C2</t>
  </si>
  <si>
    <t>LP14C3</t>
  </si>
  <si>
    <t>LP14C4</t>
  </si>
  <si>
    <t>LP14C5</t>
  </si>
  <si>
    <t>LP15C1</t>
  </si>
  <si>
    <t>LP15C2</t>
  </si>
  <si>
    <t>LP15C3</t>
  </si>
  <si>
    <t>LP15C4</t>
  </si>
  <si>
    <t>LP15C5</t>
  </si>
  <si>
    <t>LP15C6</t>
  </si>
  <si>
    <t>LP16C1</t>
  </si>
  <si>
    <t>LP16C2</t>
  </si>
  <si>
    <t>LP16C3</t>
  </si>
  <si>
    <t>LP16C4</t>
  </si>
  <si>
    <t>LP16C5</t>
  </si>
  <si>
    <t>LP16C6</t>
  </si>
  <si>
    <t>LP78C1</t>
  </si>
  <si>
    <t>LP78C4</t>
  </si>
  <si>
    <t>LP78C6</t>
  </si>
  <si>
    <t>NR01C2</t>
  </si>
  <si>
    <t>NR01C1</t>
  </si>
  <si>
    <t>NR01C3</t>
  </si>
  <si>
    <t>NR01C4</t>
  </si>
  <si>
    <t>NR01C5</t>
  </si>
  <si>
    <t>NR01C6</t>
  </si>
  <si>
    <t>NR01B1</t>
  </si>
  <si>
    <t>NR01B2</t>
  </si>
  <si>
    <t>NR02C1</t>
  </si>
  <si>
    <t>NR02C2</t>
  </si>
  <si>
    <t>NR02C3</t>
  </si>
  <si>
    <t>NR02C4</t>
  </si>
  <si>
    <t>NR02C6</t>
  </si>
  <si>
    <t>NR03C1</t>
  </si>
  <si>
    <t>NR03C2</t>
  </si>
  <si>
    <t>NR03C3</t>
  </si>
  <si>
    <t>NR03C4</t>
  </si>
  <si>
    <t>NR03C5</t>
  </si>
  <si>
    <t>NR03T1</t>
  </si>
  <si>
    <t>NR03T2</t>
  </si>
  <si>
    <t>NR03T3</t>
  </si>
  <si>
    <t>NR03B5</t>
  </si>
  <si>
    <t>NR04C1</t>
  </si>
  <si>
    <t>NR04C2</t>
  </si>
  <si>
    <t>NR04C3</t>
  </si>
  <si>
    <t>NR04C4</t>
  </si>
  <si>
    <t>NR04C5</t>
  </si>
  <si>
    <t>NR05C1</t>
  </si>
  <si>
    <t>NR05C2</t>
  </si>
  <si>
    <t>NR05C3</t>
  </si>
  <si>
    <t>NR05C4</t>
  </si>
  <si>
    <t>NR05C5</t>
  </si>
  <si>
    <t>NR05C6</t>
  </si>
  <si>
    <t>NR05T2</t>
  </si>
  <si>
    <t>NR05B5</t>
  </si>
  <si>
    <t>NR05B6</t>
  </si>
  <si>
    <t>NR07C1</t>
  </si>
  <si>
    <t>NR98C7</t>
  </si>
  <si>
    <t>PC01C8</t>
  </si>
  <si>
    <t>PC02C8</t>
  </si>
  <si>
    <t>PC03C8</t>
  </si>
  <si>
    <t>PC06C8</t>
  </si>
  <si>
    <t>PC07C8</t>
  </si>
  <si>
    <t>PC09C8</t>
  </si>
  <si>
    <t>PC10C8</t>
  </si>
  <si>
    <t>PC13C8</t>
  </si>
  <si>
    <t>PC14C8</t>
  </si>
  <si>
    <t>PC15C8</t>
  </si>
  <si>
    <t>PC16C8</t>
  </si>
  <si>
    <t>PF03C4</t>
  </si>
  <si>
    <t>PF03T2</t>
  </si>
  <si>
    <t>PF03B5</t>
  </si>
  <si>
    <t>PF06C4</t>
  </si>
  <si>
    <t>PF06C6</t>
  </si>
  <si>
    <t>PF09C1</t>
  </si>
  <si>
    <t>PF09C2</t>
  </si>
  <si>
    <t>PF09C3</t>
  </si>
  <si>
    <t>PF09C4</t>
  </si>
  <si>
    <t>PF41M1</t>
  </si>
  <si>
    <t>PF41M2</t>
  </si>
  <si>
    <t>PF41M3</t>
  </si>
  <si>
    <t>PF51M1</t>
  </si>
  <si>
    <t>PF51M2</t>
  </si>
  <si>
    <t>PF51M3</t>
  </si>
  <si>
    <t>PF51M4</t>
  </si>
  <si>
    <t>PF51M5</t>
  </si>
  <si>
    <t>PF51M6</t>
  </si>
  <si>
    <t>PF51M7</t>
  </si>
  <si>
    <t>PF51M8</t>
  </si>
  <si>
    <t>PF51M9</t>
  </si>
  <si>
    <t>RE01C7</t>
  </si>
  <si>
    <t>RE02C1</t>
  </si>
  <si>
    <t>RE02C2</t>
  </si>
  <si>
    <t>RE02C4</t>
  </si>
  <si>
    <t>RE02C6</t>
  </si>
  <si>
    <t>RE03C7</t>
  </si>
  <si>
    <t>RE04C7</t>
  </si>
  <si>
    <t>RE05C7</t>
  </si>
  <si>
    <t>RE06C7</t>
  </si>
  <si>
    <t>RE08C1</t>
  </si>
  <si>
    <t>RE08C3</t>
  </si>
  <si>
    <t>RE09C1</t>
  </si>
  <si>
    <t>RE10C5</t>
  </si>
  <si>
    <t>RE10C1</t>
  </si>
  <si>
    <t>RE10C2</t>
  </si>
  <si>
    <t>RE10C3</t>
  </si>
  <si>
    <t>RE10C4</t>
  </si>
  <si>
    <t>RE11C1</t>
  </si>
  <si>
    <t>RE11C4</t>
  </si>
  <si>
    <t>RE11C5</t>
  </si>
  <si>
    <t>RE11T2</t>
  </si>
  <si>
    <t>RE12C1</t>
  </si>
  <si>
    <t>RE12C4</t>
  </si>
  <si>
    <t>RE12C5</t>
  </si>
  <si>
    <t>RE12T2</t>
  </si>
  <si>
    <t>RE13C1</t>
  </si>
  <si>
    <t>RE13C2</t>
  </si>
  <si>
    <t>RE13C3</t>
  </si>
  <si>
    <t>RE13C4</t>
  </si>
  <si>
    <t>RE13C5</t>
  </si>
  <si>
    <t>RE15C7</t>
  </si>
  <si>
    <t>RX01C7</t>
  </si>
  <si>
    <t>RX04C1</t>
  </si>
  <si>
    <t>RX06C1</t>
  </si>
  <si>
    <t>RX06C2</t>
  </si>
  <si>
    <t>RX06C3</t>
  </si>
  <si>
    <t>RX06C4</t>
  </si>
  <si>
    <t>RX06C5</t>
  </si>
  <si>
    <t>RX09C1</t>
  </si>
  <si>
    <t>RX09C4</t>
  </si>
  <si>
    <t>RX97C4</t>
  </si>
  <si>
    <t>RX98C1</t>
  </si>
  <si>
    <t>RX98C4</t>
  </si>
  <si>
    <t>TX06C1</t>
  </si>
  <si>
    <t>TX06C3</t>
  </si>
  <si>
    <t>TX06C4</t>
  </si>
  <si>
    <t>TX06C6</t>
  </si>
  <si>
    <t>TX07C1</t>
  </si>
  <si>
    <t>TX07C2</t>
  </si>
  <si>
    <t>TX07C3</t>
  </si>
  <si>
    <t>TX07C4</t>
  </si>
  <si>
    <t>TX09C1</t>
  </si>
  <si>
    <t>TX09C3</t>
  </si>
  <si>
    <t>TX09C4</t>
  </si>
  <si>
    <t>TX10C4</t>
  </si>
  <si>
    <t>TX10C5</t>
  </si>
  <si>
    <t>TX12C1</t>
  </si>
  <si>
    <t>TX12C2</t>
  </si>
  <si>
    <t>TX12C3</t>
  </si>
  <si>
    <t>TX12C4</t>
  </si>
  <si>
    <t>TX16C1</t>
  </si>
  <si>
    <t>TX16C3</t>
  </si>
  <si>
    <t>TX16C4</t>
  </si>
  <si>
    <t>TX20C3</t>
  </si>
  <si>
    <t>TX20C4</t>
  </si>
  <si>
    <t>TX21C1</t>
  </si>
  <si>
    <t>TX21C4</t>
  </si>
  <si>
    <t>TX22C4</t>
  </si>
  <si>
    <r>
      <t>Loose-Packed Paints and Paint-Related Materials, Water-Based/Latex, Non-RCRA, for solidification and disposal at a RCRA Subtitle D landfill, or equivalent.</t>
    </r>
    <r>
      <rPr>
        <u/>
        <sz val="12"/>
        <rFont val="Times New Roman"/>
        <family val="1"/>
      </rPr>
      <t xml:space="preserve"> Formerly CLIN NR06</t>
    </r>
    <r>
      <rPr>
        <sz val="12"/>
        <rFont val="Times New Roman"/>
        <family val="1"/>
      </rPr>
      <t>. Physical State: Various Permissible EPA Waste Codes: N/A.</t>
    </r>
  </si>
  <si>
    <t>FL01C7</t>
  </si>
  <si>
    <t>FL13C5</t>
  </si>
  <si>
    <t>1026RE</t>
  </si>
  <si>
    <t>1027RE</t>
  </si>
  <si>
    <t>1905SA</t>
  </si>
  <si>
    <t>Perform sampling and analysis of Non-Potable Water (NPW) for Per- and Polyfluoroalkyl Substances (PFAS) using EPA Draft Method 1633 or modifications/updates thereto.  Sample bottles must be provided by the laboratory.  Only a DoD ELAP accredited laboratory that is accredited specifically for this method shall be used.</t>
  </si>
  <si>
    <t>1000SP</t>
  </si>
  <si>
    <t>1001SP</t>
  </si>
  <si>
    <t>1150SP</t>
  </si>
  <si>
    <t>1158SP</t>
  </si>
  <si>
    <t>1168SP</t>
  </si>
  <si>
    <t>1212SP</t>
  </si>
  <si>
    <t>1214SP</t>
  </si>
  <si>
    <t>1217SP</t>
  </si>
  <si>
    <t>1326SP</t>
  </si>
  <si>
    <t>1330SP</t>
  </si>
  <si>
    <t>1340SP</t>
  </si>
  <si>
    <t>1342SP</t>
  </si>
  <si>
    <t>1350SP</t>
  </si>
  <si>
    <t>1352SP</t>
  </si>
  <si>
    <t>1402SP</t>
  </si>
  <si>
    <t>1407SP</t>
  </si>
  <si>
    <t>1411SP</t>
  </si>
  <si>
    <t>1413SP</t>
  </si>
  <si>
    <t>1419SP</t>
  </si>
  <si>
    <t>1421SP</t>
  </si>
  <si>
    <t>1472SP</t>
  </si>
  <si>
    <t>1551SP</t>
  </si>
  <si>
    <t>1500SP</t>
  </si>
  <si>
    <t>1623SP</t>
  </si>
  <si>
    <t>1639SP</t>
  </si>
  <si>
    <t>1641SP</t>
  </si>
  <si>
    <t>1644SP</t>
  </si>
  <si>
    <t>1654SP</t>
  </si>
  <si>
    <t>1668SP</t>
  </si>
  <si>
    <t>1682SP</t>
  </si>
  <si>
    <t>Provide Container - 4-FT bulb DR, new, 108 lamp capacity, UN 1G/Y40/S.</t>
  </si>
  <si>
    <t>1683SP</t>
  </si>
  <si>
    <t>1803SP</t>
  </si>
  <si>
    <t>Surcharge for Expedited Commencement of ICS Work, Crew of Two-Three (2-3).</t>
  </si>
  <si>
    <t>Overpack/Loose Pack smaller container(s) into one Government-provided container up to 15-gal drum.</t>
  </si>
  <si>
    <t>Overpack/Loose Pack smaller container(s) into one Government-provided container up to 30-gal drum.</t>
  </si>
  <si>
    <t>Overpack/Loose Pack smaller container(s) into one Government-provided container up to 55-gal drum.</t>
  </si>
  <si>
    <t>Overpack/Loose Pack smaller container(s) into one Government-provided container up to 110-gal drum.</t>
  </si>
  <si>
    <t>Prepare/Provide Lab Pack of chemicals into one Contractor-provided container up to 5-gal pail.</t>
  </si>
  <si>
    <t>Prepare/Provide Lab Pack of chemicals into one Contractor-provided container up to 15-gal drum.</t>
  </si>
  <si>
    <t>Prepare/Provide Lab Pack of chemicals into one Contractor-provided container up to 30-gal drum.</t>
  </si>
  <si>
    <t>Prepare/Provide Lab Pack of chemicals into one Contractor-provided container up to 55-gal drum.</t>
  </si>
  <si>
    <t>1300SV</t>
  </si>
  <si>
    <t>1303SV</t>
  </si>
  <si>
    <t>BA17</t>
  </si>
  <si>
    <t>BA17C7</t>
  </si>
  <si>
    <t>BA99</t>
  </si>
  <si>
    <t>Lead Acid Batteries, Demil-required. Cert of Recycling required.                                                                                                                     Physical State: Various
Permissible Waste Codes: UW, D002, D004-11.</t>
  </si>
  <si>
    <t>BA99C7</t>
  </si>
  <si>
    <t>LP17C1</t>
  </si>
  <si>
    <t>LP17C2</t>
  </si>
  <si>
    <t>LP17C4</t>
  </si>
  <si>
    <t>LP17C3</t>
  </si>
  <si>
    <t>LP17</t>
  </si>
  <si>
    <t>Damaged, Defective, or Recalled (DDR) Lithium Batteries. Generator special packaging required. Managed as UW only when casings aren't breached.
Physical State: Various
Permissible EPA Waste Codes: UW, D002, D004-D011.</t>
  </si>
  <si>
    <t>Lab Packs/Loose Packs, Reactives, Non-Metals, Non-Oxidizing, for mandatory RCRA incineration. Generator special packaging may be required. 
Physical State: Various 
Permissible EPA Waste Codes: D001-43, Listed.</t>
  </si>
  <si>
    <t>Lab Packs/Loose Packs, Toxic Metals. 
Physical State: Various 
Permissible EPA Waste Codes: D004-11, Listed Inorganics.</t>
  </si>
  <si>
    <t>Lab Packs/Loose Packs, Pharmaceuticals, including aerosols, prescription and non-prescription, for mandatory RCRA incineration. No DEA controlled drugs. CD Required.
Physical State: Various
Permissible EPA Waste Codes: D001-2, D004-43, Listed.</t>
  </si>
  <si>
    <t>RX99C7</t>
  </si>
  <si>
    <t>PF03C6</t>
  </si>
  <si>
    <t>CLIN</t>
  </si>
  <si>
    <t>Description</t>
  </si>
  <si>
    <t>Est. Qty.</t>
  </si>
  <si>
    <t>U/I</t>
  </si>
  <si>
    <t>Military Items, Demil-required, Flammable Solids/Liquids/Debris, e.g., NBC/CDE Kits, Vials, Filters, PPE, etc. for conventional RCRA treatment, disposal. CD required. 
Physical State: Various 
Permissible EPA Waste Codes: D001 (IGN), D002, D004-43, Listed.</t>
  </si>
  <si>
    <t>Provide Container -  5-GL, poly DR, new, CLO, UN 1H1/Y1.8/150</t>
  </si>
  <si>
    <t>Provide Supplies - Spill cleanup kit, Hazardous material, Universal, absorbs 60 GL, includes socks, pads, wipes, disposal bags, 95 GL UN1H2/X295/S.</t>
  </si>
  <si>
    <t>Provide Supplies - Spill cleanup kit, Hazardous material, Oil only, absorbs 52 GL, includes socks, pads, wipes, disposal bags, 95 GL UN1H2/X295/S.</t>
  </si>
  <si>
    <t>Provide Container -  15-GL, Metal Closed-Top Drum,  New, Unlined, Bung, 1A1/Y1.5/300.</t>
  </si>
  <si>
    <t>Provide  Container - 85-GL, metal DR, new, OPN, EP lined, bolt ring, DUAL, UN 1A2T/Y320/S and 1A2/X440/S.</t>
  </si>
  <si>
    <t>Provide Container -8-FT bulb DR, new, 108 lamp capacity, UN 1G/Y95/S.</t>
  </si>
  <si>
    <t>Perform sampling and analysis to determine Waste Characteristics (D001-D0043) and UHCs using current SW-846 Methods. Provide Hazardous Waste Profile Sheet (HWPS). (See 3.26).</t>
  </si>
  <si>
    <r>
      <t xml:space="preserve">Perform sampling and analysis to determine waste characteristics for Ignitability (D001), Corrosivity (D002), and Reactivity (D003) using current EPA approved methods. </t>
    </r>
    <r>
      <rPr>
        <b/>
        <sz val="12"/>
        <rFont val="Times New Roman"/>
        <family val="1"/>
      </rPr>
      <t>Five (5) business day deliverables required.</t>
    </r>
  </si>
  <si>
    <t>Provide Container -  5-GL, poly DR, new, OPN, pail w/screw top UN 1H2/Y30/S.</t>
  </si>
  <si>
    <t>Provide Container -  5-GL, metal DR, new, CLO, UN 1A1/Y1.8/100.</t>
  </si>
  <si>
    <t>Provide Container -  15-GL, poly DR, new, CLO, UN 1H1/Y1.8/100.</t>
  </si>
  <si>
    <t>Provide Container -  15-GL, poly DR, new, OPN, UN 1H2/Y100/S.</t>
  </si>
  <si>
    <t>Provide Container -  30-GL, poly DR, new, CLO, UN 1H1/Y1.9/150.</t>
  </si>
  <si>
    <t>Provide Container -  30-GL, poly DR, new, OPN, lever lock ring, UN 1H2/Y180/S.</t>
  </si>
  <si>
    <t>Provide Container -  30-GL, metal DR, new, OPN, BLTRNG, w/Bung opening, DUAL, UN 1A2/Y1.4/150 AND 1A2/X400/S.</t>
  </si>
  <si>
    <t>Provide Container -  30-GL, metal DR, new, OPN, UN 1A2/Y1.5/150.</t>
  </si>
  <si>
    <t>Provide Container -  30-GL, metal DR, new, CLO, EP lined, UN 1A1/X1.8/300.</t>
  </si>
  <si>
    <t>Provide Container -  30-GL, metal DR, new, CLO, EP lined, UN 1A1/Y1.5/300.</t>
  </si>
  <si>
    <t>Provide Container -  55-GL, poly DR, new, OPN, UN 1H2/Y140/S.</t>
  </si>
  <si>
    <t>Provide 55-GL, poly DR, new, CLO, UN 1H1/Y1.9/150.</t>
  </si>
  <si>
    <t>Provide Container -  55-GL, metal DR, new, CLO, UN 1A1/X1.8/300.</t>
  </si>
  <si>
    <t>Provide Container -  55-GL, metal DR, new, CLO, EP lined, UN 1A1/X1.8/300.</t>
  </si>
  <si>
    <t>Provide Container -  55-GL, metal DR, new, OPN, BLTRNG, UN 1A2/Y1.6/150.</t>
  </si>
  <si>
    <t>Provide Container -  55-GL, metal DR, new, OPN, EP lined, BLTRNG, UN 1A2/Y1.6/150.</t>
  </si>
  <si>
    <t>Provide Container -  55-GL, DM, R, O, E, 1A2/Y1.2/100.</t>
  </si>
  <si>
    <t>Provide Container -  95-GL, poly DR, new, OPN, screw on top, UN 1H2/X345/S.</t>
  </si>
  <si>
    <t>Provide CYB, 36"x36"x36", cardboard, with top and liner, UN 11G/X/.</t>
  </si>
  <si>
    <t>Provide 220-GL, tote, poly, caged, new, with composite pallet, UN 31HA1.</t>
  </si>
  <si>
    <t>Provide  Container - 275-GL, tote, poly caged, new, with composite pallet, UN 31HA1/Y.</t>
  </si>
  <si>
    <t>Provide  Container - 330-GL, tote, poly, new, with pallet, UN 31HA1/Y.</t>
  </si>
  <si>
    <t>Provide  Container - 4FT fiber fluorescent light tube drum, 85 lamp capacity, UN 1G/Y50/S.</t>
  </si>
  <si>
    <t>Provide Container - 8-FT fiber fluorescent light tube drum, 70 lamp capacity, UN 1G/Y50/S.</t>
  </si>
  <si>
    <t>Provide Pallet, Wood, Wing-Tip, 48"x48".</t>
  </si>
  <si>
    <t>Industrial Cleaning Services, Daily, Crew of Two.</t>
  </si>
  <si>
    <t>Industrial Cleaning Services, Weekly, Crew of Two.</t>
  </si>
  <si>
    <t>Industrial Cleaning Services, Daily, Crew of Three.</t>
  </si>
  <si>
    <t>Industrial Cleaning Services, Weekly, Crew of Three.</t>
  </si>
  <si>
    <t>Surcharge for Weekend Work, Daily, Crew of Two.</t>
  </si>
  <si>
    <t>Surcharge for Weekend Work, Daily, Crew of Three.</t>
  </si>
  <si>
    <t>Surcharge for Confined Space Work, Daily crew of 3.</t>
  </si>
  <si>
    <t>1-Business Day Expedite/Performance.</t>
  </si>
  <si>
    <t>3-Business Day Expedite/Performance.</t>
  </si>
  <si>
    <t xml:space="preserve">5-Business Day Expedite/Performance. </t>
  </si>
  <si>
    <t xml:space="preserve">10-Business Day Expedite/Performance. </t>
  </si>
  <si>
    <t xml:space="preserve">Move Empty ROB, VAC BOX, OR FRAC TANK. </t>
  </si>
  <si>
    <t>Overpack/Loose Pack smaller container(s) into one Government-provided container up to 5-gal pail.</t>
  </si>
  <si>
    <t>Provide Cert of Disp/Destruct/Recycling.</t>
  </si>
  <si>
    <t>Provide Air Test and Gas Free Certificate.</t>
  </si>
  <si>
    <t>Flammable Corrosive Liquids/Solids/Sludges/Debris/Aerosols. Use LP03 for loose packs other than aerosols. FL04C7 for use with flammable corrosive aerosols only. 
Physical State: Various 
Permissible EPA Waste Codes: UW (Aerosols Only), D001 (IGN), D002, D004-43, Listed.</t>
  </si>
  <si>
    <t>Lab Packs/Loose Packs, Corrosives, Organic or Inorganic, Liquids or Solids, Non-Flammable.  
Physical State: Various 
Permissible EPA Waste Codes: D002, D004-11, Listed.</t>
  </si>
  <si>
    <t>Lab Packs/Loose Packs, Mercury, Elemental Liquid, for mandatory recycling in U.S. 
Physical State: Various 
Permissible EPA Waste Codes: D004-11, Listed Inorganics.</t>
  </si>
  <si>
    <t>Lap Packs/Loose Packs, Flammables and Flammable Corrosives, other than paints and paint-related materials eligible for LP14, for mandatory RCRA incineration. No isocyanates (See LP16). 
Physical State: Various 
Permissible EPA Waste Codes: D001 (IGN), D002, D004-43, Listed.</t>
  </si>
  <si>
    <t>Lab Packs/Loose Packs, Non-RCRA, State and Non-State Regulated, other than paints eligible for LP15, includes pharmaceuticals. 
Physical State: Various 
Permissible EPA Waste Codes: N/A.</t>
  </si>
  <si>
    <t>Lab Packs/Loose Packs, Non-Reactive Oxidizers.
Physical State: Various 
Permissible EPA Waste Codes: D001 (OX), D002, D004-43, Listed.</t>
  </si>
  <si>
    <t>Lab Packs/Loose Packs, Reactive Oxidizers, including Organic Peroxides, for mandatory RCRA incineration. Generator special packaging may be required. 
Physical State: Various 
Permissible EPA Waste Codes: D001 (OX), D002-43, Listed.</t>
  </si>
  <si>
    <t>Lab Packs/Loose Packs, Reactive Metals, Wet/Dry, includes Broken Sodium Lamps, MRE heaters, E-cigarettes and associated components and residues. Generator special packaging may be required. 
Physical State: Various 
Permissible EPA Waste Codes: D001-43, Listed.</t>
  </si>
  <si>
    <t>Lab Packs/Loose Packs, Toxic Organics.
Physical State: Various 
Permissible EPA Waste Codes: D004-43, Listed.</t>
  </si>
  <si>
    <t>Lab Packs/Loose Packs, Toxic, Acutely Hazardous, P-Listed, for mandatory RCRA incineration. Includes pharmaceuticals. May be packaged with U-Listed waste. Special Generator turn-in requirements may apply. 
Physical State: Various 
Permissible EPA Waste Codes: D004-43, P-Listed, U-Listed.</t>
  </si>
  <si>
    <t>Lab Packs/Loose Packs, Toxic, U-Listed, including pharmaceuticals, for mandatory RCRA incineration. Special Generator turn-in requirements may apply. 
Physical State: Various 
Permissible EPA Waste Codes: D004-43, U-Listed.</t>
  </si>
  <si>
    <t>AFFF and other PFAS-related Liquids/Waters, Non-RCRA, &gt;100 ppm PFAS, for treatment and disposal at a RCRA Subtitle C Landfill specifically designated as authorized for PFAS disposal in the QFL. &lt;10% suspended solids, pumpable if bulk. Includes AFFF Rinsates &amp; Concentrates. Certificate of Disposal required. See 2.4.
Physical State: Liquid
Permissible EPA Waste Codes: N/A.</t>
  </si>
  <si>
    <t>AFFF and other PFAS-related Solids/Debris, Non-RCRA, &gt;100 ppm PFAS, for direct disposal at a RCRA Subtitle C Landfill specifically designated as authorized for PFAS disposal in the QFL. Passes Paint Filter Test. No Cylinders. Certificate of Disposal required. See 2.4.
Physical State: Solid
Permissible EPA Waste Codes: N/A.</t>
  </si>
  <si>
    <t>AFFF and other PFAS-related Solids/Sludges/Debris with Free Liquids, Non-RCRA, &gt;100 ppm PFAS, for treatment and disposal at a RCRA Subtitle C Landfill specifically designated as authorized for PFAS disposal in the QFL. No Cylinders. Certificate of Disposal required. See 2.4.
Physical State: Various
Permissible EPA Waste Codes: N/A.</t>
  </si>
  <si>
    <t>AFFF Fire Extinguishers, handheld, containing pressurized liquid with varying PFAS formulations. Non-RCRA. Requires disposal of all liquid components at a RCRA Subtitle C landfill. CD required. Certificate of Disposal required. See 2.4. CLIN Suffix liquid capacities:
M1 = Up to 1 liter, up to approximately 4"D x 10"L (Small)
M2 = Up to 3 liters, up to approximately 5"D x 16"L (Med)
M3 = &gt;3 liters, generally greater than 5"D x 16"L (Large) 
Physical State: Liquid 
Permissible EPA Waste Codes: N/A.</t>
  </si>
  <si>
    <t>Antifreeze, used and unused, for energy recovery (recycling, fuels blending). Note: RE10ME refers to 55-gal drums (Min. 30 EA/Task Order) bulked onsite, removed, leaving empty drums with Generator. 
Physical State: Liquid 
Permissible EPA Waste Codes: UW, D004-11.</t>
  </si>
  <si>
    <t>Used Oil, &lt;10% Water, &lt;1,000 ppm total organic halides (TOX), for energy recovery (recycling, fuels blending). Note: RE11ME refers to 55-gal drums (Min. 30 EA/Task Order) bulked onsite, removed, leaving empty drums with Generator. 
Physical State: Liquid 
Permissible EPA Waste Codes: UW, D004-11.</t>
  </si>
  <si>
    <t>Used Oil, &gt;10% Water, &lt;1,000 ppm total organic halides (TOX) for energy recovery (recycling, fuels blending). Note: RE12ME refers to 55-gal drums (Min. 30 EA/Task Order) bulked onsite, removed, leaving empty drums with Generator. 
Physical State: Liquid 
Permissible EPA Waste Codes: UW, D004-11.</t>
  </si>
  <si>
    <t>Price</t>
  </si>
  <si>
    <t>Extended Cost</t>
  </si>
  <si>
    <t>Total:</t>
  </si>
  <si>
    <t>Base</t>
  </si>
  <si>
    <t>South Carolina HW Disposal - Base Period</t>
  </si>
  <si>
    <t>South Carolina HW Disposal - Option Period</t>
  </si>
  <si>
    <t>Option</t>
  </si>
  <si>
    <t>Weekly Rental of a 25-yd3  Lined Rolloff Box (ROB) With Hard Cover (3.3).</t>
  </si>
  <si>
    <t>Monthly Rental of a 25-yd3  Lined Rolloff Box (ROB) With Hard Cover (3.4).</t>
  </si>
  <si>
    <r>
      <t>Weekly Rental of a 20-yd</t>
    </r>
    <r>
      <rPr>
        <vertAlign val="superscript"/>
        <sz val="12"/>
        <color theme="1"/>
        <rFont val="Times New Roman"/>
        <family val="1"/>
      </rPr>
      <t xml:space="preserve">3  </t>
    </r>
    <r>
      <rPr>
        <sz val="12"/>
        <color theme="1"/>
        <rFont val="Times New Roman"/>
        <family val="1"/>
      </rPr>
      <t>Lined Rolloff Box (ROB) With Cover (See 3.3).</t>
    </r>
  </si>
  <si>
    <r>
      <t>Monthly Rental of a 20-yd</t>
    </r>
    <r>
      <rPr>
        <vertAlign val="superscript"/>
        <sz val="12"/>
        <color theme="1"/>
        <rFont val="Times New Roman"/>
        <family val="1"/>
      </rPr>
      <t xml:space="preserve">3  </t>
    </r>
    <r>
      <rPr>
        <sz val="12"/>
        <color theme="1"/>
        <rFont val="Times New Roman"/>
        <family val="1"/>
      </rPr>
      <t>Lined Rolloff Box (ROB) With Cover (See 3.4).</t>
    </r>
  </si>
  <si>
    <r>
      <t>Annual Rental of a 20-yd</t>
    </r>
    <r>
      <rPr>
        <vertAlign val="superscript"/>
        <sz val="12"/>
        <color theme="1"/>
        <rFont val="Times New Roman"/>
        <family val="1"/>
      </rPr>
      <t xml:space="preserve">3  </t>
    </r>
    <r>
      <rPr>
        <sz val="12"/>
        <color theme="1"/>
        <rFont val="Times New Roman"/>
        <family val="1"/>
      </rPr>
      <t>Lined Rolloff Box (ROB) With Cover (See 3.5).</t>
    </r>
  </si>
  <si>
    <r>
      <t>Weekly Rental of a 30-yd</t>
    </r>
    <r>
      <rPr>
        <vertAlign val="superscript"/>
        <sz val="12"/>
        <color theme="1"/>
        <rFont val="Times New Roman"/>
        <family val="1"/>
      </rPr>
      <t xml:space="preserve">3  </t>
    </r>
    <r>
      <rPr>
        <sz val="12"/>
        <color theme="1"/>
        <rFont val="Times New Roman"/>
        <family val="1"/>
      </rPr>
      <t>Lined Rolloff Box (ROB) With Cover (See 3.3).</t>
    </r>
  </si>
  <si>
    <r>
      <t>Monthly Rental of a 30-yd</t>
    </r>
    <r>
      <rPr>
        <vertAlign val="superscript"/>
        <sz val="12"/>
        <color theme="1"/>
        <rFont val="Times New Roman"/>
        <family val="1"/>
      </rPr>
      <t xml:space="preserve">3  </t>
    </r>
    <r>
      <rPr>
        <sz val="12"/>
        <color theme="1"/>
        <rFont val="Times New Roman"/>
        <family val="1"/>
      </rPr>
      <t>Lined Rolloff Box (ROB) With Cover (See 3.4).</t>
    </r>
  </si>
  <si>
    <r>
      <t>Annual Rental of a 30-yd</t>
    </r>
    <r>
      <rPr>
        <vertAlign val="superscript"/>
        <sz val="12"/>
        <color theme="1"/>
        <rFont val="Times New Roman"/>
        <family val="1"/>
      </rPr>
      <t xml:space="preserve">3  </t>
    </r>
    <r>
      <rPr>
        <sz val="12"/>
        <color theme="1"/>
        <rFont val="Times New Roman"/>
        <family val="1"/>
      </rPr>
      <t>Lined Rolloff Box (ROB) With Cover (See 3.5).</t>
    </r>
  </si>
  <si>
    <r>
      <t xml:space="preserve">Monthly Rental of a FRAC Tank with Containment (See </t>
    </r>
    <r>
      <rPr>
        <sz val="12"/>
        <rFont val="Times New Roman"/>
        <family val="1"/>
      </rPr>
      <t>3.9</t>
    </r>
    <r>
      <rPr>
        <sz val="12"/>
        <color theme="1"/>
        <rFont val="Times New Roman"/>
        <family val="1"/>
      </rPr>
      <t xml:space="preserve">). </t>
    </r>
  </si>
  <si>
    <t>Perform sampling and analysis to determine Waste Characteristics (D001-D0043) and UHCs using current SW-846 Methods. Provide Hazardous Waste Profile Sheet (HWPS) (See 3.26).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</si>
</sst>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409]mmm\-yy;@"/>
    <numFmt numFmtId="165" formatCode="&quot;$&quot;#,##0.00"/>
  </numFmts>
  <fonts count="30" x14ac:knownFonts="1">
    <font>
      <sz val="11"/>
      <color theme="1"/>
      <name val="Calibri"/>
      <family val="2"/>
      <scheme val="minor"/>
    </font>
    <font>
      <b/>
      <sz val="12"/>
      <color theme="1"/>
      <name val="Arial"/>
      <family val="2"/>
    </font>
    <font>
      <b/>
      <sz val="12"/>
      <color theme="1"/>
      <name val="Calibri"/>
      <family val="2"/>
    </font>
    <font>
      <sz val="9"/>
      <color theme="1"/>
      <name val="Calibri"/>
      <family val="2"/>
      <scheme val="minor"/>
    </font>
    <font>
      <b/>
      <sz val="8"/>
      <color theme="1"/>
      <name val="Arial"/>
      <family val="2"/>
    </font>
    <font>
      <sz val="10"/>
      <color theme="1"/>
      <name val="Arial"/>
      <family val="2"/>
    </font>
    <font>
      <b/>
      <sz val="10"/>
      <color rgb="FFFF0000"/>
      <name val="Arial"/>
      <family val="2"/>
    </font>
    <font>
      <b/>
      <sz val="10"/>
      <color rgb="FF0000FF"/>
      <name val="Arial"/>
      <family val="2"/>
    </font>
    <font>
      <u/>
      <sz val="11"/>
      <color theme="10"/>
      <name val="Calibri"/>
      <family val="2"/>
      <scheme val="minor"/>
    </font>
    <font>
      <b/>
      <sz val="9"/>
      <color rgb="FFFF0000"/>
      <name val="Arial"/>
      <family val="2"/>
    </font>
    <font>
      <sz val="9"/>
      <color theme="1"/>
      <name val="Arial"/>
      <family val="2"/>
    </font>
    <font>
      <sz val="8"/>
      <color theme="1"/>
      <name val="Arial"/>
      <family val="2"/>
    </font>
    <font>
      <sz val="10"/>
      <color theme="1"/>
      <name val="Courier"/>
      <family val="3"/>
    </font>
    <font>
      <u/>
      <sz val="10"/>
      <color theme="1"/>
      <name val="Arial"/>
      <family val="2"/>
    </font>
    <font>
      <sz val="12"/>
      <color theme="1"/>
      <name val="Arial"/>
      <family val="2"/>
    </font>
    <font>
      <b/>
      <sz val="12"/>
      <color theme="1"/>
      <name val="Calibri"/>
      <family val="2"/>
      <scheme val="minor"/>
    </font>
    <font>
      <sz val="10"/>
      <color theme="1"/>
      <name val="Calibri"/>
      <family val="2"/>
      <scheme val="minor"/>
    </font>
    <font>
      <sz val="12"/>
      <color theme="1"/>
      <name val="Calibri"/>
      <family val="2"/>
      <scheme val="minor"/>
    </font>
    <font>
      <vertAlign val="superscript"/>
      <sz val="12"/>
      <color theme="1"/>
      <name val="Calibri"/>
      <family val="2"/>
      <scheme val="minor"/>
    </font>
    <font>
      <vertAlign val="superscript"/>
      <sz val="11"/>
      <color theme="1"/>
      <name val="Calibri"/>
      <family val="2"/>
      <scheme val="minor"/>
    </font>
    <font>
      <sz val="8"/>
      <name val="Calibri"/>
      <family val="2"/>
      <scheme val="minor"/>
    </font>
    <font>
      <sz val="10"/>
      <color indexed="8"/>
      <name val="Arial"/>
      <family val="2"/>
    </font>
    <font>
      <sz val="12"/>
      <color theme="1"/>
      <name val="Times New Roman"/>
      <family val="1"/>
    </font>
    <font>
      <vertAlign val="superscript"/>
      <sz val="12"/>
      <color theme="1"/>
      <name val="Times New Roman"/>
      <family val="1"/>
    </font>
    <font>
      <sz val="12"/>
      <name val="Times New Roman"/>
      <family val="1"/>
    </font>
    <font>
      <b/>
      <sz val="12"/>
      <name val="Times New Roman"/>
      <family val="1"/>
    </font>
    <font>
      <vertAlign val="subscript"/>
      <sz val="12"/>
      <name val="Times New Roman"/>
      <family val="1"/>
    </font>
    <font>
      <sz val="11"/>
      <color theme="1"/>
      <name val="Calibri"/>
      <family val="2"/>
      <scheme val="minor"/>
    </font>
    <font>
      <u/>
      <sz val="12"/>
      <name val="Times New Roman"/>
      <family val="1"/>
    </font>
    <font>
      <b/>
      <sz val="14"/>
      <color theme="1"/>
      <name val="Times New Roman"/>
      <family val="1"/>
    </font>
  </fonts>
  <fills count="7">
    <fill>
      <patternFill patternType="none"/>
    </fill>
    <fill>
      <patternFill patternType="gray125"/>
    </fill>
    <fill>
      <patternFill patternType="solid">
        <fgColor theme="0"/>
        <bgColor indexed="64"/>
      </patternFill>
    </fill>
    <fill>
      <patternFill patternType="solid">
        <fgColor theme="2" tint="-9.9978637043366805E-2"/>
        <bgColor indexed="64"/>
      </patternFill>
    </fill>
    <fill>
      <patternFill patternType="solid">
        <fgColor rgb="FFFFFF00"/>
        <bgColor indexed="64"/>
      </patternFill>
    </fill>
    <fill>
      <patternFill patternType="solid">
        <fgColor theme="2"/>
        <bgColor indexed="64"/>
      </patternFill>
    </fill>
    <fill>
      <patternFill patternType="solid">
        <fgColor theme="8" tint="0.79998168889431442"/>
        <bgColor indexed="64"/>
      </patternFill>
    </fill>
  </fills>
  <borders count="42">
    <border>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diagonal/>
    </border>
    <border>
      <left/>
      <right style="thin">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medium">
        <color indexed="64"/>
      </right>
      <top/>
      <bottom style="thin">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double">
        <color indexed="64"/>
      </bottom>
      <diagonal/>
    </border>
  </borders>
  <cellStyleXfs count="7">
    <xf numFmtId="164" fontId="0" fillId="0" borderId="0"/>
    <xf numFmtId="164" fontId="8" fillId="0" borderId="0" applyNumberFormat="0" applyFill="0" applyBorder="0" applyAlignment="0" applyProtection="0"/>
    <xf numFmtId="0" fontId="21" fillId="0" borderId="0">
      <alignment vertical="top"/>
    </xf>
    <xf numFmtId="0" fontId="27" fillId="0" borderId="0"/>
    <xf numFmtId="0" fontId="27" fillId="0" borderId="0"/>
    <xf numFmtId="164" fontId="27" fillId="0" borderId="0"/>
    <xf numFmtId="164" fontId="27" fillId="0" borderId="0"/>
  </cellStyleXfs>
  <cellXfs count="143">
    <xf numFmtId="164" fontId="0" fillId="0" borderId="0" xfId="0"/>
    <xf numFmtId="164" fontId="3" fillId="0" borderId="0" xfId="0" applyFont="1"/>
    <xf numFmtId="164" fontId="0" fillId="2" borderId="0" xfId="0" applyFill="1" applyAlignment="1">
      <alignment horizontal="left" vertical="top"/>
    </xf>
    <xf numFmtId="164" fontId="3" fillId="2" borderId="0" xfId="0" applyFont="1" applyFill="1"/>
    <xf numFmtId="164" fontId="1" fillId="4" borderId="8" xfId="0" applyFont="1" applyFill="1" applyBorder="1" applyAlignment="1">
      <alignment horizontal="left" vertical="center"/>
    </xf>
    <xf numFmtId="164" fontId="1" fillId="4" borderId="1" xfId="0" applyFont="1" applyFill="1" applyBorder="1" applyAlignment="1">
      <alignment horizontal="center" vertical="center"/>
    </xf>
    <xf numFmtId="164" fontId="5" fillId="0" borderId="24" xfId="0" applyFont="1" applyBorder="1" applyAlignment="1">
      <alignment vertical="center"/>
    </xf>
    <xf numFmtId="164" fontId="5" fillId="0" borderId="10" xfId="0" applyFont="1" applyBorder="1" applyAlignment="1">
      <alignment horizontal="center" vertical="center"/>
    </xf>
    <xf numFmtId="164" fontId="8" fillId="0" borderId="24" xfId="1" applyBorder="1" applyAlignment="1">
      <alignment vertical="center"/>
    </xf>
    <xf numFmtId="164" fontId="12" fillId="0" borderId="0" xfId="0" applyFont="1" applyAlignment="1">
      <alignment vertical="center"/>
    </xf>
    <xf numFmtId="164" fontId="13" fillId="0" borderId="0" xfId="0" applyFont="1" applyAlignment="1">
      <alignment vertical="center"/>
    </xf>
    <xf numFmtId="164" fontId="5" fillId="0" borderId="0" xfId="0" applyFont="1" applyAlignment="1">
      <alignment vertical="center"/>
    </xf>
    <xf numFmtId="164" fontId="8" fillId="0" borderId="0" xfId="1" applyAlignment="1">
      <alignment vertical="center"/>
    </xf>
    <xf numFmtId="164" fontId="17" fillId="2" borderId="0" xfId="0" applyFont="1" applyFill="1"/>
    <xf numFmtId="164" fontId="15" fillId="0" borderId="11" xfId="0" applyFont="1" applyBorder="1" applyAlignment="1">
      <alignment horizontal="center" vertical="top" wrapText="1"/>
    </xf>
    <xf numFmtId="164" fontId="15" fillId="0" borderId="16" xfId="0" applyFont="1" applyBorder="1" applyAlignment="1">
      <alignment horizontal="center" vertical="top" wrapText="1"/>
    </xf>
    <xf numFmtId="164" fontId="15" fillId="0" borderId="17" xfId="0" applyFont="1" applyBorder="1" applyAlignment="1">
      <alignment horizontal="center" vertical="top" wrapText="1"/>
    </xf>
    <xf numFmtId="164" fontId="15" fillId="0" borderId="19" xfId="0" applyFont="1" applyBorder="1" applyAlignment="1">
      <alignment horizontal="center" vertical="center" wrapText="1"/>
    </xf>
    <xf numFmtId="164" fontId="15" fillId="0" borderId="20" xfId="0" applyFont="1" applyBorder="1" applyAlignment="1">
      <alignment horizontal="center" vertical="center" wrapText="1"/>
    </xf>
    <xf numFmtId="164" fontId="15" fillId="0" borderId="11" xfId="0" applyFont="1" applyBorder="1" applyAlignment="1">
      <alignment horizontal="center" vertical="center" wrapText="1"/>
    </xf>
    <xf numFmtId="164" fontId="15" fillId="0" borderId="17" xfId="0" applyFont="1" applyBorder="1" applyAlignment="1">
      <alignment horizontal="center" vertical="center" wrapText="1"/>
    </xf>
    <xf numFmtId="164" fontId="15" fillId="0" borderId="30" xfId="0" applyFont="1" applyBorder="1" applyAlignment="1">
      <alignment horizontal="center" vertical="top" wrapText="1"/>
    </xf>
    <xf numFmtId="164" fontId="15" fillId="0" borderId="19" xfId="0" applyFont="1" applyBorder="1" applyAlignment="1">
      <alignment horizontal="center" vertical="top" wrapText="1"/>
    </xf>
    <xf numFmtId="164" fontId="15" fillId="0" borderId="20" xfId="0" applyFont="1" applyBorder="1" applyAlignment="1">
      <alignment horizontal="center" vertical="top" wrapText="1"/>
    </xf>
    <xf numFmtId="164" fontId="17" fillId="0" borderId="19" xfId="0" applyFont="1" applyBorder="1" applyAlignment="1">
      <alignment horizontal="center" vertical="top" wrapText="1"/>
    </xf>
    <xf numFmtId="164" fontId="17" fillId="0" borderId="20" xfId="0" applyFont="1" applyBorder="1" applyAlignment="1">
      <alignment horizontal="center" vertical="top" wrapText="1"/>
    </xf>
    <xf numFmtId="164" fontId="15" fillId="0" borderId="25" xfId="0" applyFont="1" applyBorder="1" applyAlignment="1">
      <alignment horizontal="center" vertical="top" wrapText="1"/>
    </xf>
    <xf numFmtId="164" fontId="15" fillId="0" borderId="26" xfId="0" applyFont="1" applyBorder="1" applyAlignment="1">
      <alignment horizontal="center" vertical="top" wrapText="1"/>
    </xf>
    <xf numFmtId="164" fontId="15" fillId="0" borderId="27" xfId="0" applyFont="1" applyBorder="1" applyAlignment="1">
      <alignment horizontal="center" vertical="top" wrapText="1"/>
    </xf>
    <xf numFmtId="164" fontId="15" fillId="0" borderId="17" xfId="0" applyFont="1" applyBorder="1" applyAlignment="1">
      <alignment horizontal="center" vertical="top"/>
    </xf>
    <xf numFmtId="1" fontId="15" fillId="0" borderId="30" xfId="0" applyNumberFormat="1" applyFont="1" applyBorder="1" applyAlignment="1">
      <alignment horizontal="center" vertical="top" wrapText="1"/>
    </xf>
    <xf numFmtId="1" fontId="15" fillId="0" borderId="19" xfId="0" applyNumberFormat="1" applyFont="1" applyBorder="1" applyAlignment="1">
      <alignment horizontal="center" vertical="top" wrapText="1"/>
    </xf>
    <xf numFmtId="1" fontId="15" fillId="0" borderId="20" xfId="0" applyNumberFormat="1" applyFont="1" applyBorder="1" applyAlignment="1">
      <alignment horizontal="center" vertical="top" wrapText="1"/>
    </xf>
    <xf numFmtId="164" fontId="15" fillId="0" borderId="29" xfId="0" applyFont="1" applyBorder="1" applyAlignment="1">
      <alignment horizontal="center" vertical="top" wrapText="1"/>
    </xf>
    <xf numFmtId="164" fontId="15" fillId="0" borderId="30" xfId="0" applyFont="1" applyBorder="1" applyAlignment="1">
      <alignment horizontal="center" vertical="center" wrapText="1"/>
    </xf>
    <xf numFmtId="164" fontId="15" fillId="5" borderId="34" xfId="0" applyFont="1" applyFill="1" applyBorder="1" applyAlignment="1">
      <alignment horizontal="center" vertical="top" wrapText="1"/>
    </xf>
    <xf numFmtId="164" fontId="15" fillId="5" borderId="22" xfId="0" applyFont="1" applyFill="1" applyBorder="1" applyAlignment="1">
      <alignment horizontal="center" vertical="top" wrapText="1"/>
    </xf>
    <xf numFmtId="164" fontId="15" fillId="5" borderId="15" xfId="0" applyFont="1" applyFill="1" applyBorder="1" applyAlignment="1">
      <alignment horizontal="center" vertical="top" wrapText="1"/>
    </xf>
    <xf numFmtId="164" fontId="15" fillId="0" borderId="4" xfId="0" applyFont="1" applyBorder="1" applyAlignment="1">
      <alignment horizontal="left" vertical="top" wrapText="1"/>
    </xf>
    <xf numFmtId="164" fontId="15" fillId="5" borderId="8" xfId="0" applyFont="1" applyFill="1" applyBorder="1" applyAlignment="1">
      <alignment horizontal="left" vertical="top" wrapText="1"/>
    </xf>
    <xf numFmtId="164" fontId="15" fillId="5" borderId="21" xfId="0" applyFont="1" applyFill="1" applyBorder="1" applyAlignment="1">
      <alignment horizontal="center" vertical="top" wrapText="1"/>
    </xf>
    <xf numFmtId="164" fontId="15" fillId="0" borderId="6" xfId="0" applyFont="1" applyBorder="1" applyAlignment="1">
      <alignment horizontal="left" vertical="center"/>
    </xf>
    <xf numFmtId="164" fontId="15" fillId="0" borderId="7" xfId="0" applyFont="1" applyBorder="1" applyAlignment="1">
      <alignment horizontal="left" vertical="top"/>
    </xf>
    <xf numFmtId="164" fontId="15" fillId="0" borderId="6" xfId="0" applyFont="1" applyBorder="1" applyAlignment="1">
      <alignment vertical="center"/>
    </xf>
    <xf numFmtId="164" fontId="17" fillId="0" borderId="26" xfId="0" applyFont="1" applyBorder="1" applyAlignment="1">
      <alignment horizontal="center" vertical="top" wrapText="1"/>
    </xf>
    <xf numFmtId="164" fontId="15" fillId="0" borderId="16" xfId="0" applyFont="1" applyBorder="1" applyAlignment="1">
      <alignment horizontal="center" vertical="center" wrapText="1"/>
    </xf>
    <xf numFmtId="164" fontId="17" fillId="0" borderId="25" xfId="0" applyFont="1" applyBorder="1" applyAlignment="1">
      <alignment horizontal="center" vertical="top" wrapText="1"/>
    </xf>
    <xf numFmtId="164" fontId="17" fillId="0" borderId="27" xfId="0" applyFont="1" applyBorder="1" applyAlignment="1">
      <alignment horizontal="center" vertical="top" wrapText="1"/>
    </xf>
    <xf numFmtId="164" fontId="17" fillId="0" borderId="18" xfId="0" applyFont="1" applyBorder="1" applyAlignment="1">
      <alignment horizontal="center" vertical="top" wrapText="1"/>
    </xf>
    <xf numFmtId="164" fontId="15" fillId="0" borderId="9" xfId="0" applyFont="1" applyBorder="1" applyAlignment="1">
      <alignment horizontal="left" vertical="top"/>
    </xf>
    <xf numFmtId="164" fontId="15" fillId="0" borderId="9" xfId="0" applyFont="1" applyBorder="1" applyAlignment="1">
      <alignment horizontal="left" vertical="center"/>
    </xf>
    <xf numFmtId="164" fontId="15" fillId="0" borderId="28" xfId="0" applyFont="1" applyBorder="1" applyAlignment="1">
      <alignment horizontal="center" vertical="center" wrapText="1"/>
    </xf>
    <xf numFmtId="164" fontId="15" fillId="0" borderId="26" xfId="0" applyFont="1" applyBorder="1" applyAlignment="1">
      <alignment horizontal="center" vertical="center" wrapText="1"/>
    </xf>
    <xf numFmtId="164" fontId="15" fillId="0" borderId="27" xfId="0" applyFont="1" applyBorder="1" applyAlignment="1">
      <alignment horizontal="center" vertical="center" wrapText="1"/>
    </xf>
    <xf numFmtId="164" fontId="15" fillId="0" borderId="28" xfId="0" applyFont="1" applyBorder="1" applyAlignment="1">
      <alignment horizontal="center" vertical="top" wrapText="1"/>
    </xf>
    <xf numFmtId="1" fontId="15" fillId="5" borderId="34" xfId="0" applyNumberFormat="1" applyFont="1" applyFill="1" applyBorder="1" applyAlignment="1">
      <alignment horizontal="center" vertical="top" wrapText="1"/>
    </xf>
    <xf numFmtId="1" fontId="15" fillId="5" borderId="22" xfId="0" applyNumberFormat="1" applyFont="1" applyFill="1" applyBorder="1" applyAlignment="1">
      <alignment horizontal="center" vertical="top" wrapText="1"/>
    </xf>
    <xf numFmtId="1" fontId="15" fillId="5" borderId="15" xfId="0" applyNumberFormat="1" applyFont="1" applyFill="1" applyBorder="1" applyAlignment="1">
      <alignment horizontal="center" vertical="top" wrapText="1"/>
    </xf>
    <xf numFmtId="1" fontId="15" fillId="0" borderId="28" xfId="0" applyNumberFormat="1" applyFont="1" applyBorder="1" applyAlignment="1">
      <alignment horizontal="center" vertical="top" wrapText="1"/>
    </xf>
    <xf numFmtId="1" fontId="15" fillId="0" borderId="37" xfId="0" applyNumberFormat="1" applyFont="1" applyBorder="1" applyAlignment="1">
      <alignment horizontal="center" vertical="top" wrapText="1"/>
    </xf>
    <xf numFmtId="164" fontId="15" fillId="0" borderId="4" xfId="0" applyFont="1" applyBorder="1" applyAlignment="1">
      <alignment horizontal="left" vertical="center"/>
    </xf>
    <xf numFmtId="164" fontId="15" fillId="0" borderId="9" xfId="0" applyFont="1" applyBorder="1" applyAlignment="1">
      <alignment vertical="top" wrapText="1"/>
    </xf>
    <xf numFmtId="164" fontId="15" fillId="0" borderId="4" xfId="0" applyFont="1" applyBorder="1" applyAlignment="1">
      <alignment vertical="top" wrapText="1"/>
    </xf>
    <xf numFmtId="164" fontId="15" fillId="0" borderId="9" xfId="0" applyFont="1" applyBorder="1" applyAlignment="1">
      <alignment horizontal="left" vertical="top" wrapText="1"/>
    </xf>
    <xf numFmtId="164" fontId="15" fillId="5" borderId="24" xfId="0" applyFont="1" applyFill="1" applyBorder="1" applyAlignment="1">
      <alignment horizontal="left" vertical="top" wrapText="1"/>
    </xf>
    <xf numFmtId="1" fontId="15" fillId="5" borderId="38" xfId="0" applyNumberFormat="1" applyFont="1" applyFill="1" applyBorder="1" applyAlignment="1">
      <alignment horizontal="center" vertical="top" wrapText="1"/>
    </xf>
    <xf numFmtId="1" fontId="15" fillId="5" borderId="39" xfId="0" applyNumberFormat="1" applyFont="1" applyFill="1" applyBorder="1" applyAlignment="1">
      <alignment horizontal="center" vertical="top" wrapText="1"/>
    </xf>
    <xf numFmtId="1" fontId="15" fillId="5" borderId="40" xfId="0" applyNumberFormat="1" applyFont="1" applyFill="1" applyBorder="1" applyAlignment="1">
      <alignment horizontal="center" vertical="top" wrapText="1"/>
    </xf>
    <xf numFmtId="164" fontId="16" fillId="0" borderId="0" xfId="0" applyFont="1" applyAlignment="1">
      <alignment horizontal="left"/>
    </xf>
    <xf numFmtId="1" fontId="15" fillId="0" borderId="18" xfId="0" applyNumberFormat="1" applyFont="1" applyBorder="1" applyAlignment="1">
      <alignment horizontal="center" vertical="top" wrapText="1"/>
    </xf>
    <xf numFmtId="1" fontId="15" fillId="0" borderId="5" xfId="0" applyNumberFormat="1" applyFont="1" applyBorder="1" applyAlignment="1">
      <alignment horizontal="center" vertical="top" wrapText="1"/>
    </xf>
    <xf numFmtId="164" fontId="3" fillId="0" borderId="0" xfId="0" applyFont="1" applyAlignment="1">
      <alignment horizontal="left"/>
    </xf>
    <xf numFmtId="164" fontId="22" fillId="0" borderId="11" xfId="0" applyFont="1" applyBorder="1" applyAlignment="1">
      <alignment horizontal="left" vertical="top" wrapText="1"/>
    </xf>
    <xf numFmtId="164" fontId="22" fillId="0" borderId="0" xfId="0" applyFont="1"/>
    <xf numFmtId="0" fontId="24" fillId="0" borderId="11" xfId="2" applyFont="1" applyBorder="1" applyAlignment="1">
      <alignment vertical="top" wrapText="1"/>
    </xf>
    <xf numFmtId="164" fontId="24" fillId="0" borderId="11" xfId="0" applyFont="1" applyBorder="1" applyAlignment="1">
      <alignment vertical="top" wrapText="1"/>
    </xf>
    <xf numFmtId="164" fontId="24" fillId="0" borderId="11" xfId="0" applyFont="1" applyBorder="1" applyAlignment="1">
      <alignment horizontal="left" vertical="top" wrapText="1"/>
    </xf>
    <xf numFmtId="164" fontId="24" fillId="6" borderId="11" xfId="0" applyFont="1" applyFill="1" applyBorder="1" applyAlignment="1">
      <alignment horizontal="left" vertical="top" wrapText="1"/>
    </xf>
    <xf numFmtId="164" fontId="24" fillId="6" borderId="11" xfId="0" applyFont="1" applyFill="1" applyBorder="1" applyAlignment="1">
      <alignment horizontal="left" vertical="top"/>
    </xf>
    <xf numFmtId="164" fontId="22" fillId="0" borderId="0" xfId="0" applyFont="1" applyAlignment="1">
      <alignment wrapText="1"/>
    </xf>
    <xf numFmtId="164" fontId="22" fillId="0" borderId="0" xfId="0" applyFont="1" applyAlignment="1">
      <alignment horizontal="left" vertical="top"/>
    </xf>
    <xf numFmtId="3" fontId="22" fillId="0" borderId="0" xfId="0" applyNumberFormat="1" applyFont="1"/>
    <xf numFmtId="0" fontId="22" fillId="6" borderId="11" xfId="0" applyNumberFormat="1" applyFont="1" applyFill="1" applyBorder="1" applyAlignment="1">
      <alignment horizontal="left" vertical="top"/>
    </xf>
    <xf numFmtId="164" fontId="22" fillId="0" borderId="11" xfId="0" applyFont="1" applyBorder="1" applyAlignment="1">
      <alignment horizontal="center" vertical="center"/>
    </xf>
    <xf numFmtId="164" fontId="22" fillId="0" borderId="0" xfId="0" applyFont="1" applyAlignment="1">
      <alignment horizontal="center" vertical="center"/>
    </xf>
    <xf numFmtId="0" fontId="24" fillId="6" borderId="11" xfId="4" applyFont="1" applyFill="1" applyBorder="1" applyAlignment="1">
      <alignment horizontal="left" vertical="top"/>
    </xf>
    <xf numFmtId="164" fontId="24" fillId="6" borderId="11" xfId="5" applyFont="1" applyFill="1" applyBorder="1" applyAlignment="1">
      <alignment horizontal="left" vertical="top"/>
    </xf>
    <xf numFmtId="164" fontId="24" fillId="6" borderId="11" xfId="6" applyFont="1" applyFill="1" applyBorder="1" applyAlignment="1">
      <alignment horizontal="left" vertical="top"/>
    </xf>
    <xf numFmtId="0" fontId="24" fillId="6" borderId="11" xfId="3" applyFont="1" applyFill="1" applyBorder="1" applyAlignment="1">
      <alignment horizontal="left" vertical="top"/>
    </xf>
    <xf numFmtId="0" fontId="24" fillId="6" borderId="11" xfId="3" applyFont="1" applyFill="1" applyBorder="1" applyAlignment="1">
      <alignment horizontal="left" vertical="top" wrapText="1"/>
    </xf>
    <xf numFmtId="0" fontId="24" fillId="0" borderId="11" xfId="3" applyFont="1" applyBorder="1" applyAlignment="1">
      <alignment horizontal="left" vertical="top" wrapText="1"/>
    </xf>
    <xf numFmtId="0" fontId="24" fillId="0" borderId="11" xfId="4" applyFont="1" applyBorder="1" applyAlignment="1">
      <alignment horizontal="left" vertical="top" wrapText="1"/>
    </xf>
    <xf numFmtId="0" fontId="24" fillId="2" borderId="11" xfId="3" applyFont="1" applyFill="1" applyBorder="1" applyAlignment="1">
      <alignment horizontal="left" vertical="top" wrapText="1"/>
    </xf>
    <xf numFmtId="164" fontId="24" fillId="0" borderId="11" xfId="5" applyFont="1" applyBorder="1" applyAlignment="1">
      <alignment horizontal="left" vertical="top" wrapText="1"/>
    </xf>
    <xf numFmtId="164" fontId="24" fillId="2" borderId="11" xfId="6" applyFont="1" applyFill="1" applyBorder="1" applyAlignment="1">
      <alignment horizontal="left" vertical="top" wrapText="1"/>
    </xf>
    <xf numFmtId="164" fontId="24" fillId="0" borderId="11" xfId="0" applyFont="1" applyBorder="1" applyAlignment="1">
      <alignment horizontal="left" vertical="top"/>
    </xf>
    <xf numFmtId="164" fontId="24" fillId="0" borderId="11" xfId="6" applyFont="1" applyBorder="1" applyAlignment="1">
      <alignment horizontal="left" vertical="top" wrapText="1"/>
    </xf>
    <xf numFmtId="165" fontId="24" fillId="0" borderId="11" xfId="0" applyNumberFormat="1" applyFont="1" applyBorder="1" applyAlignment="1">
      <alignment horizontal="left" vertical="top" wrapText="1"/>
    </xf>
    <xf numFmtId="3" fontId="24" fillId="0" borderId="11" xfId="0" applyNumberFormat="1" applyFont="1" applyBorder="1" applyAlignment="1">
      <alignment horizontal="center" vertical="center" shrinkToFit="1"/>
    </xf>
    <xf numFmtId="164" fontId="24" fillId="0" borderId="11" xfId="0" applyFont="1" applyBorder="1" applyAlignment="1">
      <alignment horizontal="center" vertical="center"/>
    </xf>
    <xf numFmtId="164" fontId="22" fillId="0" borderId="11" xfId="0" applyFont="1" applyBorder="1" applyAlignment="1">
      <alignment vertical="top" wrapText="1"/>
    </xf>
    <xf numFmtId="0" fontId="24" fillId="2" borderId="11" xfId="3" applyFont="1" applyFill="1" applyBorder="1" applyAlignment="1">
      <alignment vertical="top" wrapText="1"/>
    </xf>
    <xf numFmtId="44" fontId="22" fillId="0" borderId="0" xfId="0" applyNumberFormat="1" applyFont="1"/>
    <xf numFmtId="164" fontId="24" fillId="6" borderId="11" xfId="0" applyFont="1" applyFill="1" applyBorder="1" applyAlignment="1">
      <alignment horizontal="left" vertical="center"/>
    </xf>
    <xf numFmtId="44" fontId="22" fillId="0" borderId="11" xfId="0" applyNumberFormat="1" applyFont="1" applyBorder="1"/>
    <xf numFmtId="164" fontId="24" fillId="0" borderId="0" xfId="0" applyFont="1" applyAlignment="1">
      <alignment horizontal="left" vertical="center"/>
    </xf>
    <xf numFmtId="0" fontId="24" fillId="0" borderId="11" xfId="0" applyNumberFormat="1" applyFont="1" applyBorder="1" applyAlignment="1">
      <alignment horizontal="center" vertical="center" wrapText="1"/>
    </xf>
    <xf numFmtId="164" fontId="24" fillId="0" borderId="11" xfId="0" applyFont="1" applyBorder="1" applyAlignment="1">
      <alignment horizontal="center" vertical="center" wrapText="1"/>
    </xf>
    <xf numFmtId="164" fontId="24" fillId="0" borderId="0" xfId="0" applyFont="1" applyAlignment="1">
      <alignment horizontal="center" vertical="center" wrapText="1"/>
    </xf>
    <xf numFmtId="164" fontId="29" fillId="0" borderId="0" xfId="0" applyFont="1" applyAlignment="1">
      <alignment horizontal="left" vertical="top"/>
    </xf>
    <xf numFmtId="0" fontId="29" fillId="6" borderId="11" xfId="0" applyNumberFormat="1" applyFont="1" applyFill="1" applyBorder="1" applyAlignment="1">
      <alignment horizontal="center" vertical="top" wrapText="1"/>
    </xf>
    <xf numFmtId="0" fontId="29" fillId="0" borderId="0" xfId="0" applyNumberFormat="1" applyFont="1" applyAlignment="1">
      <alignment horizontal="center" vertical="top" wrapText="1"/>
    </xf>
    <xf numFmtId="44" fontId="29" fillId="0" borderId="41" xfId="0" applyNumberFormat="1" applyFont="1" applyBorder="1"/>
    <xf numFmtId="164" fontId="29" fillId="0" borderId="0" xfId="0" applyFont="1" applyAlignment="1">
      <alignment horizontal="center" vertical="center"/>
    </xf>
    <xf numFmtId="3" fontId="22" fillId="0" borderId="11" xfId="0" applyNumberFormat="1" applyFont="1" applyBorder="1" applyAlignment="1">
      <alignment horizontal="center" vertical="center"/>
    </xf>
    <xf numFmtId="3" fontId="24" fillId="0" borderId="11" xfId="0" applyNumberFormat="1" applyFont="1" applyBorder="1" applyAlignment="1">
      <alignment horizontal="center" vertical="center" wrapText="1" shrinkToFit="1"/>
    </xf>
    <xf numFmtId="164" fontId="24" fillId="6" borderId="11" xfId="0" applyFont="1" applyFill="1" applyBorder="1" applyAlignment="1">
      <alignment horizontal="left" vertical="top"/>
    </xf>
    <xf numFmtId="164" fontId="22" fillId="6" borderId="11" xfId="0" applyFont="1" applyFill="1" applyBorder="1" applyAlignment="1">
      <alignment horizontal="left" vertical="top"/>
    </xf>
    <xf numFmtId="164" fontId="24" fillId="0" borderId="11" xfId="0" applyFont="1" applyBorder="1" applyAlignment="1">
      <alignment horizontal="left" vertical="top" wrapText="1"/>
    </xf>
    <xf numFmtId="164" fontId="22" fillId="0" borderId="11" xfId="0" applyFont="1" applyBorder="1" applyAlignment="1">
      <alignment horizontal="left" vertical="top" wrapText="1"/>
    </xf>
    <xf numFmtId="164" fontId="24" fillId="6" borderId="11" xfId="0" applyFont="1" applyFill="1" applyBorder="1" applyAlignment="1">
      <alignment horizontal="left" vertical="top" wrapText="1"/>
    </xf>
    <xf numFmtId="164" fontId="29" fillId="0" borderId="11" xfId="0" applyFont="1" applyBorder="1" applyAlignment="1">
      <alignment horizontal="center" vertical="center"/>
    </xf>
    <xf numFmtId="164" fontId="0" fillId="0" borderId="35" xfId="0" applyBorder="1" applyAlignment="1">
      <alignment horizontal="center" vertical="top" wrapText="1"/>
    </xf>
    <xf numFmtId="164" fontId="0" fillId="0" borderId="33" xfId="0" applyBorder="1" applyAlignment="1">
      <alignment horizontal="center" vertical="top" wrapText="1"/>
    </xf>
    <xf numFmtId="164" fontId="0" fillId="0" borderId="36" xfId="0" applyBorder="1" applyAlignment="1">
      <alignment horizontal="center" vertical="top" wrapText="1"/>
    </xf>
    <xf numFmtId="164" fontId="17" fillId="2" borderId="0" xfId="0" applyFont="1" applyFill="1" applyAlignment="1">
      <alignment horizontal="left" vertical="top"/>
    </xf>
    <xf numFmtId="164" fontId="15" fillId="3" borderId="3" xfId="0" applyFont="1" applyFill="1" applyBorder="1" applyAlignment="1">
      <alignment horizontal="center" vertical="center"/>
    </xf>
    <xf numFmtId="164" fontId="15" fillId="3" borderId="2" xfId="0" applyFont="1" applyFill="1" applyBorder="1" applyAlignment="1">
      <alignment horizontal="center" vertical="center"/>
    </xf>
    <xf numFmtId="164" fontId="15" fillId="3" borderId="1" xfId="0" applyFont="1" applyFill="1" applyBorder="1" applyAlignment="1">
      <alignment horizontal="center" vertical="center"/>
    </xf>
    <xf numFmtId="164" fontId="15" fillId="3" borderId="3" xfId="0" applyFont="1" applyFill="1" applyBorder="1" applyAlignment="1">
      <alignment horizontal="center"/>
    </xf>
    <xf numFmtId="164" fontId="15" fillId="3" borderId="2" xfId="0" applyFont="1" applyFill="1" applyBorder="1" applyAlignment="1">
      <alignment horizontal="center"/>
    </xf>
    <xf numFmtId="164" fontId="15" fillId="3" borderId="1" xfId="0" applyFont="1" applyFill="1" applyBorder="1" applyAlignment="1">
      <alignment horizontal="center"/>
    </xf>
    <xf numFmtId="164" fontId="15" fillId="2" borderId="11" xfId="0" applyFont="1" applyFill="1" applyBorder="1" applyAlignment="1">
      <alignment horizontal="center"/>
    </xf>
    <xf numFmtId="164" fontId="15" fillId="3" borderId="11" xfId="0" applyFont="1" applyFill="1" applyBorder="1" applyAlignment="1">
      <alignment horizontal="center" vertical="center"/>
    </xf>
    <xf numFmtId="164" fontId="15" fillId="3" borderId="31" xfId="0" applyFont="1" applyFill="1" applyBorder="1" applyAlignment="1">
      <alignment horizontal="center" vertical="center"/>
    </xf>
    <xf numFmtId="164" fontId="15" fillId="3" borderId="23" xfId="0" applyFont="1" applyFill="1" applyBorder="1" applyAlignment="1">
      <alignment horizontal="center" vertical="center"/>
    </xf>
    <xf numFmtId="164" fontId="15" fillId="3" borderId="32" xfId="0" applyFont="1" applyFill="1" applyBorder="1" applyAlignment="1">
      <alignment horizontal="center" vertical="center"/>
    </xf>
    <xf numFmtId="164" fontId="15" fillId="0" borderId="9" xfId="0" applyFont="1" applyBorder="1" applyAlignment="1">
      <alignment horizontal="left" vertical="top" wrapText="1"/>
    </xf>
    <xf numFmtId="164" fontId="15" fillId="0" borderId="6" xfId="0" applyFont="1" applyBorder="1" applyAlignment="1">
      <alignment horizontal="left" vertical="top" wrapText="1"/>
    </xf>
    <xf numFmtId="164" fontId="17" fillId="0" borderId="12" xfId="0" applyFont="1" applyBorder="1" applyAlignment="1">
      <alignment horizontal="center" vertical="center" wrapText="1"/>
    </xf>
    <xf numFmtId="164" fontId="17" fillId="0" borderId="13" xfId="0" applyFont="1" applyBorder="1" applyAlignment="1">
      <alignment horizontal="center" vertical="center" wrapText="1"/>
    </xf>
    <xf numFmtId="164" fontId="17" fillId="0" borderId="14" xfId="0" applyFont="1" applyBorder="1" applyAlignment="1">
      <alignment horizontal="center" vertical="center" wrapText="1"/>
    </xf>
    <xf numFmtId="164" fontId="8" fillId="0" borderId="0" xfId="1" applyAlignment="1">
      <alignment horizontal="left" vertical="center" wrapText="1"/>
    </xf>
  </cellXfs>
  <cellStyles count="7">
    <cellStyle name="Hyperlink" xfId="1" builtinId="8"/>
    <cellStyle name="Normal" xfId="0" builtinId="0"/>
    <cellStyle name="Normal 10 2" xfId="3" xr:uid="{6226C6D7-B006-4BA4-9462-734111F8664D}"/>
    <cellStyle name="Normal 2" xfId="2" xr:uid="{267E66D0-ACB8-4A51-97D2-1A0D693B30EB}"/>
    <cellStyle name="Normal 2 3 2" xfId="6" xr:uid="{C105F816-540F-4452-824B-EF9B145818D2}"/>
    <cellStyle name="Normal 20" xfId="5" xr:uid="{5904D355-BBA8-43EC-8357-C99B5DE08C7C}"/>
    <cellStyle name="Normal 21" xfId="4" xr:uid="{A5C76EC9-8455-48B4-9A8F-1CA6FB8C72D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93DB6-8CFD-4DA2-9EBF-3748B58DDFB9}">
  <dimension ref="A2:G379"/>
  <sheetViews>
    <sheetView tabSelected="1" zoomScale="90" zoomScaleNormal="90" workbookViewId="0">
      <selection activeCell="B16" sqref="B16"/>
    </sheetView>
  </sheetViews>
  <sheetFormatPr defaultColWidth="9.140625" defaultRowHeight="15.75" x14ac:dyDescent="0.25"/>
  <cols>
    <col min="1" max="1" width="11.28515625" style="80" customWidth="1"/>
    <col min="2" max="2" width="73" style="73" customWidth="1"/>
    <col min="3" max="3" width="11.85546875" style="80" customWidth="1"/>
    <col min="4" max="4" width="9.85546875" style="81" bestFit="1" customWidth="1"/>
    <col min="5" max="5" width="9.28515625" style="84" bestFit="1" customWidth="1"/>
    <col min="6" max="6" width="15.85546875" style="102" bestFit="1" customWidth="1"/>
    <col min="7" max="7" width="28.42578125" style="73" customWidth="1"/>
    <col min="8" max="16384" width="9.140625" style="73"/>
  </cols>
  <sheetData>
    <row r="2" spans="1:7" ht="36.75" customHeight="1" x14ac:dyDescent="0.25">
      <c r="A2" s="121" t="s">
        <v>1669</v>
      </c>
      <c r="B2" s="121"/>
      <c r="C2" s="121"/>
      <c r="D2" s="121"/>
      <c r="E2" s="121"/>
      <c r="F2" s="121"/>
      <c r="G2" s="121"/>
    </row>
    <row r="3" spans="1:7" ht="20.25" customHeight="1" x14ac:dyDescent="0.25">
      <c r="A3" s="113"/>
      <c r="B3" s="113"/>
      <c r="C3" s="113"/>
      <c r="D3" s="113"/>
      <c r="E3" s="113"/>
      <c r="F3" s="113"/>
      <c r="G3" s="113"/>
    </row>
    <row r="4" spans="1:7" ht="18.75" x14ac:dyDescent="0.25">
      <c r="A4" s="109" t="s">
        <v>1668</v>
      </c>
    </row>
    <row r="5" spans="1:7" s="111" customFormat="1" ht="22.5" customHeight="1" x14ac:dyDescent="0.25">
      <c r="A5" s="110" t="s">
        <v>1594</v>
      </c>
      <c r="B5" s="110" t="s">
        <v>1595</v>
      </c>
      <c r="C5" s="110" t="s">
        <v>1594</v>
      </c>
      <c r="D5" s="110" t="s">
        <v>1596</v>
      </c>
      <c r="E5" s="110" t="s">
        <v>1597</v>
      </c>
      <c r="F5" s="110" t="s">
        <v>1665</v>
      </c>
      <c r="G5" s="110" t="s">
        <v>1666</v>
      </c>
    </row>
    <row r="6" spans="1:7" ht="24.95" customHeight="1" x14ac:dyDescent="0.25">
      <c r="A6" s="82" t="s">
        <v>1210</v>
      </c>
      <c r="B6" s="100" t="s">
        <v>1674</v>
      </c>
      <c r="C6" s="82" t="s">
        <v>1210</v>
      </c>
      <c r="D6" s="114">
        <v>1</v>
      </c>
      <c r="E6" s="83" t="s">
        <v>1051</v>
      </c>
      <c r="F6" s="104"/>
      <c r="G6" s="104">
        <f>F6*D6</f>
        <v>0</v>
      </c>
    </row>
    <row r="7" spans="1:7" ht="24.95" customHeight="1" x14ac:dyDescent="0.25">
      <c r="A7" s="82" t="s">
        <v>1211</v>
      </c>
      <c r="B7" s="100" t="s">
        <v>1675</v>
      </c>
      <c r="C7" s="82" t="s">
        <v>1211</v>
      </c>
      <c r="D7" s="114">
        <v>4</v>
      </c>
      <c r="E7" s="83" t="s">
        <v>1051</v>
      </c>
      <c r="F7" s="104"/>
      <c r="G7" s="104">
        <f t="shared" ref="G7:G70" si="0">F7*D7</f>
        <v>0</v>
      </c>
    </row>
    <row r="8" spans="1:7" ht="24.95" customHeight="1" x14ac:dyDescent="0.25">
      <c r="A8" s="82" t="s">
        <v>1212</v>
      </c>
      <c r="B8" s="100" t="s">
        <v>1676</v>
      </c>
      <c r="C8" s="82" t="s">
        <v>1212</v>
      </c>
      <c r="D8" s="114">
        <v>3</v>
      </c>
      <c r="E8" s="83" t="s">
        <v>1051</v>
      </c>
      <c r="F8" s="104"/>
      <c r="G8" s="104">
        <f t="shared" si="0"/>
        <v>0</v>
      </c>
    </row>
    <row r="9" spans="1:7" s="105" customFormat="1" ht="24.95" customHeight="1" x14ac:dyDescent="0.25">
      <c r="A9" s="82" t="s">
        <v>1530</v>
      </c>
      <c r="B9" s="101" t="s">
        <v>1672</v>
      </c>
      <c r="C9" s="82" t="s">
        <v>1530</v>
      </c>
      <c r="D9" s="115">
        <v>1</v>
      </c>
      <c r="E9" s="99" t="s">
        <v>1051</v>
      </c>
      <c r="F9" s="104"/>
      <c r="G9" s="104">
        <f t="shared" si="0"/>
        <v>0</v>
      </c>
    </row>
    <row r="10" spans="1:7" s="105" customFormat="1" ht="24.95" customHeight="1" x14ac:dyDescent="0.25">
      <c r="A10" s="82" t="s">
        <v>1531</v>
      </c>
      <c r="B10" s="101" t="s">
        <v>1673</v>
      </c>
      <c r="C10" s="82" t="s">
        <v>1531</v>
      </c>
      <c r="D10" s="115">
        <v>1</v>
      </c>
      <c r="E10" s="99" t="s">
        <v>1051</v>
      </c>
      <c r="F10" s="104"/>
      <c r="G10" s="104">
        <f t="shared" si="0"/>
        <v>0</v>
      </c>
    </row>
    <row r="11" spans="1:7" ht="24.95" customHeight="1" x14ac:dyDescent="0.25">
      <c r="A11" s="82" t="s">
        <v>1213</v>
      </c>
      <c r="B11" s="100" t="s">
        <v>1677</v>
      </c>
      <c r="C11" s="82" t="s">
        <v>1213</v>
      </c>
      <c r="D11" s="114">
        <v>1</v>
      </c>
      <c r="E11" s="83" t="s">
        <v>1051</v>
      </c>
      <c r="F11" s="104"/>
      <c r="G11" s="104">
        <f t="shared" si="0"/>
        <v>0</v>
      </c>
    </row>
    <row r="12" spans="1:7" ht="24.95" customHeight="1" x14ac:dyDescent="0.25">
      <c r="A12" s="82" t="s">
        <v>1214</v>
      </c>
      <c r="B12" s="100" t="s">
        <v>1678</v>
      </c>
      <c r="C12" s="82" t="s">
        <v>1214</v>
      </c>
      <c r="D12" s="114">
        <v>1</v>
      </c>
      <c r="E12" s="83" t="s">
        <v>1051</v>
      </c>
      <c r="F12" s="104"/>
      <c r="G12" s="104">
        <f t="shared" si="0"/>
        <v>0</v>
      </c>
    </row>
    <row r="13" spans="1:7" ht="24.95" customHeight="1" x14ac:dyDescent="0.25">
      <c r="A13" s="82" t="s">
        <v>1215</v>
      </c>
      <c r="B13" s="100" t="s">
        <v>1679</v>
      </c>
      <c r="C13" s="82" t="s">
        <v>1215</v>
      </c>
      <c r="D13" s="114">
        <v>9</v>
      </c>
      <c r="E13" s="83" t="s">
        <v>1051</v>
      </c>
      <c r="F13" s="104"/>
      <c r="G13" s="104">
        <f t="shared" si="0"/>
        <v>0</v>
      </c>
    </row>
    <row r="14" spans="1:7" ht="24.95" customHeight="1" x14ac:dyDescent="0.25">
      <c r="A14" s="82" t="s">
        <v>1216</v>
      </c>
      <c r="B14" s="72" t="s">
        <v>1232</v>
      </c>
      <c r="C14" s="82" t="s">
        <v>1216</v>
      </c>
      <c r="D14" s="114">
        <v>1</v>
      </c>
      <c r="E14" s="83" t="s">
        <v>1051</v>
      </c>
      <c r="F14" s="104"/>
      <c r="G14" s="104">
        <f t="shared" si="0"/>
        <v>0</v>
      </c>
    </row>
    <row r="15" spans="1:7" ht="24.95" customHeight="1" x14ac:dyDescent="0.25">
      <c r="A15" s="82" t="s">
        <v>1217</v>
      </c>
      <c r="B15" s="72" t="s">
        <v>1680</v>
      </c>
      <c r="C15" s="82" t="s">
        <v>1217</v>
      </c>
      <c r="D15" s="114">
        <v>1</v>
      </c>
      <c r="E15" s="83" t="s">
        <v>1051</v>
      </c>
      <c r="F15" s="104"/>
      <c r="G15" s="104">
        <f t="shared" si="0"/>
        <v>0</v>
      </c>
    </row>
    <row r="16" spans="1:7" ht="39.950000000000003" customHeight="1" x14ac:dyDescent="0.25">
      <c r="A16" s="82" t="s">
        <v>1218</v>
      </c>
      <c r="B16" s="72" t="s">
        <v>1233</v>
      </c>
      <c r="C16" s="82" t="s">
        <v>1218</v>
      </c>
      <c r="D16" s="114">
        <v>10</v>
      </c>
      <c r="E16" s="83" t="s">
        <v>1051</v>
      </c>
      <c r="F16" s="104"/>
      <c r="G16" s="104">
        <f t="shared" si="0"/>
        <v>0</v>
      </c>
    </row>
    <row r="17" spans="1:7" ht="54.95" customHeight="1" x14ac:dyDescent="0.25">
      <c r="A17" s="78" t="s">
        <v>1182</v>
      </c>
      <c r="B17" s="74" t="s">
        <v>1183</v>
      </c>
      <c r="C17" s="78" t="str">
        <f>A17</f>
        <v>1000SA</v>
      </c>
      <c r="D17" s="114">
        <v>3</v>
      </c>
      <c r="E17" s="83" t="s">
        <v>1051</v>
      </c>
      <c r="F17" s="104"/>
      <c r="G17" s="104">
        <f t="shared" si="0"/>
        <v>0</v>
      </c>
    </row>
    <row r="18" spans="1:7" ht="54.95" customHeight="1" x14ac:dyDescent="0.25">
      <c r="A18" s="78" t="s">
        <v>1184</v>
      </c>
      <c r="B18" s="74" t="s">
        <v>1605</v>
      </c>
      <c r="C18" s="78" t="str">
        <f t="shared" ref="C18:C31" si="1">A18</f>
        <v>1001SA</v>
      </c>
      <c r="D18" s="114">
        <v>5</v>
      </c>
      <c r="E18" s="83" t="s">
        <v>1051</v>
      </c>
      <c r="F18" s="104"/>
      <c r="G18" s="104">
        <f t="shared" si="0"/>
        <v>0</v>
      </c>
    </row>
    <row r="19" spans="1:7" ht="54.95" customHeight="1" x14ac:dyDescent="0.25">
      <c r="A19" s="78" t="s">
        <v>1185</v>
      </c>
      <c r="B19" s="75" t="s">
        <v>1606</v>
      </c>
      <c r="C19" s="78" t="str">
        <f t="shared" si="1"/>
        <v>1002SA</v>
      </c>
      <c r="D19" s="114">
        <v>16</v>
      </c>
      <c r="E19" s="83" t="s">
        <v>1051</v>
      </c>
      <c r="F19" s="104"/>
      <c r="G19" s="104">
        <f t="shared" si="0"/>
        <v>0</v>
      </c>
    </row>
    <row r="20" spans="1:7" ht="54.95" customHeight="1" x14ac:dyDescent="0.25">
      <c r="A20" s="78" t="s">
        <v>1186</v>
      </c>
      <c r="B20" s="74" t="s">
        <v>1187</v>
      </c>
      <c r="C20" s="78" t="str">
        <f t="shared" si="1"/>
        <v>1003SA</v>
      </c>
      <c r="D20" s="114">
        <v>25</v>
      </c>
      <c r="E20" s="83" t="s">
        <v>1051</v>
      </c>
      <c r="F20" s="104"/>
      <c r="G20" s="104">
        <f t="shared" si="0"/>
        <v>0</v>
      </c>
    </row>
    <row r="21" spans="1:7" ht="54.95" customHeight="1" x14ac:dyDescent="0.25">
      <c r="A21" s="78" t="s">
        <v>1188</v>
      </c>
      <c r="B21" s="74" t="s">
        <v>1189</v>
      </c>
      <c r="C21" s="78" t="str">
        <f t="shared" si="1"/>
        <v>1030SA</v>
      </c>
      <c r="D21" s="114">
        <v>3</v>
      </c>
      <c r="E21" s="83" t="s">
        <v>1051</v>
      </c>
      <c r="F21" s="104"/>
      <c r="G21" s="104">
        <f t="shared" si="0"/>
        <v>0</v>
      </c>
    </row>
    <row r="22" spans="1:7" ht="65.099999999999994" customHeight="1" x14ac:dyDescent="0.25">
      <c r="A22" s="78" t="s">
        <v>1190</v>
      </c>
      <c r="B22" s="75" t="s">
        <v>1191</v>
      </c>
      <c r="C22" s="78" t="str">
        <f t="shared" si="1"/>
        <v>1052SA</v>
      </c>
      <c r="D22" s="114">
        <v>1</v>
      </c>
      <c r="E22" s="83" t="s">
        <v>1051</v>
      </c>
      <c r="F22" s="104"/>
      <c r="G22" s="104">
        <f t="shared" si="0"/>
        <v>0</v>
      </c>
    </row>
    <row r="23" spans="1:7" ht="65.099999999999994" customHeight="1" x14ac:dyDescent="0.25">
      <c r="A23" s="78" t="s">
        <v>1192</v>
      </c>
      <c r="B23" s="74" t="s">
        <v>1193</v>
      </c>
      <c r="C23" s="78" t="str">
        <f t="shared" si="1"/>
        <v>1053SA</v>
      </c>
      <c r="D23" s="114">
        <v>1</v>
      </c>
      <c r="E23" s="83" t="s">
        <v>1051</v>
      </c>
      <c r="F23" s="104"/>
      <c r="G23" s="104">
        <f t="shared" si="0"/>
        <v>0</v>
      </c>
    </row>
    <row r="24" spans="1:7" ht="54.95" customHeight="1" x14ac:dyDescent="0.25">
      <c r="A24" s="78" t="s">
        <v>1194</v>
      </c>
      <c r="B24" s="74" t="s">
        <v>1195</v>
      </c>
      <c r="C24" s="78" t="str">
        <f t="shared" si="1"/>
        <v>1055SA</v>
      </c>
      <c r="D24" s="114">
        <v>1</v>
      </c>
      <c r="E24" s="83" t="s">
        <v>1051</v>
      </c>
      <c r="F24" s="104"/>
      <c r="G24" s="104">
        <f t="shared" si="0"/>
        <v>0</v>
      </c>
    </row>
    <row r="25" spans="1:7" ht="54.95" customHeight="1" x14ac:dyDescent="0.25">
      <c r="A25" s="78" t="s">
        <v>1196</v>
      </c>
      <c r="B25" s="75" t="s">
        <v>1197</v>
      </c>
      <c r="C25" s="78" t="str">
        <f>A25</f>
        <v>1200SA</v>
      </c>
      <c r="D25" s="114">
        <v>1</v>
      </c>
      <c r="E25" s="83" t="s">
        <v>1051</v>
      </c>
      <c r="F25" s="104"/>
      <c r="G25" s="104">
        <f t="shared" si="0"/>
        <v>0</v>
      </c>
    </row>
    <row r="26" spans="1:7" ht="54.95" customHeight="1" x14ac:dyDescent="0.25">
      <c r="A26" s="78" t="s">
        <v>1198</v>
      </c>
      <c r="B26" s="75" t="s">
        <v>1199</v>
      </c>
      <c r="C26" s="78" t="str">
        <f t="shared" si="1"/>
        <v>1205SA</v>
      </c>
      <c r="D26" s="114">
        <v>1</v>
      </c>
      <c r="E26" s="83" t="s">
        <v>1051</v>
      </c>
      <c r="F26" s="104"/>
      <c r="G26" s="104">
        <f t="shared" si="0"/>
        <v>0</v>
      </c>
    </row>
    <row r="27" spans="1:7" ht="39.950000000000003" customHeight="1" x14ac:dyDescent="0.25">
      <c r="A27" s="78" t="s">
        <v>1200</v>
      </c>
      <c r="B27" s="75" t="s">
        <v>1201</v>
      </c>
      <c r="C27" s="78" t="str">
        <f t="shared" si="1"/>
        <v>1208SA</v>
      </c>
      <c r="D27" s="114">
        <v>3</v>
      </c>
      <c r="E27" s="83" t="s">
        <v>1051</v>
      </c>
      <c r="F27" s="104"/>
      <c r="G27" s="104">
        <f t="shared" si="0"/>
        <v>0</v>
      </c>
    </row>
    <row r="28" spans="1:7" ht="39.950000000000003" customHeight="1" x14ac:dyDescent="0.25">
      <c r="A28" s="78" t="s">
        <v>1202</v>
      </c>
      <c r="B28" s="75" t="s">
        <v>1203</v>
      </c>
      <c r="C28" s="78" t="str">
        <f t="shared" si="1"/>
        <v>1210SA</v>
      </c>
      <c r="D28" s="114">
        <v>1</v>
      </c>
      <c r="E28" s="83" t="s">
        <v>1051</v>
      </c>
      <c r="F28" s="104"/>
      <c r="G28" s="104">
        <f t="shared" si="0"/>
        <v>0</v>
      </c>
    </row>
    <row r="29" spans="1:7" ht="39.950000000000003" customHeight="1" x14ac:dyDescent="0.25">
      <c r="A29" s="78" t="s">
        <v>1204</v>
      </c>
      <c r="B29" s="75" t="s">
        <v>1205</v>
      </c>
      <c r="C29" s="78" t="str">
        <f t="shared" si="1"/>
        <v>1220SA</v>
      </c>
      <c r="D29" s="114">
        <v>1</v>
      </c>
      <c r="E29" s="83" t="s">
        <v>1051</v>
      </c>
      <c r="F29" s="104"/>
      <c r="G29" s="104">
        <f t="shared" si="0"/>
        <v>0</v>
      </c>
    </row>
    <row r="30" spans="1:7" ht="39.950000000000003" customHeight="1" x14ac:dyDescent="0.25">
      <c r="A30" s="78" t="s">
        <v>1206</v>
      </c>
      <c r="B30" s="75" t="s">
        <v>1207</v>
      </c>
      <c r="C30" s="78" t="str">
        <f t="shared" si="1"/>
        <v>1310SA</v>
      </c>
      <c r="D30" s="114">
        <v>4</v>
      </c>
      <c r="E30" s="83" t="s">
        <v>1051</v>
      </c>
      <c r="F30" s="104"/>
      <c r="G30" s="104">
        <f t="shared" si="0"/>
        <v>0</v>
      </c>
    </row>
    <row r="31" spans="1:7" ht="39.950000000000003" customHeight="1" x14ac:dyDescent="0.25">
      <c r="A31" s="78" t="s">
        <v>1208</v>
      </c>
      <c r="B31" s="74" t="s">
        <v>1209</v>
      </c>
      <c r="C31" s="78" t="str">
        <f t="shared" si="1"/>
        <v>1370SA</v>
      </c>
      <c r="D31" s="114">
        <v>1</v>
      </c>
      <c r="E31" s="83" t="s">
        <v>1051</v>
      </c>
      <c r="F31" s="104"/>
      <c r="G31" s="104">
        <f t="shared" si="0"/>
        <v>0</v>
      </c>
    </row>
    <row r="32" spans="1:7" s="105" customFormat="1" ht="85.5" customHeight="1" x14ac:dyDescent="0.25">
      <c r="A32" s="89" t="s">
        <v>1532</v>
      </c>
      <c r="B32" s="90" t="s">
        <v>1533</v>
      </c>
      <c r="C32" s="89" t="s">
        <v>1532</v>
      </c>
      <c r="D32" s="98">
        <v>5</v>
      </c>
      <c r="E32" s="99" t="s">
        <v>1051</v>
      </c>
      <c r="F32" s="104"/>
      <c r="G32" s="104">
        <f t="shared" si="0"/>
        <v>0</v>
      </c>
    </row>
    <row r="33" spans="1:7" s="105" customFormat="1" ht="39.950000000000003" customHeight="1" x14ac:dyDescent="0.25">
      <c r="A33" s="85" t="s">
        <v>1534</v>
      </c>
      <c r="B33" s="91" t="s">
        <v>1600</v>
      </c>
      <c r="C33" s="103" t="s">
        <v>1534</v>
      </c>
      <c r="D33" s="98">
        <v>1</v>
      </c>
      <c r="E33" s="99" t="s">
        <v>1051</v>
      </c>
      <c r="F33" s="104"/>
      <c r="G33" s="104">
        <f t="shared" si="0"/>
        <v>0</v>
      </c>
    </row>
    <row r="34" spans="1:7" s="105" customFormat="1" ht="39.950000000000003" customHeight="1" x14ac:dyDescent="0.25">
      <c r="A34" s="85" t="s">
        <v>1535</v>
      </c>
      <c r="B34" s="91" t="s">
        <v>1601</v>
      </c>
      <c r="C34" s="103" t="s">
        <v>1535</v>
      </c>
      <c r="D34" s="98">
        <v>1</v>
      </c>
      <c r="E34" s="99" t="s">
        <v>1051</v>
      </c>
      <c r="F34" s="104"/>
      <c r="G34" s="104">
        <f t="shared" si="0"/>
        <v>0</v>
      </c>
    </row>
    <row r="35" spans="1:7" s="105" customFormat="1" ht="39.950000000000003" customHeight="1" x14ac:dyDescent="0.25">
      <c r="A35" s="78" t="s">
        <v>1536</v>
      </c>
      <c r="B35" s="92" t="s">
        <v>1607</v>
      </c>
      <c r="C35" s="103" t="s">
        <v>1536</v>
      </c>
      <c r="D35" s="98">
        <v>600</v>
      </c>
      <c r="E35" s="99" t="s">
        <v>1051</v>
      </c>
      <c r="F35" s="104"/>
      <c r="G35" s="104">
        <f t="shared" si="0"/>
        <v>0</v>
      </c>
    </row>
    <row r="36" spans="1:7" s="105" customFormat="1" ht="24.95" customHeight="1" x14ac:dyDescent="0.25">
      <c r="A36" s="86" t="s">
        <v>1537</v>
      </c>
      <c r="B36" s="93" t="s">
        <v>1599</v>
      </c>
      <c r="C36" s="103" t="s">
        <v>1537</v>
      </c>
      <c r="D36" s="98">
        <v>155</v>
      </c>
      <c r="E36" s="99" t="s">
        <v>1051</v>
      </c>
      <c r="F36" s="104"/>
      <c r="G36" s="104">
        <f t="shared" si="0"/>
        <v>0</v>
      </c>
    </row>
    <row r="37" spans="1:7" s="105" customFormat="1" ht="24.95" customHeight="1" x14ac:dyDescent="0.25">
      <c r="A37" s="87" t="s">
        <v>1538</v>
      </c>
      <c r="B37" s="94" t="s">
        <v>1608</v>
      </c>
      <c r="C37" s="103" t="s">
        <v>1538</v>
      </c>
      <c r="D37" s="98">
        <v>50</v>
      </c>
      <c r="E37" s="99" t="s">
        <v>1051</v>
      </c>
      <c r="F37" s="104"/>
      <c r="G37" s="104">
        <f t="shared" si="0"/>
        <v>0</v>
      </c>
    </row>
    <row r="38" spans="1:7" s="105" customFormat="1" ht="24.95" customHeight="1" x14ac:dyDescent="0.25">
      <c r="A38" s="87" t="s">
        <v>1539</v>
      </c>
      <c r="B38" s="94" t="s">
        <v>1609</v>
      </c>
      <c r="C38" s="103" t="s">
        <v>1539</v>
      </c>
      <c r="D38" s="98">
        <v>35</v>
      </c>
      <c r="E38" s="99" t="s">
        <v>1051</v>
      </c>
      <c r="F38" s="104"/>
      <c r="G38" s="104">
        <f t="shared" si="0"/>
        <v>0</v>
      </c>
    </row>
    <row r="39" spans="1:7" s="105" customFormat="1" ht="24.95" customHeight="1" x14ac:dyDescent="0.25">
      <c r="A39" s="87" t="s">
        <v>1540</v>
      </c>
      <c r="B39" s="96" t="s">
        <v>1610</v>
      </c>
      <c r="C39" s="103" t="s">
        <v>1540</v>
      </c>
      <c r="D39" s="98">
        <v>215</v>
      </c>
      <c r="E39" s="99" t="s">
        <v>1051</v>
      </c>
      <c r="F39" s="104"/>
      <c r="G39" s="104">
        <f t="shared" si="0"/>
        <v>0</v>
      </c>
    </row>
    <row r="40" spans="1:7" s="105" customFormat="1" ht="39.950000000000003" customHeight="1" x14ac:dyDescent="0.25">
      <c r="A40" s="87" t="s">
        <v>1541</v>
      </c>
      <c r="B40" s="94" t="s">
        <v>1602</v>
      </c>
      <c r="C40" s="103" t="s">
        <v>1541</v>
      </c>
      <c r="D40" s="98">
        <v>20</v>
      </c>
      <c r="E40" s="99" t="s">
        <v>1051</v>
      </c>
      <c r="F40" s="104"/>
      <c r="G40" s="104">
        <f t="shared" si="0"/>
        <v>0</v>
      </c>
    </row>
    <row r="41" spans="1:7" s="105" customFormat="1" ht="24.95" customHeight="1" x14ac:dyDescent="0.25">
      <c r="A41" s="87" t="s">
        <v>1542</v>
      </c>
      <c r="B41" s="94" t="s">
        <v>1611</v>
      </c>
      <c r="C41" s="103" t="s">
        <v>1542</v>
      </c>
      <c r="D41" s="98">
        <v>70</v>
      </c>
      <c r="E41" s="99" t="s">
        <v>1051</v>
      </c>
      <c r="F41" s="104"/>
      <c r="G41" s="104">
        <f t="shared" si="0"/>
        <v>0</v>
      </c>
    </row>
    <row r="42" spans="1:7" s="105" customFormat="1" ht="39.950000000000003" customHeight="1" x14ac:dyDescent="0.25">
      <c r="A42" s="87" t="s">
        <v>1543</v>
      </c>
      <c r="B42" s="92" t="s">
        <v>1612</v>
      </c>
      <c r="C42" s="103" t="s">
        <v>1543</v>
      </c>
      <c r="D42" s="98">
        <v>470</v>
      </c>
      <c r="E42" s="99" t="s">
        <v>1051</v>
      </c>
      <c r="F42" s="104"/>
      <c r="G42" s="104">
        <f t="shared" si="0"/>
        <v>0</v>
      </c>
    </row>
    <row r="43" spans="1:7" s="105" customFormat="1" ht="39.950000000000003" customHeight="1" x14ac:dyDescent="0.25">
      <c r="A43" s="78" t="s">
        <v>1544</v>
      </c>
      <c r="B43" s="92" t="s">
        <v>1613</v>
      </c>
      <c r="C43" s="103" t="s">
        <v>1544</v>
      </c>
      <c r="D43" s="98">
        <v>40</v>
      </c>
      <c r="E43" s="99" t="s">
        <v>1051</v>
      </c>
      <c r="F43" s="104"/>
      <c r="G43" s="104">
        <f t="shared" si="0"/>
        <v>0</v>
      </c>
    </row>
    <row r="44" spans="1:7" s="105" customFormat="1" ht="24.95" customHeight="1" x14ac:dyDescent="0.25">
      <c r="A44" s="78" t="s">
        <v>1545</v>
      </c>
      <c r="B44" s="92" t="s">
        <v>1614</v>
      </c>
      <c r="C44" s="103" t="s">
        <v>1545</v>
      </c>
      <c r="D44" s="98">
        <v>40</v>
      </c>
      <c r="E44" s="99" t="s">
        <v>1051</v>
      </c>
      <c r="F44" s="104"/>
      <c r="G44" s="104">
        <f t="shared" si="0"/>
        <v>0</v>
      </c>
    </row>
    <row r="45" spans="1:7" s="105" customFormat="1" ht="24.95" customHeight="1" x14ac:dyDescent="0.25">
      <c r="A45" s="87" t="s">
        <v>1546</v>
      </c>
      <c r="B45" s="94" t="s">
        <v>1615</v>
      </c>
      <c r="C45" s="103" t="s">
        <v>1546</v>
      </c>
      <c r="D45" s="98">
        <v>25</v>
      </c>
      <c r="E45" s="99" t="s">
        <v>1051</v>
      </c>
      <c r="F45" s="104"/>
      <c r="G45" s="104">
        <f t="shared" si="0"/>
        <v>0</v>
      </c>
    </row>
    <row r="46" spans="1:7" s="105" customFormat="1" ht="24.95" customHeight="1" x14ac:dyDescent="0.25">
      <c r="A46" s="87" t="s">
        <v>1547</v>
      </c>
      <c r="B46" s="94" t="s">
        <v>1616</v>
      </c>
      <c r="C46" s="103" t="s">
        <v>1547</v>
      </c>
      <c r="D46" s="98">
        <v>25</v>
      </c>
      <c r="E46" s="99" t="s">
        <v>1051</v>
      </c>
      <c r="F46" s="104"/>
      <c r="G46" s="104">
        <f t="shared" si="0"/>
        <v>0</v>
      </c>
    </row>
    <row r="47" spans="1:7" s="105" customFormat="1" ht="24.95" customHeight="1" x14ac:dyDescent="0.25">
      <c r="A47" s="78" t="s">
        <v>1548</v>
      </c>
      <c r="B47" s="76" t="s">
        <v>1617</v>
      </c>
      <c r="C47" s="103" t="s">
        <v>1548</v>
      </c>
      <c r="D47" s="98">
        <v>500</v>
      </c>
      <c r="E47" s="99" t="s">
        <v>1051</v>
      </c>
      <c r="F47" s="104"/>
      <c r="G47" s="104">
        <f t="shared" si="0"/>
        <v>0</v>
      </c>
    </row>
    <row r="48" spans="1:7" s="105" customFormat="1" ht="24.95" customHeight="1" x14ac:dyDescent="0.25">
      <c r="A48" s="87" t="s">
        <v>1549</v>
      </c>
      <c r="B48" s="94" t="s">
        <v>1618</v>
      </c>
      <c r="C48" s="103" t="s">
        <v>1549</v>
      </c>
      <c r="D48" s="98">
        <v>110</v>
      </c>
      <c r="E48" s="99" t="s">
        <v>1051</v>
      </c>
      <c r="F48" s="104"/>
      <c r="G48" s="104">
        <f t="shared" si="0"/>
        <v>0</v>
      </c>
    </row>
    <row r="49" spans="1:7" s="105" customFormat="1" ht="24.95" customHeight="1" x14ac:dyDescent="0.25">
      <c r="A49" s="87" t="s">
        <v>1550</v>
      </c>
      <c r="B49" s="94" t="s">
        <v>1619</v>
      </c>
      <c r="C49" s="103" t="s">
        <v>1550</v>
      </c>
      <c r="D49" s="98">
        <v>175</v>
      </c>
      <c r="E49" s="99" t="s">
        <v>1051</v>
      </c>
      <c r="F49" s="104"/>
      <c r="G49" s="104">
        <f t="shared" si="0"/>
        <v>0</v>
      </c>
    </row>
    <row r="50" spans="1:7" s="105" customFormat="1" ht="24.95" customHeight="1" x14ac:dyDescent="0.25">
      <c r="A50" s="87" t="s">
        <v>1551</v>
      </c>
      <c r="B50" s="94" t="s">
        <v>1620</v>
      </c>
      <c r="C50" s="103" t="s">
        <v>1551</v>
      </c>
      <c r="D50" s="98">
        <v>25</v>
      </c>
      <c r="E50" s="99" t="s">
        <v>1051</v>
      </c>
      <c r="F50" s="104"/>
      <c r="G50" s="104">
        <f t="shared" si="0"/>
        <v>0</v>
      </c>
    </row>
    <row r="51" spans="1:7" s="105" customFormat="1" ht="39.950000000000003" customHeight="1" x14ac:dyDescent="0.25">
      <c r="A51" s="87" t="s">
        <v>1552</v>
      </c>
      <c r="B51" s="92" t="s">
        <v>1621</v>
      </c>
      <c r="C51" s="103" t="s">
        <v>1552</v>
      </c>
      <c r="D51" s="98">
        <v>350</v>
      </c>
      <c r="E51" s="99" t="s">
        <v>1051</v>
      </c>
      <c r="F51" s="104"/>
      <c r="G51" s="104">
        <f t="shared" si="0"/>
        <v>0</v>
      </c>
    </row>
    <row r="52" spans="1:7" s="105" customFormat="1" ht="39.950000000000003" customHeight="1" x14ac:dyDescent="0.25">
      <c r="A52" s="87" t="s">
        <v>1553</v>
      </c>
      <c r="B52" s="92" t="s">
        <v>1622</v>
      </c>
      <c r="C52" s="103" t="s">
        <v>1553</v>
      </c>
      <c r="D52" s="98">
        <v>25</v>
      </c>
      <c r="E52" s="99" t="s">
        <v>1051</v>
      </c>
      <c r="F52" s="104"/>
      <c r="G52" s="104">
        <f t="shared" si="0"/>
        <v>0</v>
      </c>
    </row>
    <row r="53" spans="1:7" s="105" customFormat="1" ht="24.95" customHeight="1" x14ac:dyDescent="0.25">
      <c r="A53" s="88" t="s">
        <v>1554</v>
      </c>
      <c r="B53" s="95" t="s">
        <v>1623</v>
      </c>
      <c r="C53" s="103" t="s">
        <v>1554</v>
      </c>
      <c r="D53" s="98">
        <v>900</v>
      </c>
      <c r="E53" s="99" t="s">
        <v>1051</v>
      </c>
      <c r="F53" s="104"/>
      <c r="G53" s="104">
        <f t="shared" si="0"/>
        <v>0</v>
      </c>
    </row>
    <row r="54" spans="1:7" s="105" customFormat="1" ht="39.950000000000003" customHeight="1" x14ac:dyDescent="0.25">
      <c r="A54" s="87" t="s">
        <v>1555</v>
      </c>
      <c r="B54" s="94" t="s">
        <v>1624</v>
      </c>
      <c r="C54" s="103" t="s">
        <v>1555</v>
      </c>
      <c r="D54" s="98">
        <v>5</v>
      </c>
      <c r="E54" s="99" t="s">
        <v>1051</v>
      </c>
      <c r="F54" s="104"/>
      <c r="G54" s="104">
        <f t="shared" si="0"/>
        <v>0</v>
      </c>
    </row>
    <row r="55" spans="1:7" s="105" customFormat="1" ht="39.950000000000003" customHeight="1" x14ac:dyDescent="0.25">
      <c r="A55" s="88" t="s">
        <v>1556</v>
      </c>
      <c r="B55" s="92" t="s">
        <v>1603</v>
      </c>
      <c r="C55" s="103" t="s">
        <v>1556</v>
      </c>
      <c r="D55" s="98">
        <v>5</v>
      </c>
      <c r="E55" s="99" t="s">
        <v>1051</v>
      </c>
      <c r="F55" s="104"/>
      <c r="G55" s="104">
        <f t="shared" si="0"/>
        <v>0</v>
      </c>
    </row>
    <row r="56" spans="1:7" s="105" customFormat="1" ht="24.95" customHeight="1" x14ac:dyDescent="0.25">
      <c r="A56" s="78" t="s">
        <v>1557</v>
      </c>
      <c r="B56" s="76" t="s">
        <v>1625</v>
      </c>
      <c r="C56" s="103" t="s">
        <v>1557</v>
      </c>
      <c r="D56" s="98">
        <v>20</v>
      </c>
      <c r="E56" s="99" t="s">
        <v>1051</v>
      </c>
      <c r="F56" s="104"/>
      <c r="G56" s="104">
        <f t="shared" si="0"/>
        <v>0</v>
      </c>
    </row>
    <row r="57" spans="1:7" s="105" customFormat="1" ht="24.95" customHeight="1" x14ac:dyDescent="0.25">
      <c r="A57" s="78" t="s">
        <v>1558</v>
      </c>
      <c r="B57" s="92" t="s">
        <v>1626</v>
      </c>
      <c r="C57" s="103" t="s">
        <v>1558</v>
      </c>
      <c r="D57" s="98">
        <v>1</v>
      </c>
      <c r="E57" s="99" t="s">
        <v>1051</v>
      </c>
      <c r="F57" s="104"/>
      <c r="G57" s="104">
        <f t="shared" si="0"/>
        <v>0</v>
      </c>
    </row>
    <row r="58" spans="1:7" s="105" customFormat="1" ht="39.950000000000003" customHeight="1" x14ac:dyDescent="0.25">
      <c r="A58" s="78" t="s">
        <v>1559</v>
      </c>
      <c r="B58" s="92" t="s">
        <v>1627</v>
      </c>
      <c r="C58" s="103" t="s">
        <v>1559</v>
      </c>
      <c r="D58" s="98">
        <v>35</v>
      </c>
      <c r="E58" s="99" t="s">
        <v>1051</v>
      </c>
      <c r="F58" s="104"/>
      <c r="G58" s="104">
        <f t="shared" si="0"/>
        <v>0</v>
      </c>
    </row>
    <row r="59" spans="1:7" s="105" customFormat="1" ht="24.95" customHeight="1" x14ac:dyDescent="0.25">
      <c r="A59" s="78" t="s">
        <v>1560</v>
      </c>
      <c r="B59" s="92" t="s">
        <v>1628</v>
      </c>
      <c r="C59" s="103" t="s">
        <v>1560</v>
      </c>
      <c r="D59" s="98">
        <v>1</v>
      </c>
      <c r="E59" s="99" t="s">
        <v>1051</v>
      </c>
      <c r="F59" s="104"/>
      <c r="G59" s="104">
        <f t="shared" si="0"/>
        <v>0</v>
      </c>
    </row>
    <row r="60" spans="1:7" s="105" customFormat="1" ht="39.950000000000003" customHeight="1" x14ac:dyDescent="0.25">
      <c r="A60" s="88" t="s">
        <v>1561</v>
      </c>
      <c r="B60" s="92" t="s">
        <v>1629</v>
      </c>
      <c r="C60" s="103" t="s">
        <v>1561</v>
      </c>
      <c r="D60" s="98">
        <v>75</v>
      </c>
      <c r="E60" s="99" t="s">
        <v>1051</v>
      </c>
      <c r="F60" s="104"/>
      <c r="G60" s="104">
        <f t="shared" si="0"/>
        <v>0</v>
      </c>
    </row>
    <row r="61" spans="1:7" s="105" customFormat="1" ht="39.950000000000003" customHeight="1" x14ac:dyDescent="0.25">
      <c r="A61" s="88" t="s">
        <v>1562</v>
      </c>
      <c r="B61" s="92" t="s">
        <v>1630</v>
      </c>
      <c r="C61" s="103" t="s">
        <v>1562</v>
      </c>
      <c r="D61" s="98">
        <v>25</v>
      </c>
      <c r="E61" s="99" t="s">
        <v>1051</v>
      </c>
      <c r="F61" s="104"/>
      <c r="G61" s="104">
        <f t="shared" si="0"/>
        <v>0</v>
      </c>
    </row>
    <row r="62" spans="1:7" s="105" customFormat="1" ht="24.95" customHeight="1" x14ac:dyDescent="0.25">
      <c r="A62" s="88" t="s">
        <v>1563</v>
      </c>
      <c r="B62" s="76" t="s">
        <v>1564</v>
      </c>
      <c r="C62" s="103" t="s">
        <v>1563</v>
      </c>
      <c r="D62" s="98">
        <v>1</v>
      </c>
      <c r="E62" s="99" t="s">
        <v>1051</v>
      </c>
      <c r="F62" s="104"/>
      <c r="G62" s="104">
        <f t="shared" si="0"/>
        <v>0</v>
      </c>
    </row>
    <row r="63" spans="1:7" s="105" customFormat="1" ht="24.95" customHeight="1" x14ac:dyDescent="0.25">
      <c r="A63" s="88" t="s">
        <v>1565</v>
      </c>
      <c r="B63" s="91" t="s">
        <v>1604</v>
      </c>
      <c r="C63" s="103" t="s">
        <v>1565</v>
      </c>
      <c r="D63" s="98">
        <v>1</v>
      </c>
      <c r="E63" s="99" t="s">
        <v>1051</v>
      </c>
      <c r="F63" s="104"/>
      <c r="G63" s="104">
        <f t="shared" si="0"/>
        <v>0</v>
      </c>
    </row>
    <row r="64" spans="1:7" s="105" customFormat="1" ht="24.95" customHeight="1" x14ac:dyDescent="0.25">
      <c r="A64" s="87" t="s">
        <v>1566</v>
      </c>
      <c r="B64" s="96" t="s">
        <v>1631</v>
      </c>
      <c r="C64" s="103" t="s">
        <v>1566</v>
      </c>
      <c r="D64" s="98">
        <v>20</v>
      </c>
      <c r="E64" s="99" t="s">
        <v>1051</v>
      </c>
      <c r="F64" s="104"/>
      <c r="G64" s="104">
        <f t="shared" si="0"/>
        <v>0</v>
      </c>
    </row>
    <row r="65" spans="1:7" s="105" customFormat="1" ht="24.95" customHeight="1" x14ac:dyDescent="0.25">
      <c r="A65" s="78" t="s">
        <v>1219</v>
      </c>
      <c r="B65" s="95" t="s">
        <v>1632</v>
      </c>
      <c r="C65" s="103" t="s">
        <v>1219</v>
      </c>
      <c r="D65" s="98">
        <v>3</v>
      </c>
      <c r="E65" s="99" t="s">
        <v>1051</v>
      </c>
      <c r="F65" s="104"/>
      <c r="G65" s="104">
        <f t="shared" si="0"/>
        <v>0</v>
      </c>
    </row>
    <row r="66" spans="1:7" s="105" customFormat="1" ht="24.95" customHeight="1" x14ac:dyDescent="0.25">
      <c r="A66" s="78" t="s">
        <v>1220</v>
      </c>
      <c r="B66" s="95" t="s">
        <v>1633</v>
      </c>
      <c r="C66" s="103" t="s">
        <v>1220</v>
      </c>
      <c r="D66" s="98">
        <v>1</v>
      </c>
      <c r="E66" s="99" t="s">
        <v>1051</v>
      </c>
      <c r="F66" s="104"/>
      <c r="G66" s="104">
        <f t="shared" si="0"/>
        <v>0</v>
      </c>
    </row>
    <row r="67" spans="1:7" s="105" customFormat="1" ht="24.95" customHeight="1" x14ac:dyDescent="0.25">
      <c r="A67" s="78" t="s">
        <v>1221</v>
      </c>
      <c r="B67" s="95" t="s">
        <v>1634</v>
      </c>
      <c r="C67" s="103" t="s">
        <v>1221</v>
      </c>
      <c r="D67" s="98">
        <v>2</v>
      </c>
      <c r="E67" s="99" t="s">
        <v>1051</v>
      </c>
      <c r="F67" s="104"/>
      <c r="G67" s="104">
        <f t="shared" si="0"/>
        <v>0</v>
      </c>
    </row>
    <row r="68" spans="1:7" s="105" customFormat="1" ht="24.95" customHeight="1" x14ac:dyDescent="0.25">
      <c r="A68" s="78" t="s">
        <v>1222</v>
      </c>
      <c r="B68" s="95" t="s">
        <v>1635</v>
      </c>
      <c r="C68" s="103" t="s">
        <v>1222</v>
      </c>
      <c r="D68" s="98">
        <v>1</v>
      </c>
      <c r="E68" s="99" t="s">
        <v>1051</v>
      </c>
      <c r="F68" s="104"/>
      <c r="G68" s="104">
        <f t="shared" si="0"/>
        <v>0</v>
      </c>
    </row>
    <row r="69" spans="1:7" s="105" customFormat="1" ht="24.95" customHeight="1" x14ac:dyDescent="0.25">
      <c r="A69" s="78" t="s">
        <v>1223</v>
      </c>
      <c r="B69" s="95" t="s">
        <v>1636</v>
      </c>
      <c r="C69" s="103" t="s">
        <v>1223</v>
      </c>
      <c r="D69" s="98">
        <v>1</v>
      </c>
      <c r="E69" s="99" t="s">
        <v>1051</v>
      </c>
      <c r="F69" s="104"/>
      <c r="G69" s="104">
        <f t="shared" si="0"/>
        <v>0</v>
      </c>
    </row>
    <row r="70" spans="1:7" s="105" customFormat="1" ht="24.95" customHeight="1" x14ac:dyDescent="0.25">
      <c r="A70" s="78" t="s">
        <v>1224</v>
      </c>
      <c r="B70" s="95" t="s">
        <v>1637</v>
      </c>
      <c r="C70" s="103" t="s">
        <v>1224</v>
      </c>
      <c r="D70" s="98">
        <v>1</v>
      </c>
      <c r="E70" s="99" t="s">
        <v>1051</v>
      </c>
      <c r="F70" s="104"/>
      <c r="G70" s="104">
        <f t="shared" si="0"/>
        <v>0</v>
      </c>
    </row>
    <row r="71" spans="1:7" s="105" customFormat="1" ht="24.95" customHeight="1" x14ac:dyDescent="0.25">
      <c r="A71" s="78" t="s">
        <v>1225</v>
      </c>
      <c r="B71" s="95" t="s">
        <v>1638</v>
      </c>
      <c r="C71" s="103" t="s">
        <v>1225</v>
      </c>
      <c r="D71" s="98">
        <v>1</v>
      </c>
      <c r="E71" s="99" t="s">
        <v>1051</v>
      </c>
      <c r="F71" s="104"/>
      <c r="G71" s="104">
        <f t="shared" ref="G71:G134" si="2">F71*D71</f>
        <v>0</v>
      </c>
    </row>
    <row r="72" spans="1:7" s="105" customFormat="1" ht="24.95" customHeight="1" x14ac:dyDescent="0.25">
      <c r="A72" s="78" t="s">
        <v>1226</v>
      </c>
      <c r="B72" s="76" t="s">
        <v>1639</v>
      </c>
      <c r="C72" s="103" t="s">
        <v>1226</v>
      </c>
      <c r="D72" s="98">
        <v>1</v>
      </c>
      <c r="E72" s="99" t="s">
        <v>1051</v>
      </c>
      <c r="F72" s="104"/>
      <c r="G72" s="104">
        <f t="shared" si="2"/>
        <v>0</v>
      </c>
    </row>
    <row r="73" spans="1:7" s="105" customFormat="1" ht="24.95" customHeight="1" x14ac:dyDescent="0.25">
      <c r="A73" s="78" t="s">
        <v>1227</v>
      </c>
      <c r="B73" s="76" t="s">
        <v>1640</v>
      </c>
      <c r="C73" s="103" t="s">
        <v>1227</v>
      </c>
      <c r="D73" s="98">
        <v>1</v>
      </c>
      <c r="E73" s="99" t="s">
        <v>1051</v>
      </c>
      <c r="F73" s="104"/>
      <c r="G73" s="104">
        <f t="shared" si="2"/>
        <v>0</v>
      </c>
    </row>
    <row r="74" spans="1:7" s="105" customFormat="1" ht="24.95" customHeight="1" x14ac:dyDescent="0.25">
      <c r="A74" s="78" t="s">
        <v>1228</v>
      </c>
      <c r="B74" s="97" t="s">
        <v>1641</v>
      </c>
      <c r="C74" s="103" t="s">
        <v>1228</v>
      </c>
      <c r="D74" s="98">
        <v>3</v>
      </c>
      <c r="E74" s="107" t="s">
        <v>1051</v>
      </c>
      <c r="F74" s="104"/>
      <c r="G74" s="104">
        <f t="shared" si="2"/>
        <v>0</v>
      </c>
    </row>
    <row r="75" spans="1:7" s="105" customFormat="1" ht="24.95" customHeight="1" x14ac:dyDescent="0.25">
      <c r="A75" s="78" t="s">
        <v>1229</v>
      </c>
      <c r="B75" s="76" t="s">
        <v>1642</v>
      </c>
      <c r="C75" s="103" t="s">
        <v>1229</v>
      </c>
      <c r="D75" s="98">
        <v>5</v>
      </c>
      <c r="E75" s="107" t="s">
        <v>1051</v>
      </c>
      <c r="F75" s="104"/>
      <c r="G75" s="104">
        <f t="shared" si="2"/>
        <v>0</v>
      </c>
    </row>
    <row r="76" spans="1:7" s="105" customFormat="1" ht="39.950000000000003" customHeight="1" x14ac:dyDescent="0.25">
      <c r="A76" s="78" t="s">
        <v>1230</v>
      </c>
      <c r="B76" s="90" t="s">
        <v>1567</v>
      </c>
      <c r="C76" s="103" t="s">
        <v>1230</v>
      </c>
      <c r="D76" s="98">
        <v>1</v>
      </c>
      <c r="E76" s="107" t="s">
        <v>1051</v>
      </c>
      <c r="F76" s="104"/>
      <c r="G76" s="104">
        <f t="shared" si="2"/>
        <v>0</v>
      </c>
    </row>
    <row r="77" spans="1:7" s="105" customFormat="1" ht="24.95" customHeight="1" x14ac:dyDescent="0.25">
      <c r="A77" s="78" t="s">
        <v>1237</v>
      </c>
      <c r="B77" s="76" t="s">
        <v>1643</v>
      </c>
      <c r="C77" s="103" t="s">
        <v>1237</v>
      </c>
      <c r="D77" s="98">
        <v>3</v>
      </c>
      <c r="E77" s="107" t="s">
        <v>1051</v>
      </c>
      <c r="F77" s="104"/>
      <c r="G77" s="104">
        <f t="shared" si="2"/>
        <v>0</v>
      </c>
    </row>
    <row r="78" spans="1:7" s="105" customFormat="1" ht="39.950000000000003" customHeight="1" x14ac:dyDescent="0.25">
      <c r="A78" s="89" t="s">
        <v>1240</v>
      </c>
      <c r="B78" s="90" t="s">
        <v>1644</v>
      </c>
      <c r="C78" s="103" t="s">
        <v>1240</v>
      </c>
      <c r="D78" s="98">
        <v>1</v>
      </c>
      <c r="E78" s="107" t="s">
        <v>1051</v>
      </c>
      <c r="F78" s="104"/>
      <c r="G78" s="104">
        <f t="shared" si="2"/>
        <v>0</v>
      </c>
    </row>
    <row r="79" spans="1:7" s="105" customFormat="1" ht="39.950000000000003" customHeight="1" x14ac:dyDescent="0.25">
      <c r="A79" s="89" t="s">
        <v>1241</v>
      </c>
      <c r="B79" s="90" t="s">
        <v>1568</v>
      </c>
      <c r="C79" s="103" t="s">
        <v>1241</v>
      </c>
      <c r="D79" s="98">
        <v>1</v>
      </c>
      <c r="E79" s="107" t="s">
        <v>1051</v>
      </c>
      <c r="F79" s="104"/>
      <c r="G79" s="104">
        <f t="shared" si="2"/>
        <v>0</v>
      </c>
    </row>
    <row r="80" spans="1:7" s="105" customFormat="1" ht="39.950000000000003" customHeight="1" x14ac:dyDescent="0.25">
      <c r="A80" s="89" t="s">
        <v>1242</v>
      </c>
      <c r="B80" s="90" t="s">
        <v>1569</v>
      </c>
      <c r="C80" s="103" t="s">
        <v>1242</v>
      </c>
      <c r="D80" s="98">
        <v>1</v>
      </c>
      <c r="E80" s="107" t="s">
        <v>1051</v>
      </c>
      <c r="F80" s="104"/>
      <c r="G80" s="104">
        <f t="shared" si="2"/>
        <v>0</v>
      </c>
    </row>
    <row r="81" spans="1:7" s="105" customFormat="1" ht="39.950000000000003" customHeight="1" x14ac:dyDescent="0.25">
      <c r="A81" s="89" t="s">
        <v>1243</v>
      </c>
      <c r="B81" s="92" t="s">
        <v>1570</v>
      </c>
      <c r="C81" s="103" t="s">
        <v>1243</v>
      </c>
      <c r="D81" s="98">
        <v>1</v>
      </c>
      <c r="E81" s="107" t="s">
        <v>1051</v>
      </c>
      <c r="F81" s="104"/>
      <c r="G81" s="104">
        <f t="shared" si="2"/>
        <v>0</v>
      </c>
    </row>
    <row r="82" spans="1:7" s="105" customFormat="1" ht="39.950000000000003" customHeight="1" x14ac:dyDescent="0.25">
      <c r="A82" s="89" t="s">
        <v>1244</v>
      </c>
      <c r="B82" s="90" t="s">
        <v>1571</v>
      </c>
      <c r="C82" s="103" t="s">
        <v>1244</v>
      </c>
      <c r="D82" s="98">
        <v>1</v>
      </c>
      <c r="E82" s="107" t="s">
        <v>1051</v>
      </c>
      <c r="F82" s="104"/>
      <c r="G82" s="104">
        <f t="shared" si="2"/>
        <v>0</v>
      </c>
    </row>
    <row r="83" spans="1:7" s="105" customFormat="1" ht="39.950000000000003" customHeight="1" x14ac:dyDescent="0.25">
      <c r="A83" s="88" t="s">
        <v>1245</v>
      </c>
      <c r="B83" s="90" t="s">
        <v>1572</v>
      </c>
      <c r="C83" s="103" t="s">
        <v>1245</v>
      </c>
      <c r="D83" s="98">
        <v>1</v>
      </c>
      <c r="E83" s="107" t="s">
        <v>1051</v>
      </c>
      <c r="F83" s="104"/>
      <c r="G83" s="104">
        <f t="shared" si="2"/>
        <v>0</v>
      </c>
    </row>
    <row r="84" spans="1:7" s="105" customFormat="1" ht="39.950000000000003" customHeight="1" x14ac:dyDescent="0.25">
      <c r="A84" s="88" t="s">
        <v>1246</v>
      </c>
      <c r="B84" s="90" t="s">
        <v>1573</v>
      </c>
      <c r="C84" s="103" t="s">
        <v>1246</v>
      </c>
      <c r="D84" s="98">
        <v>1</v>
      </c>
      <c r="E84" s="107" t="s">
        <v>1051</v>
      </c>
      <c r="F84" s="104"/>
      <c r="G84" s="104">
        <f t="shared" si="2"/>
        <v>0</v>
      </c>
    </row>
    <row r="85" spans="1:7" s="105" customFormat="1" ht="39.950000000000003" customHeight="1" x14ac:dyDescent="0.25">
      <c r="A85" s="88" t="s">
        <v>1247</v>
      </c>
      <c r="B85" s="90" t="s">
        <v>1574</v>
      </c>
      <c r="C85" s="103" t="s">
        <v>1247</v>
      </c>
      <c r="D85" s="98">
        <v>1</v>
      </c>
      <c r="E85" s="107" t="s">
        <v>1051</v>
      </c>
      <c r="F85" s="104"/>
      <c r="G85" s="104">
        <f t="shared" si="2"/>
        <v>0</v>
      </c>
    </row>
    <row r="86" spans="1:7" s="105" customFormat="1" ht="39.950000000000003" customHeight="1" x14ac:dyDescent="0.25">
      <c r="A86" s="88" t="s">
        <v>1248</v>
      </c>
      <c r="B86" s="90" t="s">
        <v>1575</v>
      </c>
      <c r="C86" s="103" t="s">
        <v>1248</v>
      </c>
      <c r="D86" s="98">
        <v>1</v>
      </c>
      <c r="E86" s="107" t="s">
        <v>1051</v>
      </c>
      <c r="F86" s="104"/>
      <c r="G86" s="104">
        <f t="shared" si="2"/>
        <v>0</v>
      </c>
    </row>
    <row r="87" spans="1:7" s="105" customFormat="1" ht="24.95" customHeight="1" x14ac:dyDescent="0.25">
      <c r="A87" s="78" t="s">
        <v>1576</v>
      </c>
      <c r="B87" s="76" t="s">
        <v>1645</v>
      </c>
      <c r="C87" s="103" t="s">
        <v>1576</v>
      </c>
      <c r="D87" s="98">
        <v>3</v>
      </c>
      <c r="E87" s="107" t="s">
        <v>1051</v>
      </c>
      <c r="F87" s="104"/>
      <c r="G87" s="104">
        <f t="shared" si="2"/>
        <v>0</v>
      </c>
    </row>
    <row r="88" spans="1:7" s="105" customFormat="1" ht="24.95" customHeight="1" x14ac:dyDescent="0.25">
      <c r="A88" s="78" t="s">
        <v>1577</v>
      </c>
      <c r="B88" s="75" t="s">
        <v>1646</v>
      </c>
      <c r="C88" s="103" t="s">
        <v>1577</v>
      </c>
      <c r="D88" s="98">
        <v>1</v>
      </c>
      <c r="E88" s="107" t="s">
        <v>1051</v>
      </c>
      <c r="F88" s="104"/>
      <c r="G88" s="104">
        <f t="shared" si="2"/>
        <v>0</v>
      </c>
    </row>
    <row r="89" spans="1:7" ht="47.25" x14ac:dyDescent="0.25">
      <c r="A89" s="78" t="s">
        <v>100</v>
      </c>
      <c r="B89" s="76" t="s">
        <v>1102</v>
      </c>
      <c r="C89" s="77" t="s">
        <v>1249</v>
      </c>
      <c r="D89" s="114">
        <v>7440</v>
      </c>
      <c r="E89" s="83" t="s">
        <v>1053</v>
      </c>
      <c r="F89" s="104"/>
      <c r="G89" s="104">
        <f t="shared" si="2"/>
        <v>0</v>
      </c>
    </row>
    <row r="90" spans="1:7" ht="47.25" x14ac:dyDescent="0.25">
      <c r="A90" s="78" t="s">
        <v>99</v>
      </c>
      <c r="B90" s="76" t="s">
        <v>1103</v>
      </c>
      <c r="C90" s="77" t="s">
        <v>1250</v>
      </c>
      <c r="D90" s="114">
        <v>25</v>
      </c>
      <c r="E90" s="83" t="s">
        <v>1053</v>
      </c>
      <c r="F90" s="104"/>
      <c r="G90" s="104">
        <f t="shared" si="2"/>
        <v>0</v>
      </c>
    </row>
    <row r="91" spans="1:7" ht="78.75" x14ac:dyDescent="0.25">
      <c r="A91" s="78" t="s">
        <v>98</v>
      </c>
      <c r="B91" s="76" t="s">
        <v>1105</v>
      </c>
      <c r="C91" s="77" t="s">
        <v>1251</v>
      </c>
      <c r="D91" s="114">
        <v>880</v>
      </c>
      <c r="E91" s="83" t="s">
        <v>1053</v>
      </c>
      <c r="F91" s="104"/>
      <c r="G91" s="104">
        <f t="shared" si="2"/>
        <v>0</v>
      </c>
    </row>
    <row r="92" spans="1:7" ht="47.25" x14ac:dyDescent="0.25">
      <c r="A92" s="78" t="s">
        <v>97</v>
      </c>
      <c r="B92" s="76" t="s">
        <v>1104</v>
      </c>
      <c r="C92" s="77" t="s">
        <v>1252</v>
      </c>
      <c r="D92" s="114">
        <v>6700</v>
      </c>
      <c r="E92" s="83" t="s">
        <v>1053</v>
      </c>
      <c r="F92" s="104"/>
      <c r="G92" s="104">
        <f t="shared" si="2"/>
        <v>0</v>
      </c>
    </row>
    <row r="93" spans="1:7" ht="63" x14ac:dyDescent="0.25">
      <c r="A93" s="78" t="s">
        <v>96</v>
      </c>
      <c r="B93" s="76" t="s">
        <v>1106</v>
      </c>
      <c r="C93" s="77" t="s">
        <v>1253</v>
      </c>
      <c r="D93" s="114">
        <v>155</v>
      </c>
      <c r="E93" s="83" t="s">
        <v>1053</v>
      </c>
      <c r="F93" s="104"/>
      <c r="G93" s="104">
        <f t="shared" si="2"/>
        <v>0</v>
      </c>
    </row>
    <row r="94" spans="1:7" ht="63" x14ac:dyDescent="0.25">
      <c r="A94" s="78" t="s">
        <v>95</v>
      </c>
      <c r="B94" s="76" t="s">
        <v>1107</v>
      </c>
      <c r="C94" s="77" t="s">
        <v>1254</v>
      </c>
      <c r="D94" s="114">
        <v>1735</v>
      </c>
      <c r="E94" s="83" t="s">
        <v>1053</v>
      </c>
      <c r="F94" s="104"/>
      <c r="G94" s="104">
        <f t="shared" si="2"/>
        <v>0</v>
      </c>
    </row>
    <row r="95" spans="1:7" ht="63" x14ac:dyDescent="0.25">
      <c r="A95" s="78" t="s">
        <v>94</v>
      </c>
      <c r="B95" s="76" t="s">
        <v>1108</v>
      </c>
      <c r="C95" s="77" t="s">
        <v>1255</v>
      </c>
      <c r="D95" s="114">
        <v>100</v>
      </c>
      <c r="E95" s="83" t="s">
        <v>1053</v>
      </c>
      <c r="F95" s="104"/>
      <c r="G95" s="104">
        <f t="shared" si="2"/>
        <v>0</v>
      </c>
    </row>
    <row r="96" spans="1:7" ht="63" x14ac:dyDescent="0.25">
      <c r="A96" s="78" t="s">
        <v>93</v>
      </c>
      <c r="B96" s="76" t="s">
        <v>1109</v>
      </c>
      <c r="C96" s="77" t="s">
        <v>1256</v>
      </c>
      <c r="D96" s="114">
        <v>6880</v>
      </c>
      <c r="E96" s="83" t="s">
        <v>1053</v>
      </c>
      <c r="F96" s="104"/>
      <c r="G96" s="104">
        <f t="shared" si="2"/>
        <v>0</v>
      </c>
    </row>
    <row r="97" spans="1:7" ht="47.25" x14ac:dyDescent="0.25">
      <c r="A97" s="78" t="s">
        <v>92</v>
      </c>
      <c r="B97" s="76" t="s">
        <v>1110</v>
      </c>
      <c r="C97" s="77" t="s">
        <v>1257</v>
      </c>
      <c r="D97" s="114">
        <v>40</v>
      </c>
      <c r="E97" s="83" t="s">
        <v>1053</v>
      </c>
      <c r="F97" s="104"/>
      <c r="G97" s="104">
        <f t="shared" si="2"/>
        <v>0</v>
      </c>
    </row>
    <row r="98" spans="1:7" ht="47.25" x14ac:dyDescent="0.25">
      <c r="A98" s="78" t="s">
        <v>91</v>
      </c>
      <c r="B98" s="76" t="s">
        <v>1111</v>
      </c>
      <c r="C98" s="77" t="s">
        <v>1258</v>
      </c>
      <c r="D98" s="114">
        <v>25</v>
      </c>
      <c r="E98" s="83" t="s">
        <v>1053</v>
      </c>
      <c r="F98" s="104"/>
      <c r="G98" s="104">
        <f t="shared" si="2"/>
        <v>0</v>
      </c>
    </row>
    <row r="99" spans="1:7" ht="47.25" x14ac:dyDescent="0.25">
      <c r="A99" s="78" t="s">
        <v>90</v>
      </c>
      <c r="B99" s="76" t="s">
        <v>1112</v>
      </c>
      <c r="C99" s="77" t="s">
        <v>1259</v>
      </c>
      <c r="D99" s="114">
        <v>1850</v>
      </c>
      <c r="E99" s="83" t="s">
        <v>1053</v>
      </c>
      <c r="F99" s="104"/>
      <c r="G99" s="104">
        <f t="shared" si="2"/>
        <v>0</v>
      </c>
    </row>
    <row r="100" spans="1:7" ht="47.25" x14ac:dyDescent="0.25">
      <c r="A100" s="78" t="s">
        <v>89</v>
      </c>
      <c r="B100" s="76" t="s">
        <v>1113</v>
      </c>
      <c r="C100" s="77" t="s">
        <v>1260</v>
      </c>
      <c r="D100" s="114">
        <v>8450</v>
      </c>
      <c r="E100" s="83" t="s">
        <v>1053</v>
      </c>
      <c r="F100" s="104"/>
      <c r="G100" s="104">
        <f t="shared" si="2"/>
        <v>0</v>
      </c>
    </row>
    <row r="101" spans="1:7" ht="63" x14ac:dyDescent="0.25">
      <c r="A101" s="78" t="s">
        <v>88</v>
      </c>
      <c r="B101" s="76" t="s">
        <v>1114</v>
      </c>
      <c r="C101" s="77" t="s">
        <v>1261</v>
      </c>
      <c r="D101" s="114">
        <v>10</v>
      </c>
      <c r="E101" s="83" t="s">
        <v>1053</v>
      </c>
      <c r="F101" s="104"/>
      <c r="G101" s="104">
        <f t="shared" si="2"/>
        <v>0</v>
      </c>
    </row>
    <row r="102" spans="1:7" ht="71.25" customHeight="1" x14ac:dyDescent="0.25">
      <c r="A102" s="78" t="s">
        <v>1578</v>
      </c>
      <c r="B102" s="76" t="s">
        <v>1588</v>
      </c>
      <c r="C102" s="77" t="s">
        <v>1579</v>
      </c>
      <c r="D102" s="114">
        <v>25</v>
      </c>
      <c r="E102" s="83" t="s">
        <v>1053</v>
      </c>
      <c r="F102" s="104"/>
      <c r="G102" s="104">
        <f t="shared" si="2"/>
        <v>0</v>
      </c>
    </row>
    <row r="103" spans="1:7" ht="47.25" x14ac:dyDescent="0.25">
      <c r="A103" s="78" t="s">
        <v>1580</v>
      </c>
      <c r="B103" s="76" t="s">
        <v>1581</v>
      </c>
      <c r="C103" s="77" t="s">
        <v>1582</v>
      </c>
      <c r="D103" s="114">
        <v>4125</v>
      </c>
      <c r="E103" s="83" t="s">
        <v>1053</v>
      </c>
      <c r="F103" s="104"/>
      <c r="G103" s="104">
        <f t="shared" si="2"/>
        <v>0</v>
      </c>
    </row>
    <row r="104" spans="1:7" ht="20.100000000000001" customHeight="1" x14ac:dyDescent="0.25">
      <c r="A104" s="116" t="s">
        <v>87</v>
      </c>
      <c r="B104" s="118" t="s">
        <v>1115</v>
      </c>
      <c r="C104" s="77" t="s">
        <v>1262</v>
      </c>
      <c r="D104" s="114">
        <v>5</v>
      </c>
      <c r="E104" s="83" t="str">
        <f t="shared" ref="E104:E158" si="3">IF(C104="C7","LB","EA")</f>
        <v>EA</v>
      </c>
      <c r="F104" s="104"/>
      <c r="G104" s="104">
        <f t="shared" si="2"/>
        <v>0</v>
      </c>
    </row>
    <row r="105" spans="1:7" ht="20.100000000000001" customHeight="1" x14ac:dyDescent="0.25">
      <c r="A105" s="117"/>
      <c r="B105" s="119"/>
      <c r="C105" s="77" t="s">
        <v>1263</v>
      </c>
      <c r="D105" s="114">
        <v>4</v>
      </c>
      <c r="E105" s="83" t="str">
        <f t="shared" si="3"/>
        <v>EA</v>
      </c>
      <c r="F105" s="104"/>
      <c r="G105" s="104">
        <f t="shared" si="2"/>
        <v>0</v>
      </c>
    </row>
    <row r="106" spans="1:7" ht="32.25" customHeight="1" x14ac:dyDescent="0.25">
      <c r="A106" s="117"/>
      <c r="B106" s="119"/>
      <c r="C106" s="77" t="s">
        <v>1264</v>
      </c>
      <c r="D106" s="114">
        <v>1</v>
      </c>
      <c r="E106" s="83" t="str">
        <f t="shared" si="3"/>
        <v>EA</v>
      </c>
      <c r="F106" s="104"/>
      <c r="G106" s="104">
        <f t="shared" si="2"/>
        <v>0</v>
      </c>
    </row>
    <row r="107" spans="1:7" ht="20.100000000000001" customHeight="1" x14ac:dyDescent="0.25">
      <c r="A107" s="116" t="s">
        <v>86</v>
      </c>
      <c r="B107" s="118" t="s">
        <v>1234</v>
      </c>
      <c r="C107" s="77" t="s">
        <v>1265</v>
      </c>
      <c r="D107" s="114">
        <v>1</v>
      </c>
      <c r="E107" s="83" t="str">
        <f t="shared" si="3"/>
        <v>EA</v>
      </c>
      <c r="F107" s="104"/>
      <c r="G107" s="104">
        <f t="shared" si="2"/>
        <v>0</v>
      </c>
    </row>
    <row r="108" spans="1:7" ht="54" customHeight="1" x14ac:dyDescent="0.25">
      <c r="A108" s="117"/>
      <c r="B108" s="119"/>
      <c r="C108" s="77" t="s">
        <v>1266</v>
      </c>
      <c r="D108" s="114">
        <v>1</v>
      </c>
      <c r="E108" s="83" t="str">
        <f t="shared" si="3"/>
        <v>EA</v>
      </c>
      <c r="F108" s="104"/>
      <c r="G108" s="104">
        <f t="shared" si="2"/>
        <v>0</v>
      </c>
    </row>
    <row r="109" spans="1:7" ht="66" x14ac:dyDescent="0.25">
      <c r="A109" s="78" t="s">
        <v>85</v>
      </c>
      <c r="B109" s="76" t="s">
        <v>1235</v>
      </c>
      <c r="C109" s="77" t="s">
        <v>1267</v>
      </c>
      <c r="D109" s="114">
        <v>24</v>
      </c>
      <c r="E109" s="83" t="str">
        <f t="shared" si="3"/>
        <v>EA</v>
      </c>
      <c r="F109" s="104"/>
      <c r="G109" s="104">
        <f t="shared" si="2"/>
        <v>0</v>
      </c>
    </row>
    <row r="110" spans="1:7" x14ac:dyDescent="0.25">
      <c r="A110" s="116" t="s">
        <v>84</v>
      </c>
      <c r="B110" s="118" t="s">
        <v>1116</v>
      </c>
      <c r="C110" s="77" t="s">
        <v>1268</v>
      </c>
      <c r="D110" s="114">
        <v>1</v>
      </c>
      <c r="E110" s="83" t="str">
        <f t="shared" si="3"/>
        <v>EA</v>
      </c>
      <c r="F110" s="104"/>
      <c r="G110" s="104">
        <f t="shared" si="2"/>
        <v>0</v>
      </c>
    </row>
    <row r="111" spans="1:7" ht="50.25" customHeight="1" x14ac:dyDescent="0.25">
      <c r="A111" s="117"/>
      <c r="B111" s="119"/>
      <c r="C111" s="77" t="s">
        <v>1269</v>
      </c>
      <c r="D111" s="114">
        <v>1</v>
      </c>
      <c r="E111" s="83" t="str">
        <f t="shared" si="3"/>
        <v>EA</v>
      </c>
      <c r="F111" s="104"/>
      <c r="G111" s="104">
        <f t="shared" si="2"/>
        <v>0</v>
      </c>
    </row>
    <row r="112" spans="1:7" ht="20.100000000000001" customHeight="1" x14ac:dyDescent="0.25">
      <c r="A112" s="116" t="s">
        <v>83</v>
      </c>
      <c r="B112" s="118" t="s">
        <v>1117</v>
      </c>
      <c r="C112" s="77" t="s">
        <v>1270</v>
      </c>
      <c r="D112" s="114">
        <v>3</v>
      </c>
      <c r="E112" s="83" t="str">
        <f t="shared" si="3"/>
        <v>EA</v>
      </c>
      <c r="F112" s="104"/>
      <c r="G112" s="104">
        <f t="shared" si="2"/>
        <v>0</v>
      </c>
    </row>
    <row r="113" spans="1:7" ht="44.25" customHeight="1" x14ac:dyDescent="0.25">
      <c r="A113" s="117"/>
      <c r="B113" s="119"/>
      <c r="C113" s="77" t="s">
        <v>1271</v>
      </c>
      <c r="D113" s="114">
        <v>1</v>
      </c>
      <c r="E113" s="83" t="str">
        <f t="shared" si="3"/>
        <v>EA</v>
      </c>
      <c r="F113" s="104"/>
      <c r="G113" s="104">
        <f t="shared" si="2"/>
        <v>0</v>
      </c>
    </row>
    <row r="114" spans="1:7" ht="20.100000000000001" customHeight="1" x14ac:dyDescent="0.25">
      <c r="A114" s="116" t="s">
        <v>82</v>
      </c>
      <c r="B114" s="118" t="s">
        <v>1118</v>
      </c>
      <c r="C114" s="77" t="s">
        <v>1272</v>
      </c>
      <c r="D114" s="114">
        <v>14</v>
      </c>
      <c r="E114" s="83" t="str">
        <f t="shared" si="3"/>
        <v>EA</v>
      </c>
      <c r="F114" s="104"/>
      <c r="G114" s="104">
        <f t="shared" si="2"/>
        <v>0</v>
      </c>
    </row>
    <row r="115" spans="1:7" ht="20.100000000000001" customHeight="1" x14ac:dyDescent="0.25">
      <c r="A115" s="117"/>
      <c r="B115" s="119"/>
      <c r="C115" s="77" t="s">
        <v>1273</v>
      </c>
      <c r="D115" s="114">
        <v>1</v>
      </c>
      <c r="E115" s="83" t="str">
        <f t="shared" si="3"/>
        <v>EA</v>
      </c>
      <c r="F115" s="104"/>
      <c r="G115" s="104">
        <f t="shared" si="2"/>
        <v>0</v>
      </c>
    </row>
    <row r="116" spans="1:7" ht="20.100000000000001" customHeight="1" x14ac:dyDescent="0.25">
      <c r="A116" s="117"/>
      <c r="B116" s="119"/>
      <c r="C116" s="77" t="s">
        <v>1274</v>
      </c>
      <c r="D116" s="114">
        <v>4</v>
      </c>
      <c r="E116" s="83" t="str">
        <f t="shared" si="3"/>
        <v>EA</v>
      </c>
      <c r="F116" s="104"/>
      <c r="G116" s="104">
        <f t="shared" si="2"/>
        <v>0</v>
      </c>
    </row>
    <row r="117" spans="1:7" ht="20.100000000000001" customHeight="1" x14ac:dyDescent="0.25">
      <c r="A117" s="117"/>
      <c r="B117" s="119"/>
      <c r="C117" s="77" t="s">
        <v>1275</v>
      </c>
      <c r="D117" s="114">
        <v>1</v>
      </c>
      <c r="E117" s="83" t="str">
        <f t="shared" si="3"/>
        <v>EA</v>
      </c>
      <c r="F117" s="104"/>
      <c r="G117" s="104">
        <f t="shared" si="2"/>
        <v>0</v>
      </c>
    </row>
    <row r="118" spans="1:7" ht="20.100000000000001" customHeight="1" x14ac:dyDescent="0.25">
      <c r="A118" s="117"/>
      <c r="B118" s="119"/>
      <c r="C118" s="77" t="s">
        <v>1276</v>
      </c>
      <c r="D118" s="114">
        <v>1</v>
      </c>
      <c r="E118" s="83" t="str">
        <f t="shared" si="3"/>
        <v>EA</v>
      </c>
      <c r="F118" s="104"/>
      <c r="G118" s="104">
        <f t="shared" si="2"/>
        <v>0</v>
      </c>
    </row>
    <row r="119" spans="1:7" ht="20.100000000000001" customHeight="1" x14ac:dyDescent="0.25">
      <c r="A119" s="116" t="s">
        <v>81</v>
      </c>
      <c r="B119" s="118" t="s">
        <v>1119</v>
      </c>
      <c r="C119" s="77" t="s">
        <v>1277</v>
      </c>
      <c r="D119" s="114">
        <v>66</v>
      </c>
      <c r="E119" s="83" t="str">
        <f t="shared" si="3"/>
        <v>EA</v>
      </c>
      <c r="F119" s="104"/>
      <c r="G119" s="104">
        <f t="shared" si="2"/>
        <v>0</v>
      </c>
    </row>
    <row r="120" spans="1:7" ht="20.100000000000001" customHeight="1" x14ac:dyDescent="0.25">
      <c r="A120" s="117"/>
      <c r="B120" s="119"/>
      <c r="C120" s="77" t="s">
        <v>1278</v>
      </c>
      <c r="D120" s="114">
        <v>11</v>
      </c>
      <c r="E120" s="83" t="str">
        <f t="shared" si="3"/>
        <v>EA</v>
      </c>
      <c r="F120" s="104"/>
      <c r="G120" s="104">
        <f t="shared" si="2"/>
        <v>0</v>
      </c>
    </row>
    <row r="121" spans="1:7" ht="20.100000000000001" customHeight="1" x14ac:dyDescent="0.25">
      <c r="A121" s="117"/>
      <c r="B121" s="119"/>
      <c r="C121" s="77" t="s">
        <v>1279</v>
      </c>
      <c r="D121" s="114">
        <v>22</v>
      </c>
      <c r="E121" s="83" t="str">
        <f t="shared" si="3"/>
        <v>EA</v>
      </c>
      <c r="F121" s="104"/>
      <c r="G121" s="104">
        <f t="shared" si="2"/>
        <v>0</v>
      </c>
    </row>
    <row r="122" spans="1:7" ht="20.100000000000001" customHeight="1" x14ac:dyDescent="0.25">
      <c r="A122" s="117"/>
      <c r="B122" s="119"/>
      <c r="C122" s="77" t="s">
        <v>1280</v>
      </c>
      <c r="D122" s="114">
        <v>26</v>
      </c>
      <c r="E122" s="83" t="str">
        <f t="shared" si="3"/>
        <v>EA</v>
      </c>
      <c r="F122" s="104"/>
      <c r="G122" s="104">
        <f t="shared" si="2"/>
        <v>0</v>
      </c>
    </row>
    <row r="123" spans="1:7" ht="20.100000000000001" customHeight="1" x14ac:dyDescent="0.25">
      <c r="A123" s="117"/>
      <c r="B123" s="119"/>
      <c r="C123" s="77" t="s">
        <v>1281</v>
      </c>
      <c r="D123" s="114">
        <v>1</v>
      </c>
      <c r="E123" s="83" t="str">
        <f t="shared" si="3"/>
        <v>EA</v>
      </c>
      <c r="F123" s="104"/>
      <c r="G123" s="104">
        <f t="shared" si="2"/>
        <v>0</v>
      </c>
    </row>
    <row r="124" spans="1:7" ht="20.100000000000001" customHeight="1" x14ac:dyDescent="0.25">
      <c r="A124" s="116" t="s">
        <v>80</v>
      </c>
      <c r="B124" s="118" t="s">
        <v>1121</v>
      </c>
      <c r="C124" s="77" t="s">
        <v>1282</v>
      </c>
      <c r="D124" s="114">
        <v>7</v>
      </c>
      <c r="E124" s="83" t="str">
        <f t="shared" si="3"/>
        <v>EA</v>
      </c>
      <c r="F124" s="104"/>
      <c r="G124" s="104">
        <f t="shared" si="2"/>
        <v>0</v>
      </c>
    </row>
    <row r="125" spans="1:7" ht="20.100000000000001" customHeight="1" x14ac:dyDescent="0.25">
      <c r="A125" s="117"/>
      <c r="B125" s="119"/>
      <c r="C125" s="77" t="s">
        <v>1283</v>
      </c>
      <c r="D125" s="114">
        <v>2</v>
      </c>
      <c r="E125" s="83" t="str">
        <f t="shared" si="3"/>
        <v>EA</v>
      </c>
      <c r="F125" s="104"/>
      <c r="G125" s="104">
        <f t="shared" si="2"/>
        <v>0</v>
      </c>
    </row>
    <row r="126" spans="1:7" ht="29.25" customHeight="1" x14ac:dyDescent="0.25">
      <c r="A126" s="117"/>
      <c r="B126" s="119"/>
      <c r="C126" s="77" t="s">
        <v>1284</v>
      </c>
      <c r="D126" s="114">
        <v>3</v>
      </c>
      <c r="E126" s="83" t="str">
        <f t="shared" si="3"/>
        <v>EA</v>
      </c>
      <c r="F126" s="104"/>
      <c r="G126" s="104">
        <f t="shared" si="2"/>
        <v>0</v>
      </c>
    </row>
    <row r="127" spans="1:7" ht="20.100000000000001" customHeight="1" x14ac:dyDescent="0.25">
      <c r="A127" s="116" t="s">
        <v>79</v>
      </c>
      <c r="B127" s="118" t="s">
        <v>1120</v>
      </c>
      <c r="C127" s="77" t="s">
        <v>1285</v>
      </c>
      <c r="D127" s="114">
        <v>10</v>
      </c>
      <c r="E127" s="83" t="str">
        <f t="shared" si="3"/>
        <v>EA</v>
      </c>
      <c r="F127" s="104"/>
      <c r="G127" s="104">
        <f t="shared" si="2"/>
        <v>0</v>
      </c>
    </row>
    <row r="128" spans="1:7" ht="20.100000000000001" customHeight="1" x14ac:dyDescent="0.25">
      <c r="A128" s="117"/>
      <c r="B128" s="119"/>
      <c r="C128" s="77" t="s">
        <v>1286</v>
      </c>
      <c r="D128" s="114">
        <v>4</v>
      </c>
      <c r="E128" s="83" t="str">
        <f t="shared" si="3"/>
        <v>EA</v>
      </c>
      <c r="F128" s="104"/>
      <c r="G128" s="104">
        <f t="shared" si="2"/>
        <v>0</v>
      </c>
    </row>
    <row r="129" spans="1:7" ht="20.100000000000001" customHeight="1" x14ac:dyDescent="0.25">
      <c r="A129" s="117"/>
      <c r="B129" s="119"/>
      <c r="C129" s="77" t="s">
        <v>1287</v>
      </c>
      <c r="D129" s="114">
        <v>7</v>
      </c>
      <c r="E129" s="83" t="str">
        <f t="shared" si="3"/>
        <v>EA</v>
      </c>
      <c r="F129" s="104"/>
      <c r="G129" s="104">
        <f t="shared" si="2"/>
        <v>0</v>
      </c>
    </row>
    <row r="130" spans="1:7" ht="20.100000000000001" customHeight="1" x14ac:dyDescent="0.25">
      <c r="A130" s="117"/>
      <c r="B130" s="119"/>
      <c r="C130" s="77" t="s">
        <v>1288</v>
      </c>
      <c r="D130" s="114">
        <v>16</v>
      </c>
      <c r="E130" s="83" t="str">
        <f t="shared" si="3"/>
        <v>EA</v>
      </c>
      <c r="F130" s="104"/>
      <c r="G130" s="104">
        <f t="shared" si="2"/>
        <v>0</v>
      </c>
    </row>
    <row r="131" spans="1:7" ht="20.100000000000001" customHeight="1" x14ac:dyDescent="0.25">
      <c r="A131" s="117"/>
      <c r="B131" s="119"/>
      <c r="C131" s="77" t="s">
        <v>1289</v>
      </c>
      <c r="D131" s="114">
        <v>1</v>
      </c>
      <c r="E131" s="83" t="str">
        <f t="shared" si="3"/>
        <v>EA</v>
      </c>
      <c r="F131" s="104"/>
      <c r="G131" s="104">
        <f t="shared" si="2"/>
        <v>0</v>
      </c>
    </row>
    <row r="132" spans="1:7" ht="65.25" customHeight="1" x14ac:dyDescent="0.25">
      <c r="A132" s="78" t="s">
        <v>78</v>
      </c>
      <c r="B132" s="76" t="s">
        <v>1122</v>
      </c>
      <c r="C132" s="77" t="s">
        <v>1290</v>
      </c>
      <c r="D132" s="114">
        <v>10</v>
      </c>
      <c r="E132" s="83" t="s">
        <v>1053</v>
      </c>
      <c r="F132" s="104"/>
      <c r="G132" s="104">
        <f t="shared" si="2"/>
        <v>0</v>
      </c>
    </row>
    <row r="133" spans="1:7" ht="20.100000000000001" customHeight="1" x14ac:dyDescent="0.25">
      <c r="A133" s="116" t="s">
        <v>77</v>
      </c>
      <c r="B133" s="118" t="s">
        <v>1123</v>
      </c>
      <c r="C133" s="77" t="s">
        <v>1291</v>
      </c>
      <c r="D133" s="114">
        <v>30</v>
      </c>
      <c r="E133" s="83" t="str">
        <f t="shared" si="3"/>
        <v>EA</v>
      </c>
      <c r="F133" s="104"/>
      <c r="G133" s="104">
        <f t="shared" si="2"/>
        <v>0</v>
      </c>
    </row>
    <row r="134" spans="1:7" ht="20.100000000000001" customHeight="1" x14ac:dyDescent="0.25">
      <c r="A134" s="117"/>
      <c r="B134" s="119"/>
      <c r="C134" s="77" t="s">
        <v>1292</v>
      </c>
      <c r="D134" s="114">
        <v>48</v>
      </c>
      <c r="E134" s="83" t="str">
        <f t="shared" si="3"/>
        <v>EA</v>
      </c>
      <c r="F134" s="104"/>
      <c r="G134" s="104">
        <f t="shared" si="2"/>
        <v>0</v>
      </c>
    </row>
    <row r="135" spans="1:7" ht="20.100000000000001" customHeight="1" x14ac:dyDescent="0.25">
      <c r="A135" s="117"/>
      <c r="B135" s="119"/>
      <c r="C135" s="77" t="s">
        <v>1293</v>
      </c>
      <c r="D135" s="114">
        <v>1</v>
      </c>
      <c r="E135" s="83" t="str">
        <f t="shared" si="3"/>
        <v>EA</v>
      </c>
      <c r="F135" s="104"/>
      <c r="G135" s="104">
        <f t="shared" ref="G135:G198" si="4">F135*D135</f>
        <v>0</v>
      </c>
    </row>
    <row r="136" spans="1:7" ht="20.100000000000001" customHeight="1" x14ac:dyDescent="0.25">
      <c r="A136" s="117"/>
      <c r="B136" s="119"/>
      <c r="C136" s="77" t="s">
        <v>1294</v>
      </c>
      <c r="D136" s="114">
        <v>1</v>
      </c>
      <c r="E136" s="83" t="str">
        <f t="shared" si="3"/>
        <v>EA</v>
      </c>
      <c r="F136" s="104"/>
      <c r="G136" s="104">
        <f t="shared" si="4"/>
        <v>0</v>
      </c>
    </row>
    <row r="137" spans="1:7" ht="20.100000000000001" customHeight="1" x14ac:dyDescent="0.25">
      <c r="A137" s="116" t="s">
        <v>76</v>
      </c>
      <c r="B137" s="118" t="s">
        <v>1124</v>
      </c>
      <c r="C137" s="77" t="s">
        <v>1295</v>
      </c>
      <c r="D137" s="114">
        <v>157</v>
      </c>
      <c r="E137" s="83" t="str">
        <f t="shared" si="3"/>
        <v>EA</v>
      </c>
      <c r="F137" s="104"/>
      <c r="G137" s="104">
        <f t="shared" si="4"/>
        <v>0</v>
      </c>
    </row>
    <row r="138" spans="1:7" ht="20.100000000000001" customHeight="1" x14ac:dyDescent="0.25">
      <c r="A138" s="117"/>
      <c r="B138" s="119"/>
      <c r="C138" s="77" t="s">
        <v>1296</v>
      </c>
      <c r="D138" s="114">
        <v>3</v>
      </c>
      <c r="E138" s="83" t="str">
        <f t="shared" si="3"/>
        <v>EA</v>
      </c>
      <c r="F138" s="104"/>
      <c r="G138" s="104">
        <f t="shared" si="4"/>
        <v>0</v>
      </c>
    </row>
    <row r="139" spans="1:7" ht="20.100000000000001" customHeight="1" x14ac:dyDescent="0.25">
      <c r="A139" s="117"/>
      <c r="B139" s="119"/>
      <c r="C139" s="77" t="s">
        <v>1297</v>
      </c>
      <c r="D139" s="114">
        <v>3</v>
      </c>
      <c r="E139" s="83" t="str">
        <f t="shared" si="3"/>
        <v>EA</v>
      </c>
      <c r="F139" s="104"/>
      <c r="G139" s="104">
        <f t="shared" si="4"/>
        <v>0</v>
      </c>
    </row>
    <row r="140" spans="1:7" ht="20.100000000000001" customHeight="1" x14ac:dyDescent="0.25">
      <c r="A140" s="117"/>
      <c r="B140" s="119"/>
      <c r="C140" s="77" t="s">
        <v>1298</v>
      </c>
      <c r="D140" s="114">
        <v>1</v>
      </c>
      <c r="E140" s="83" t="str">
        <f t="shared" si="3"/>
        <v>EA</v>
      </c>
      <c r="F140" s="104"/>
      <c r="G140" s="104">
        <f t="shared" si="4"/>
        <v>0</v>
      </c>
    </row>
    <row r="141" spans="1:7" ht="63" x14ac:dyDescent="0.25">
      <c r="A141" s="78" t="s">
        <v>70</v>
      </c>
      <c r="B141" s="76" t="s">
        <v>1125</v>
      </c>
      <c r="C141" s="77" t="s">
        <v>1299</v>
      </c>
      <c r="D141" s="114">
        <v>1</v>
      </c>
      <c r="E141" s="83" t="str">
        <f t="shared" si="3"/>
        <v>EA</v>
      </c>
      <c r="F141" s="104"/>
      <c r="G141" s="104">
        <f t="shared" si="4"/>
        <v>0</v>
      </c>
    </row>
    <row r="142" spans="1:7" ht="47.25" x14ac:dyDescent="0.25">
      <c r="A142" s="78" t="s">
        <v>69</v>
      </c>
      <c r="B142" s="76" t="s">
        <v>1126</v>
      </c>
      <c r="C142" s="77" t="s">
        <v>1300</v>
      </c>
      <c r="D142" s="114">
        <v>1</v>
      </c>
      <c r="E142" s="83" t="str">
        <f>IF(C142="C7","LB","EA")</f>
        <v>EA</v>
      </c>
      <c r="F142" s="104"/>
      <c r="G142" s="104">
        <f t="shared" si="4"/>
        <v>0</v>
      </c>
    </row>
    <row r="143" spans="1:7" ht="68.25" customHeight="1" x14ac:dyDescent="0.25">
      <c r="A143" s="78" t="s">
        <v>66</v>
      </c>
      <c r="B143" s="76" t="s">
        <v>1127</v>
      </c>
      <c r="C143" s="77" t="s">
        <v>1301</v>
      </c>
      <c r="D143" s="114">
        <v>27</v>
      </c>
      <c r="E143" s="83" t="str">
        <f t="shared" si="3"/>
        <v>EA</v>
      </c>
      <c r="F143" s="104"/>
      <c r="G143" s="104">
        <f t="shared" si="4"/>
        <v>0</v>
      </c>
    </row>
    <row r="144" spans="1:7" ht="63.75" customHeight="1" x14ac:dyDescent="0.25">
      <c r="A144" s="78" t="s">
        <v>65</v>
      </c>
      <c r="B144" s="76" t="s">
        <v>1128</v>
      </c>
      <c r="C144" s="77" t="s">
        <v>1528</v>
      </c>
      <c r="D144" s="114">
        <v>2830</v>
      </c>
      <c r="E144" s="83" t="s">
        <v>1053</v>
      </c>
      <c r="F144" s="104"/>
      <c r="G144" s="104">
        <f t="shared" si="4"/>
        <v>0</v>
      </c>
    </row>
    <row r="145" spans="1:7" ht="20.100000000000001" customHeight="1" x14ac:dyDescent="0.25">
      <c r="A145" s="116" t="s">
        <v>64</v>
      </c>
      <c r="B145" s="118" t="s">
        <v>1130</v>
      </c>
      <c r="C145" s="77" t="s">
        <v>1302</v>
      </c>
      <c r="D145" s="114">
        <v>25</v>
      </c>
      <c r="E145" s="83" t="str">
        <f t="shared" si="3"/>
        <v>EA</v>
      </c>
      <c r="F145" s="104"/>
      <c r="G145" s="104">
        <f t="shared" si="4"/>
        <v>0</v>
      </c>
    </row>
    <row r="146" spans="1:7" ht="20.100000000000001" customHeight="1" x14ac:dyDescent="0.25">
      <c r="A146" s="117"/>
      <c r="B146" s="119"/>
      <c r="C146" s="77" t="s">
        <v>1303</v>
      </c>
      <c r="D146" s="114">
        <v>43</v>
      </c>
      <c r="E146" s="83" t="str">
        <f t="shared" si="3"/>
        <v>EA</v>
      </c>
      <c r="F146" s="104"/>
      <c r="G146" s="104">
        <f t="shared" si="4"/>
        <v>0</v>
      </c>
    </row>
    <row r="147" spans="1:7" ht="20.100000000000001" customHeight="1" x14ac:dyDescent="0.25">
      <c r="A147" s="117"/>
      <c r="B147" s="119"/>
      <c r="C147" s="77" t="s">
        <v>1304</v>
      </c>
      <c r="D147" s="114">
        <v>64</v>
      </c>
      <c r="E147" s="83" t="str">
        <f t="shared" si="3"/>
        <v>EA</v>
      </c>
      <c r="F147" s="104"/>
      <c r="G147" s="104">
        <f t="shared" si="4"/>
        <v>0</v>
      </c>
    </row>
    <row r="148" spans="1:7" ht="20.100000000000001" customHeight="1" x14ac:dyDescent="0.25">
      <c r="A148" s="117"/>
      <c r="B148" s="119"/>
      <c r="C148" s="77" t="s">
        <v>1305</v>
      </c>
      <c r="D148" s="114">
        <v>146</v>
      </c>
      <c r="E148" s="83" t="str">
        <f t="shared" si="3"/>
        <v>EA</v>
      </c>
      <c r="F148" s="104"/>
      <c r="G148" s="104">
        <f t="shared" si="4"/>
        <v>0</v>
      </c>
    </row>
    <row r="149" spans="1:7" ht="20.100000000000001" customHeight="1" x14ac:dyDescent="0.25">
      <c r="A149" s="116" t="s">
        <v>63</v>
      </c>
      <c r="B149" s="118" t="s">
        <v>1129</v>
      </c>
      <c r="C149" s="77" t="s">
        <v>1306</v>
      </c>
      <c r="D149" s="114">
        <v>83</v>
      </c>
      <c r="E149" s="83" t="str">
        <f t="shared" si="3"/>
        <v>EA</v>
      </c>
      <c r="F149" s="104"/>
      <c r="G149" s="104">
        <f t="shared" si="4"/>
        <v>0</v>
      </c>
    </row>
    <row r="150" spans="1:7" ht="20.100000000000001" customHeight="1" x14ac:dyDescent="0.25">
      <c r="A150" s="116"/>
      <c r="B150" s="118"/>
      <c r="C150" s="77" t="s">
        <v>1307</v>
      </c>
      <c r="D150" s="114">
        <v>93</v>
      </c>
      <c r="E150" s="83" t="str">
        <f t="shared" si="3"/>
        <v>EA</v>
      </c>
      <c r="F150" s="104"/>
      <c r="G150" s="104">
        <f t="shared" si="4"/>
        <v>0</v>
      </c>
    </row>
    <row r="151" spans="1:7" ht="20.100000000000001" customHeight="1" x14ac:dyDescent="0.25">
      <c r="A151" s="116"/>
      <c r="B151" s="118"/>
      <c r="C151" s="77" t="s">
        <v>1308</v>
      </c>
      <c r="D151" s="114">
        <v>177</v>
      </c>
      <c r="E151" s="83" t="str">
        <f t="shared" si="3"/>
        <v>EA</v>
      </c>
      <c r="F151" s="104"/>
      <c r="G151" s="104">
        <f t="shared" si="4"/>
        <v>0</v>
      </c>
    </row>
    <row r="152" spans="1:7" ht="20.100000000000001" customHeight="1" x14ac:dyDescent="0.25">
      <c r="A152" s="116"/>
      <c r="B152" s="118"/>
      <c r="C152" s="77" t="s">
        <v>1309</v>
      </c>
      <c r="D152" s="114">
        <v>230</v>
      </c>
      <c r="E152" s="83" t="str">
        <f t="shared" si="3"/>
        <v>EA</v>
      </c>
      <c r="F152" s="104"/>
      <c r="G152" s="104">
        <f t="shared" si="4"/>
        <v>0</v>
      </c>
    </row>
    <row r="153" spans="1:7" ht="20.100000000000001" customHeight="1" x14ac:dyDescent="0.25">
      <c r="A153" s="116"/>
      <c r="B153" s="118"/>
      <c r="C153" s="77" t="s">
        <v>1310</v>
      </c>
      <c r="D153" s="114">
        <v>22</v>
      </c>
      <c r="E153" s="83" t="str">
        <f t="shared" si="3"/>
        <v>EA</v>
      </c>
      <c r="F153" s="104"/>
      <c r="G153" s="104">
        <f t="shared" si="4"/>
        <v>0</v>
      </c>
    </row>
    <row r="154" spans="1:7" ht="20.100000000000001" customHeight="1" x14ac:dyDescent="0.25">
      <c r="A154" s="116" t="s">
        <v>62</v>
      </c>
      <c r="B154" s="118" t="s">
        <v>1647</v>
      </c>
      <c r="C154" s="77" t="s">
        <v>1311</v>
      </c>
      <c r="D154" s="114">
        <v>6</v>
      </c>
      <c r="E154" s="83" t="str">
        <f t="shared" si="3"/>
        <v>EA</v>
      </c>
      <c r="F154" s="104"/>
      <c r="G154" s="104">
        <f t="shared" si="4"/>
        <v>0</v>
      </c>
    </row>
    <row r="155" spans="1:7" ht="20.100000000000001" customHeight="1" x14ac:dyDescent="0.25">
      <c r="A155" s="116"/>
      <c r="B155" s="118"/>
      <c r="C155" s="77" t="s">
        <v>1312</v>
      </c>
      <c r="D155" s="114">
        <v>1</v>
      </c>
      <c r="E155" s="83" t="str">
        <f t="shared" si="3"/>
        <v>EA</v>
      </c>
      <c r="F155" s="104"/>
      <c r="G155" s="104">
        <f t="shared" si="4"/>
        <v>0</v>
      </c>
    </row>
    <row r="156" spans="1:7" ht="20.100000000000001" customHeight="1" x14ac:dyDescent="0.25">
      <c r="A156" s="116"/>
      <c r="B156" s="118"/>
      <c r="C156" s="77" t="s">
        <v>1313</v>
      </c>
      <c r="D156" s="114">
        <v>1</v>
      </c>
      <c r="E156" s="83" t="str">
        <f t="shared" si="3"/>
        <v>EA</v>
      </c>
      <c r="F156" s="104"/>
      <c r="G156" s="104">
        <f t="shared" si="4"/>
        <v>0</v>
      </c>
    </row>
    <row r="157" spans="1:7" ht="20.100000000000001" customHeight="1" x14ac:dyDescent="0.25">
      <c r="A157" s="116"/>
      <c r="B157" s="118"/>
      <c r="C157" s="77" t="s">
        <v>1314</v>
      </c>
      <c r="D157" s="114">
        <v>1</v>
      </c>
      <c r="E157" s="83" t="str">
        <f t="shared" si="3"/>
        <v>EA</v>
      </c>
      <c r="F157" s="104"/>
      <c r="G157" s="104">
        <f t="shared" si="4"/>
        <v>0</v>
      </c>
    </row>
    <row r="158" spans="1:7" ht="20.100000000000001" customHeight="1" x14ac:dyDescent="0.25">
      <c r="A158" s="116"/>
      <c r="B158" s="118"/>
      <c r="C158" s="77" t="s">
        <v>1315</v>
      </c>
      <c r="D158" s="114">
        <v>1</v>
      </c>
      <c r="E158" s="83" t="str">
        <f t="shared" si="3"/>
        <v>EA</v>
      </c>
      <c r="F158" s="104"/>
      <c r="G158" s="104">
        <f t="shared" si="4"/>
        <v>0</v>
      </c>
    </row>
    <row r="159" spans="1:7" ht="20.100000000000001" customHeight="1" x14ac:dyDescent="0.25">
      <c r="A159" s="116"/>
      <c r="B159" s="118"/>
      <c r="C159" s="77" t="s">
        <v>1316</v>
      </c>
      <c r="D159" s="114">
        <v>27</v>
      </c>
      <c r="E159" s="83" t="s">
        <v>1053</v>
      </c>
      <c r="F159" s="104"/>
      <c r="G159" s="104">
        <f t="shared" si="4"/>
        <v>0</v>
      </c>
    </row>
    <row r="160" spans="1:7" ht="20.100000000000001" customHeight="1" x14ac:dyDescent="0.25">
      <c r="A160" s="116" t="s">
        <v>61</v>
      </c>
      <c r="B160" s="118" t="s">
        <v>1131</v>
      </c>
      <c r="C160" s="77" t="s">
        <v>1317</v>
      </c>
      <c r="D160" s="114">
        <v>25</v>
      </c>
      <c r="E160" s="83" t="str">
        <f t="shared" ref="E160:E166" si="5">IF(C160="C7","LB","EA")</f>
        <v>EA</v>
      </c>
      <c r="F160" s="104"/>
      <c r="G160" s="104">
        <f t="shared" si="4"/>
        <v>0</v>
      </c>
    </row>
    <row r="161" spans="1:7" ht="20.100000000000001" customHeight="1" x14ac:dyDescent="0.25">
      <c r="A161" s="116"/>
      <c r="B161" s="118"/>
      <c r="C161" s="77" t="s">
        <v>1318</v>
      </c>
      <c r="D161" s="114">
        <v>17</v>
      </c>
      <c r="E161" s="83" t="str">
        <f t="shared" si="5"/>
        <v>EA</v>
      </c>
      <c r="F161" s="104"/>
      <c r="G161" s="104">
        <f t="shared" si="4"/>
        <v>0</v>
      </c>
    </row>
    <row r="162" spans="1:7" ht="20.100000000000001" customHeight="1" x14ac:dyDescent="0.25">
      <c r="A162" s="116"/>
      <c r="B162" s="118"/>
      <c r="C162" s="77" t="s">
        <v>1319</v>
      </c>
      <c r="D162" s="114">
        <v>22</v>
      </c>
      <c r="E162" s="83" t="str">
        <f t="shared" si="5"/>
        <v>EA</v>
      </c>
      <c r="F162" s="104"/>
      <c r="G162" s="104">
        <f t="shared" si="4"/>
        <v>0</v>
      </c>
    </row>
    <row r="163" spans="1:7" ht="20.100000000000001" customHeight="1" x14ac:dyDescent="0.25">
      <c r="A163" s="116"/>
      <c r="B163" s="118"/>
      <c r="C163" s="77" t="s">
        <v>1320</v>
      </c>
      <c r="D163" s="114">
        <v>73</v>
      </c>
      <c r="E163" s="83" t="str">
        <f t="shared" si="5"/>
        <v>EA</v>
      </c>
      <c r="F163" s="104"/>
      <c r="G163" s="104">
        <f t="shared" si="4"/>
        <v>0</v>
      </c>
    </row>
    <row r="164" spans="1:7" ht="20.100000000000001" customHeight="1" x14ac:dyDescent="0.25">
      <c r="A164" s="116"/>
      <c r="B164" s="118"/>
      <c r="C164" s="77" t="s">
        <v>1321</v>
      </c>
      <c r="D164" s="114">
        <v>1</v>
      </c>
      <c r="E164" s="83" t="str">
        <f t="shared" si="5"/>
        <v>EA</v>
      </c>
      <c r="F164" s="104"/>
      <c r="G164" s="104">
        <f t="shared" si="4"/>
        <v>0</v>
      </c>
    </row>
    <row r="165" spans="1:7" ht="20.100000000000001" customHeight="1" x14ac:dyDescent="0.25">
      <c r="A165" s="116"/>
      <c r="B165" s="118"/>
      <c r="C165" s="77" t="s">
        <v>1322</v>
      </c>
      <c r="D165" s="114">
        <v>5</v>
      </c>
      <c r="E165" s="83" t="str">
        <f t="shared" si="5"/>
        <v>EA</v>
      </c>
      <c r="F165" s="104"/>
      <c r="G165" s="104">
        <f t="shared" si="4"/>
        <v>0</v>
      </c>
    </row>
    <row r="166" spans="1:7" ht="20.100000000000001" customHeight="1" x14ac:dyDescent="0.25">
      <c r="A166" s="116" t="s">
        <v>60</v>
      </c>
      <c r="B166" s="118" t="s">
        <v>1132</v>
      </c>
      <c r="C166" s="77" t="s">
        <v>1323</v>
      </c>
      <c r="D166" s="114">
        <v>5</v>
      </c>
      <c r="E166" s="83" t="str">
        <f t="shared" si="5"/>
        <v>EA</v>
      </c>
      <c r="F166" s="104"/>
      <c r="G166" s="104">
        <f t="shared" si="4"/>
        <v>0</v>
      </c>
    </row>
    <row r="167" spans="1:7" ht="45" customHeight="1" x14ac:dyDescent="0.25">
      <c r="A167" s="117"/>
      <c r="B167" s="119"/>
      <c r="C167" s="77" t="s">
        <v>1324</v>
      </c>
      <c r="D167" s="114">
        <v>5</v>
      </c>
      <c r="E167" s="83" t="str">
        <f>IF(C167="C7","LB","EA")</f>
        <v>EA</v>
      </c>
      <c r="F167" s="104"/>
      <c r="G167" s="104">
        <f t="shared" si="4"/>
        <v>0</v>
      </c>
    </row>
    <row r="168" spans="1:7" ht="20.100000000000001" customHeight="1" x14ac:dyDescent="0.25">
      <c r="A168" s="116" t="s">
        <v>59</v>
      </c>
      <c r="B168" s="118" t="s">
        <v>1133</v>
      </c>
      <c r="C168" s="77" t="s">
        <v>1325</v>
      </c>
      <c r="D168" s="114">
        <v>8</v>
      </c>
      <c r="E168" s="83" t="str">
        <f>IF(C168="C7","LB","EA")</f>
        <v>EA</v>
      </c>
      <c r="F168" s="104"/>
      <c r="G168" s="104">
        <f t="shared" si="4"/>
        <v>0</v>
      </c>
    </row>
    <row r="169" spans="1:7" ht="20.100000000000001" customHeight="1" x14ac:dyDescent="0.25">
      <c r="A169" s="117"/>
      <c r="B169" s="119"/>
      <c r="C169" s="77" t="s">
        <v>1326</v>
      </c>
      <c r="D169" s="114">
        <v>14</v>
      </c>
      <c r="E169" s="83" t="str">
        <f>IF(C169="C7","LB","EA")</f>
        <v>EA</v>
      </c>
      <c r="F169" s="104"/>
      <c r="G169" s="104">
        <f t="shared" si="4"/>
        <v>0</v>
      </c>
    </row>
    <row r="170" spans="1:7" ht="32.25" customHeight="1" x14ac:dyDescent="0.25">
      <c r="A170" s="117"/>
      <c r="B170" s="119"/>
      <c r="C170" s="77" t="s">
        <v>1327</v>
      </c>
      <c r="D170" s="114">
        <v>1</v>
      </c>
      <c r="E170" s="83" t="str">
        <f>IF(C170="C7","LB","EA")</f>
        <v>EA</v>
      </c>
      <c r="F170" s="104"/>
      <c r="G170" s="104">
        <f t="shared" si="4"/>
        <v>0</v>
      </c>
    </row>
    <row r="171" spans="1:7" ht="20.100000000000001" customHeight="1" x14ac:dyDescent="0.25">
      <c r="A171" s="116" t="s">
        <v>58</v>
      </c>
      <c r="B171" s="118" t="s">
        <v>1134</v>
      </c>
      <c r="C171" s="77" t="s">
        <v>1328</v>
      </c>
      <c r="D171" s="114">
        <v>20</v>
      </c>
      <c r="E171" s="83" t="str">
        <f t="shared" ref="E171:E179" si="6">IF(C171="C7","LB","EA")</f>
        <v>EA</v>
      </c>
      <c r="F171" s="104"/>
      <c r="G171" s="104">
        <f t="shared" si="4"/>
        <v>0</v>
      </c>
    </row>
    <row r="172" spans="1:7" ht="20.100000000000001" customHeight="1" x14ac:dyDescent="0.25">
      <c r="A172" s="117"/>
      <c r="B172" s="119"/>
      <c r="C172" s="77" t="s">
        <v>1329</v>
      </c>
      <c r="D172" s="114">
        <v>3</v>
      </c>
      <c r="E172" s="83" t="str">
        <f t="shared" si="6"/>
        <v>EA</v>
      </c>
      <c r="F172" s="104"/>
      <c r="G172" s="104">
        <f t="shared" si="4"/>
        <v>0</v>
      </c>
    </row>
    <row r="173" spans="1:7" ht="32.25" customHeight="1" x14ac:dyDescent="0.25">
      <c r="A173" s="117"/>
      <c r="B173" s="119"/>
      <c r="C173" s="77" t="s">
        <v>1529</v>
      </c>
      <c r="D173" s="114">
        <v>1</v>
      </c>
      <c r="E173" s="83" t="str">
        <f t="shared" si="6"/>
        <v>EA</v>
      </c>
      <c r="F173" s="104"/>
      <c r="G173" s="104">
        <f t="shared" si="4"/>
        <v>0</v>
      </c>
    </row>
    <row r="174" spans="1:7" ht="20.100000000000001" customHeight="1" x14ac:dyDescent="0.25">
      <c r="A174" s="116" t="s">
        <v>1099</v>
      </c>
      <c r="B174" s="118" t="s">
        <v>1135</v>
      </c>
      <c r="C174" s="77" t="s">
        <v>1330</v>
      </c>
      <c r="D174" s="114">
        <v>3</v>
      </c>
      <c r="E174" s="83" t="str">
        <f t="shared" si="6"/>
        <v>EA</v>
      </c>
      <c r="F174" s="104"/>
      <c r="G174" s="104">
        <f t="shared" si="4"/>
        <v>0</v>
      </c>
    </row>
    <row r="175" spans="1:7" ht="20.100000000000001" customHeight="1" x14ac:dyDescent="0.25">
      <c r="A175" s="117"/>
      <c r="B175" s="119"/>
      <c r="C175" s="77" t="s">
        <v>1331</v>
      </c>
      <c r="D175" s="114">
        <v>29</v>
      </c>
      <c r="E175" s="83" t="str">
        <f t="shared" si="6"/>
        <v>EA</v>
      </c>
      <c r="F175" s="104"/>
      <c r="G175" s="104">
        <f t="shared" si="4"/>
        <v>0</v>
      </c>
    </row>
    <row r="176" spans="1:7" ht="20.100000000000001" customHeight="1" x14ac:dyDescent="0.25">
      <c r="A176" s="117"/>
      <c r="B176" s="119"/>
      <c r="C176" s="77" t="s">
        <v>1332</v>
      </c>
      <c r="D176" s="114">
        <v>34</v>
      </c>
      <c r="E176" s="83" t="str">
        <f t="shared" si="6"/>
        <v>EA</v>
      </c>
      <c r="F176" s="104"/>
      <c r="G176" s="104">
        <f t="shared" si="4"/>
        <v>0</v>
      </c>
    </row>
    <row r="177" spans="1:7" ht="20.100000000000001" customHeight="1" x14ac:dyDescent="0.25">
      <c r="A177" s="117"/>
      <c r="B177" s="119"/>
      <c r="C177" s="77" t="s">
        <v>1333</v>
      </c>
      <c r="D177" s="114">
        <v>1</v>
      </c>
      <c r="E177" s="83" t="str">
        <f t="shared" si="6"/>
        <v>EA</v>
      </c>
      <c r="F177" s="104"/>
      <c r="G177" s="104">
        <f t="shared" si="4"/>
        <v>0</v>
      </c>
    </row>
    <row r="178" spans="1:7" ht="20.100000000000001" customHeight="1" x14ac:dyDescent="0.25">
      <c r="A178" s="116" t="s">
        <v>57</v>
      </c>
      <c r="B178" s="118" t="s">
        <v>1598</v>
      </c>
      <c r="C178" s="77" t="s">
        <v>1334</v>
      </c>
      <c r="D178" s="114">
        <v>9</v>
      </c>
      <c r="E178" s="83" t="str">
        <f t="shared" si="6"/>
        <v>EA</v>
      </c>
      <c r="F178" s="104"/>
      <c r="G178" s="104">
        <f t="shared" si="4"/>
        <v>0</v>
      </c>
    </row>
    <row r="179" spans="1:7" ht="20.100000000000001" customHeight="1" x14ac:dyDescent="0.25">
      <c r="A179" s="117"/>
      <c r="B179" s="119"/>
      <c r="C179" s="77" t="s">
        <v>1335</v>
      </c>
      <c r="D179" s="114">
        <v>1</v>
      </c>
      <c r="E179" s="83" t="str">
        <f t="shared" si="6"/>
        <v>EA</v>
      </c>
      <c r="F179" s="104"/>
      <c r="G179" s="104">
        <f t="shared" si="4"/>
        <v>0</v>
      </c>
    </row>
    <row r="180" spans="1:7" ht="49.5" customHeight="1" x14ac:dyDescent="0.25">
      <c r="A180" s="117"/>
      <c r="B180" s="119"/>
      <c r="C180" s="77" t="s">
        <v>1336</v>
      </c>
      <c r="D180" s="114">
        <v>25</v>
      </c>
      <c r="E180" s="83" t="s">
        <v>1053</v>
      </c>
      <c r="F180" s="104"/>
      <c r="G180" s="104">
        <f t="shared" si="4"/>
        <v>0</v>
      </c>
    </row>
    <row r="181" spans="1:7" ht="20.100000000000001" customHeight="1" x14ac:dyDescent="0.25">
      <c r="A181" s="116" t="s">
        <v>56</v>
      </c>
      <c r="B181" s="118" t="s">
        <v>1648</v>
      </c>
      <c r="C181" s="77" t="s">
        <v>1337</v>
      </c>
      <c r="D181" s="114">
        <v>113</v>
      </c>
      <c r="E181" s="83" t="str">
        <f t="shared" ref="E181:E242" si="7">IF(C181="C7","LB","EA")</f>
        <v>EA</v>
      </c>
      <c r="F181" s="104"/>
      <c r="G181" s="104">
        <f t="shared" si="4"/>
        <v>0</v>
      </c>
    </row>
    <row r="182" spans="1:7" ht="20.100000000000001" customHeight="1" x14ac:dyDescent="0.25">
      <c r="A182" s="117"/>
      <c r="B182" s="119"/>
      <c r="C182" s="77" t="s">
        <v>1338</v>
      </c>
      <c r="D182" s="114">
        <v>8</v>
      </c>
      <c r="E182" s="83" t="str">
        <f t="shared" si="7"/>
        <v>EA</v>
      </c>
      <c r="F182" s="104"/>
      <c r="G182" s="104">
        <f t="shared" si="4"/>
        <v>0</v>
      </c>
    </row>
    <row r="183" spans="1:7" ht="20.100000000000001" customHeight="1" x14ac:dyDescent="0.25">
      <c r="A183" s="117"/>
      <c r="B183" s="119"/>
      <c r="C183" s="77" t="s">
        <v>1339</v>
      </c>
      <c r="D183" s="114">
        <v>12</v>
      </c>
      <c r="E183" s="83" t="str">
        <f t="shared" si="7"/>
        <v>EA</v>
      </c>
      <c r="F183" s="104"/>
      <c r="G183" s="104">
        <f t="shared" si="4"/>
        <v>0</v>
      </c>
    </row>
    <row r="184" spans="1:7" ht="20.100000000000001" customHeight="1" x14ac:dyDescent="0.25">
      <c r="A184" s="117"/>
      <c r="B184" s="119"/>
      <c r="C184" s="77" t="s">
        <v>1340</v>
      </c>
      <c r="D184" s="114">
        <v>12</v>
      </c>
      <c r="E184" s="83" t="str">
        <f t="shared" si="7"/>
        <v>EA</v>
      </c>
      <c r="F184" s="104"/>
      <c r="G184" s="104">
        <f t="shared" si="4"/>
        <v>0</v>
      </c>
    </row>
    <row r="185" spans="1:7" ht="70.5" customHeight="1" x14ac:dyDescent="0.25">
      <c r="A185" s="78" t="s">
        <v>55</v>
      </c>
      <c r="B185" s="76" t="s">
        <v>1649</v>
      </c>
      <c r="C185" s="77" t="s">
        <v>1341</v>
      </c>
      <c r="D185" s="114">
        <v>2</v>
      </c>
      <c r="E185" s="83" t="str">
        <f t="shared" si="7"/>
        <v>EA</v>
      </c>
      <c r="F185" s="104"/>
      <c r="G185" s="104">
        <f t="shared" si="4"/>
        <v>0</v>
      </c>
    </row>
    <row r="186" spans="1:7" ht="20.100000000000001" customHeight="1" x14ac:dyDescent="0.25">
      <c r="A186" s="116" t="s">
        <v>54</v>
      </c>
      <c r="B186" s="118" t="s">
        <v>1650</v>
      </c>
      <c r="C186" s="77" t="s">
        <v>1342</v>
      </c>
      <c r="D186" s="114">
        <v>193</v>
      </c>
      <c r="E186" s="83" t="str">
        <f t="shared" si="7"/>
        <v>EA</v>
      </c>
      <c r="F186" s="104"/>
      <c r="G186" s="104">
        <f t="shared" si="4"/>
        <v>0</v>
      </c>
    </row>
    <row r="187" spans="1:7" ht="20.100000000000001" customHeight="1" x14ac:dyDescent="0.25">
      <c r="A187" s="117"/>
      <c r="B187" s="119"/>
      <c r="C187" s="77" t="s">
        <v>1343</v>
      </c>
      <c r="D187" s="114">
        <v>18</v>
      </c>
      <c r="E187" s="83" t="str">
        <f t="shared" si="7"/>
        <v>EA</v>
      </c>
      <c r="F187" s="104"/>
      <c r="G187" s="104">
        <f t="shared" si="4"/>
        <v>0</v>
      </c>
    </row>
    <row r="188" spans="1:7" ht="20.100000000000001" customHeight="1" x14ac:dyDescent="0.25">
      <c r="A188" s="117"/>
      <c r="B188" s="119"/>
      <c r="C188" s="77" t="s">
        <v>1344</v>
      </c>
      <c r="D188" s="114">
        <v>35</v>
      </c>
      <c r="E188" s="83" t="str">
        <f t="shared" si="7"/>
        <v>EA</v>
      </c>
      <c r="F188" s="104"/>
      <c r="G188" s="104">
        <f t="shared" si="4"/>
        <v>0</v>
      </c>
    </row>
    <row r="189" spans="1:7" ht="20.100000000000001" customHeight="1" x14ac:dyDescent="0.25">
      <c r="A189" s="117"/>
      <c r="B189" s="119"/>
      <c r="C189" s="77" t="s">
        <v>1345</v>
      </c>
      <c r="D189" s="114">
        <v>36</v>
      </c>
      <c r="E189" s="83" t="str">
        <f t="shared" si="7"/>
        <v>EA</v>
      </c>
      <c r="F189" s="104"/>
      <c r="G189" s="104">
        <f t="shared" si="4"/>
        <v>0</v>
      </c>
    </row>
    <row r="190" spans="1:7" ht="20.100000000000001" customHeight="1" x14ac:dyDescent="0.25">
      <c r="A190" s="117"/>
      <c r="B190" s="119"/>
      <c r="C190" s="77" t="s">
        <v>1346</v>
      </c>
      <c r="D190" s="114">
        <v>2</v>
      </c>
      <c r="E190" s="83" t="str">
        <f t="shared" si="7"/>
        <v>EA</v>
      </c>
      <c r="F190" s="104"/>
      <c r="G190" s="104">
        <f t="shared" si="4"/>
        <v>0</v>
      </c>
    </row>
    <row r="191" spans="1:7" ht="20.100000000000001" customHeight="1" x14ac:dyDescent="0.25">
      <c r="A191" s="116" t="s">
        <v>53</v>
      </c>
      <c r="B191" s="118" t="s">
        <v>1651</v>
      </c>
      <c r="C191" s="77" t="s">
        <v>1347</v>
      </c>
      <c r="D191" s="114">
        <v>434</v>
      </c>
      <c r="E191" s="83" t="str">
        <f t="shared" si="7"/>
        <v>EA</v>
      </c>
      <c r="F191" s="104"/>
      <c r="G191" s="104">
        <f t="shared" si="4"/>
        <v>0</v>
      </c>
    </row>
    <row r="192" spans="1:7" ht="20.100000000000001" customHeight="1" x14ac:dyDescent="0.25">
      <c r="A192" s="117"/>
      <c r="B192" s="119"/>
      <c r="C192" s="77" t="s">
        <v>1348</v>
      </c>
      <c r="D192" s="114">
        <v>30</v>
      </c>
      <c r="E192" s="83" t="str">
        <f t="shared" si="7"/>
        <v>EA</v>
      </c>
      <c r="F192" s="104"/>
      <c r="G192" s="104">
        <f t="shared" si="4"/>
        <v>0</v>
      </c>
    </row>
    <row r="193" spans="1:7" ht="20.100000000000001" customHeight="1" x14ac:dyDescent="0.25">
      <c r="A193" s="117"/>
      <c r="B193" s="119"/>
      <c r="C193" s="77" t="s">
        <v>1349</v>
      </c>
      <c r="D193" s="114">
        <v>59</v>
      </c>
      <c r="E193" s="83" t="str">
        <f t="shared" si="7"/>
        <v>EA</v>
      </c>
      <c r="F193" s="104"/>
      <c r="G193" s="104">
        <f t="shared" si="4"/>
        <v>0</v>
      </c>
    </row>
    <row r="194" spans="1:7" ht="20.100000000000001" customHeight="1" x14ac:dyDescent="0.25">
      <c r="A194" s="117"/>
      <c r="B194" s="119"/>
      <c r="C194" s="77" t="s">
        <v>1350</v>
      </c>
      <c r="D194" s="114">
        <v>82</v>
      </c>
      <c r="E194" s="83" t="str">
        <f t="shared" si="7"/>
        <v>EA</v>
      </c>
      <c r="F194" s="104"/>
      <c r="G194" s="104">
        <f t="shared" si="4"/>
        <v>0</v>
      </c>
    </row>
    <row r="195" spans="1:7" ht="20.100000000000001" customHeight="1" x14ac:dyDescent="0.25">
      <c r="A195" s="117"/>
      <c r="B195" s="119"/>
      <c r="C195" s="77" t="s">
        <v>1351</v>
      </c>
      <c r="D195" s="114">
        <v>12</v>
      </c>
      <c r="E195" s="83" t="str">
        <f t="shared" si="7"/>
        <v>EA</v>
      </c>
      <c r="F195" s="104"/>
      <c r="G195" s="104">
        <f t="shared" si="4"/>
        <v>0</v>
      </c>
    </row>
    <row r="196" spans="1:7" ht="20.100000000000001" customHeight="1" x14ac:dyDescent="0.25">
      <c r="A196" s="116" t="s">
        <v>52</v>
      </c>
      <c r="B196" s="118" t="s">
        <v>1652</v>
      </c>
      <c r="C196" s="77" t="s">
        <v>1352</v>
      </c>
      <c r="D196" s="114">
        <v>22</v>
      </c>
      <c r="E196" s="83" t="str">
        <f t="shared" si="7"/>
        <v>EA</v>
      </c>
      <c r="F196" s="104"/>
      <c r="G196" s="104">
        <f t="shared" si="4"/>
        <v>0</v>
      </c>
    </row>
    <row r="197" spans="1:7" ht="20.100000000000001" customHeight="1" x14ac:dyDescent="0.25">
      <c r="A197" s="117"/>
      <c r="B197" s="119"/>
      <c r="C197" s="77" t="s">
        <v>1353</v>
      </c>
      <c r="D197" s="114">
        <v>6</v>
      </c>
      <c r="E197" s="83" t="str">
        <f t="shared" si="7"/>
        <v>EA</v>
      </c>
      <c r="F197" s="104"/>
      <c r="G197" s="104">
        <f t="shared" si="4"/>
        <v>0</v>
      </c>
    </row>
    <row r="198" spans="1:7" ht="20.100000000000001" customHeight="1" x14ac:dyDescent="0.25">
      <c r="A198" s="117"/>
      <c r="B198" s="119"/>
      <c r="C198" s="77" t="s">
        <v>1354</v>
      </c>
      <c r="D198" s="114">
        <v>2</v>
      </c>
      <c r="E198" s="83" t="str">
        <f t="shared" si="7"/>
        <v>EA</v>
      </c>
      <c r="F198" s="104"/>
      <c r="G198" s="104">
        <f t="shared" si="4"/>
        <v>0</v>
      </c>
    </row>
    <row r="199" spans="1:7" ht="20.100000000000001" customHeight="1" x14ac:dyDescent="0.25">
      <c r="A199" s="117"/>
      <c r="B199" s="119"/>
      <c r="C199" s="77" t="s">
        <v>1355</v>
      </c>
      <c r="D199" s="114">
        <v>2</v>
      </c>
      <c r="E199" s="83" t="str">
        <f t="shared" si="7"/>
        <v>EA</v>
      </c>
      <c r="F199" s="104"/>
      <c r="G199" s="104">
        <f t="shared" ref="G199:G262" si="8">F199*D199</f>
        <v>0</v>
      </c>
    </row>
    <row r="200" spans="1:7" ht="20.100000000000001" customHeight="1" x14ac:dyDescent="0.25">
      <c r="A200" s="116" t="s">
        <v>51</v>
      </c>
      <c r="B200" s="118" t="s">
        <v>1653</v>
      </c>
      <c r="C200" s="77" t="s">
        <v>1356</v>
      </c>
      <c r="D200" s="114">
        <v>2</v>
      </c>
      <c r="E200" s="83" t="str">
        <f t="shared" si="7"/>
        <v>EA</v>
      </c>
      <c r="F200" s="104"/>
      <c r="G200" s="104">
        <f t="shared" si="8"/>
        <v>0</v>
      </c>
    </row>
    <row r="201" spans="1:7" ht="47.25" customHeight="1" x14ac:dyDescent="0.25">
      <c r="A201" s="117"/>
      <c r="B201" s="119"/>
      <c r="C201" s="77" t="s">
        <v>1357</v>
      </c>
      <c r="D201" s="114">
        <v>1</v>
      </c>
      <c r="E201" s="83" t="str">
        <f t="shared" si="7"/>
        <v>EA</v>
      </c>
      <c r="F201" s="104"/>
      <c r="G201" s="104">
        <f t="shared" si="8"/>
        <v>0</v>
      </c>
    </row>
    <row r="202" spans="1:7" ht="20.100000000000001" customHeight="1" x14ac:dyDescent="0.25">
      <c r="A202" s="116" t="s">
        <v>50</v>
      </c>
      <c r="B202" s="118" t="s">
        <v>1654</v>
      </c>
      <c r="C202" s="77" t="s">
        <v>1358</v>
      </c>
      <c r="D202" s="114">
        <v>5</v>
      </c>
      <c r="E202" s="83" t="str">
        <f t="shared" si="7"/>
        <v>EA</v>
      </c>
      <c r="F202" s="104"/>
      <c r="G202" s="104">
        <f t="shared" si="8"/>
        <v>0</v>
      </c>
    </row>
    <row r="203" spans="1:7" ht="58.5" customHeight="1" x14ac:dyDescent="0.25">
      <c r="A203" s="117"/>
      <c r="B203" s="119"/>
      <c r="C203" s="77" t="s">
        <v>1359</v>
      </c>
      <c r="D203" s="114">
        <v>5</v>
      </c>
      <c r="E203" s="83" t="str">
        <f t="shared" si="7"/>
        <v>EA</v>
      </c>
      <c r="F203" s="104"/>
      <c r="G203" s="104">
        <f t="shared" si="8"/>
        <v>0</v>
      </c>
    </row>
    <row r="204" spans="1:7" ht="78.75" customHeight="1" x14ac:dyDescent="0.25">
      <c r="A204" s="78" t="s">
        <v>49</v>
      </c>
      <c r="B204" s="76" t="s">
        <v>1589</v>
      </c>
      <c r="C204" s="77" t="s">
        <v>1360</v>
      </c>
      <c r="D204" s="114">
        <v>2</v>
      </c>
      <c r="E204" s="83" t="str">
        <f>IF(C204="C7","LB","EA")</f>
        <v>EA</v>
      </c>
      <c r="F204" s="104"/>
      <c r="G204" s="104">
        <f t="shared" si="8"/>
        <v>0</v>
      </c>
    </row>
    <row r="205" spans="1:7" ht="20.100000000000001" customHeight="1" x14ac:dyDescent="0.25">
      <c r="A205" s="116" t="s">
        <v>48</v>
      </c>
      <c r="B205" s="118" t="s">
        <v>1590</v>
      </c>
      <c r="C205" s="77" t="s">
        <v>1361</v>
      </c>
      <c r="D205" s="114">
        <v>20</v>
      </c>
      <c r="E205" s="83" t="str">
        <f t="shared" si="7"/>
        <v>EA</v>
      </c>
      <c r="F205" s="104"/>
      <c r="G205" s="104">
        <f t="shared" si="8"/>
        <v>0</v>
      </c>
    </row>
    <row r="206" spans="1:7" ht="37.5" customHeight="1" x14ac:dyDescent="0.25">
      <c r="A206" s="117"/>
      <c r="B206" s="119"/>
      <c r="C206" s="77" t="s">
        <v>1362</v>
      </c>
      <c r="D206" s="114">
        <v>1</v>
      </c>
      <c r="E206" s="83" t="str">
        <f t="shared" si="7"/>
        <v>EA</v>
      </c>
      <c r="F206" s="104"/>
      <c r="G206" s="104">
        <f t="shared" si="8"/>
        <v>0</v>
      </c>
    </row>
    <row r="207" spans="1:7" ht="20.100000000000001" customHeight="1" x14ac:dyDescent="0.25">
      <c r="A207" s="116" t="s">
        <v>47</v>
      </c>
      <c r="B207" s="118" t="s">
        <v>1655</v>
      </c>
      <c r="C207" s="77" t="s">
        <v>1363</v>
      </c>
      <c r="D207" s="114">
        <v>11</v>
      </c>
      <c r="E207" s="83" t="str">
        <f t="shared" si="7"/>
        <v>EA</v>
      </c>
      <c r="F207" s="104"/>
      <c r="G207" s="104">
        <f t="shared" si="8"/>
        <v>0</v>
      </c>
    </row>
    <row r="208" spans="1:7" ht="29.25" customHeight="1" x14ac:dyDescent="0.25">
      <c r="A208" s="117"/>
      <c r="B208" s="119"/>
      <c r="C208" s="77" t="s">
        <v>1364</v>
      </c>
      <c r="D208" s="114">
        <v>2</v>
      </c>
      <c r="E208" s="83" t="str">
        <f t="shared" si="7"/>
        <v>EA</v>
      </c>
      <c r="F208" s="104"/>
      <c r="G208" s="104">
        <f t="shared" si="8"/>
        <v>0</v>
      </c>
    </row>
    <row r="209" spans="1:7" ht="20.100000000000001" customHeight="1" x14ac:dyDescent="0.25">
      <c r="A209" s="116" t="s">
        <v>46</v>
      </c>
      <c r="B209" s="118" t="s">
        <v>1656</v>
      </c>
      <c r="C209" s="77" t="s">
        <v>1365</v>
      </c>
      <c r="D209" s="114">
        <v>10</v>
      </c>
      <c r="E209" s="83" t="str">
        <f t="shared" si="7"/>
        <v>EA</v>
      </c>
      <c r="F209" s="104"/>
      <c r="G209" s="104">
        <f t="shared" si="8"/>
        <v>0</v>
      </c>
    </row>
    <row r="210" spans="1:7" ht="63" customHeight="1" x14ac:dyDescent="0.25">
      <c r="A210" s="117"/>
      <c r="B210" s="119"/>
      <c r="C210" s="77" t="s">
        <v>1366</v>
      </c>
      <c r="D210" s="114">
        <v>1</v>
      </c>
      <c r="E210" s="83" t="str">
        <f t="shared" si="7"/>
        <v>EA</v>
      </c>
      <c r="F210" s="104"/>
      <c r="G210" s="104">
        <f t="shared" si="8"/>
        <v>0</v>
      </c>
    </row>
    <row r="211" spans="1:7" ht="20.100000000000001" customHeight="1" x14ac:dyDescent="0.25">
      <c r="A211" s="116" t="s">
        <v>45</v>
      </c>
      <c r="B211" s="118" t="s">
        <v>1657</v>
      </c>
      <c r="C211" s="77" t="s">
        <v>1367</v>
      </c>
      <c r="D211" s="114">
        <v>5</v>
      </c>
      <c r="E211" s="83" t="str">
        <f t="shared" si="7"/>
        <v>EA</v>
      </c>
      <c r="F211" s="104"/>
      <c r="G211" s="104">
        <f t="shared" si="8"/>
        <v>0</v>
      </c>
    </row>
    <row r="212" spans="1:7" ht="69.75" customHeight="1" x14ac:dyDescent="0.25">
      <c r="A212" s="117"/>
      <c r="B212" s="119"/>
      <c r="C212" s="77" t="s">
        <v>1368</v>
      </c>
      <c r="D212" s="114">
        <v>2</v>
      </c>
      <c r="E212" s="83" t="str">
        <f t="shared" si="7"/>
        <v>EA</v>
      </c>
      <c r="F212" s="104"/>
      <c r="G212" s="104">
        <f t="shared" si="8"/>
        <v>0</v>
      </c>
    </row>
    <row r="213" spans="1:7" ht="20.100000000000001" customHeight="1" x14ac:dyDescent="0.25">
      <c r="A213" s="116" t="s">
        <v>44</v>
      </c>
      <c r="B213" s="118" t="s">
        <v>1136</v>
      </c>
      <c r="C213" s="77" t="s">
        <v>1369</v>
      </c>
      <c r="D213" s="114">
        <v>52</v>
      </c>
      <c r="E213" s="83" t="str">
        <f t="shared" si="7"/>
        <v>EA</v>
      </c>
      <c r="F213" s="104"/>
      <c r="G213" s="104">
        <f t="shared" si="8"/>
        <v>0</v>
      </c>
    </row>
    <row r="214" spans="1:7" ht="20.100000000000001" customHeight="1" x14ac:dyDescent="0.25">
      <c r="A214" s="117"/>
      <c r="B214" s="119"/>
      <c r="C214" s="77" t="s">
        <v>1370</v>
      </c>
      <c r="D214" s="114">
        <v>11</v>
      </c>
      <c r="E214" s="83" t="str">
        <f t="shared" si="7"/>
        <v>EA</v>
      </c>
      <c r="F214" s="104"/>
      <c r="G214" s="104">
        <f t="shared" si="8"/>
        <v>0</v>
      </c>
    </row>
    <row r="215" spans="1:7" ht="20.100000000000001" customHeight="1" x14ac:dyDescent="0.25">
      <c r="A215" s="117"/>
      <c r="B215" s="119"/>
      <c r="C215" s="77" t="s">
        <v>1371</v>
      </c>
      <c r="D215" s="114">
        <v>16</v>
      </c>
      <c r="E215" s="83" t="str">
        <f t="shared" si="7"/>
        <v>EA</v>
      </c>
      <c r="F215" s="104"/>
      <c r="G215" s="104">
        <f t="shared" si="8"/>
        <v>0</v>
      </c>
    </row>
    <row r="216" spans="1:7" ht="20.100000000000001" customHeight="1" x14ac:dyDescent="0.25">
      <c r="A216" s="117"/>
      <c r="B216" s="119"/>
      <c r="C216" s="77" t="s">
        <v>1372</v>
      </c>
      <c r="D216" s="114">
        <v>37</v>
      </c>
      <c r="E216" s="83" t="str">
        <f t="shared" si="7"/>
        <v>EA</v>
      </c>
      <c r="F216" s="104"/>
      <c r="G216" s="104">
        <f t="shared" si="8"/>
        <v>0</v>
      </c>
    </row>
    <row r="217" spans="1:7" ht="20.100000000000001" customHeight="1" x14ac:dyDescent="0.25">
      <c r="A217" s="117"/>
      <c r="B217" s="119"/>
      <c r="C217" s="77" t="s">
        <v>1373</v>
      </c>
      <c r="D217" s="114">
        <v>1</v>
      </c>
      <c r="E217" s="83" t="str">
        <f t="shared" si="7"/>
        <v>EA</v>
      </c>
      <c r="F217" s="104"/>
      <c r="G217" s="104">
        <f t="shared" si="8"/>
        <v>0</v>
      </c>
    </row>
    <row r="218" spans="1:7" ht="20.100000000000001" customHeight="1" x14ac:dyDescent="0.25">
      <c r="A218" s="116" t="s">
        <v>43</v>
      </c>
      <c r="B218" s="118" t="s">
        <v>1527</v>
      </c>
      <c r="C218" s="77" t="s">
        <v>1374</v>
      </c>
      <c r="D218" s="114">
        <v>38</v>
      </c>
      <c r="E218" s="83" t="str">
        <f t="shared" si="7"/>
        <v>EA</v>
      </c>
      <c r="F218" s="104"/>
      <c r="G218" s="104">
        <f t="shared" si="8"/>
        <v>0</v>
      </c>
    </row>
    <row r="219" spans="1:7" ht="20.100000000000001" customHeight="1" x14ac:dyDescent="0.25">
      <c r="A219" s="117"/>
      <c r="B219" s="119"/>
      <c r="C219" s="77" t="s">
        <v>1375</v>
      </c>
      <c r="D219" s="114">
        <v>1</v>
      </c>
      <c r="E219" s="83" t="str">
        <f t="shared" si="7"/>
        <v>EA</v>
      </c>
      <c r="F219" s="104"/>
      <c r="G219" s="104">
        <f t="shared" si="8"/>
        <v>0</v>
      </c>
    </row>
    <row r="220" spans="1:7" ht="20.100000000000001" customHeight="1" x14ac:dyDescent="0.25">
      <c r="A220" s="117"/>
      <c r="B220" s="119"/>
      <c r="C220" s="77" t="s">
        <v>1376</v>
      </c>
      <c r="D220" s="114">
        <v>8</v>
      </c>
      <c r="E220" s="83" t="str">
        <f t="shared" si="7"/>
        <v>EA</v>
      </c>
      <c r="F220" s="104"/>
      <c r="G220" s="104">
        <f t="shared" si="8"/>
        <v>0</v>
      </c>
    </row>
    <row r="221" spans="1:7" ht="20.100000000000001" customHeight="1" x14ac:dyDescent="0.25">
      <c r="A221" s="117"/>
      <c r="B221" s="119"/>
      <c r="C221" s="77" t="s">
        <v>1377</v>
      </c>
      <c r="D221" s="114">
        <v>28</v>
      </c>
      <c r="E221" s="83" t="str">
        <f t="shared" si="7"/>
        <v>EA</v>
      </c>
      <c r="F221" s="104"/>
      <c r="G221" s="104">
        <f t="shared" si="8"/>
        <v>0</v>
      </c>
    </row>
    <row r="222" spans="1:7" ht="20.100000000000001" customHeight="1" x14ac:dyDescent="0.25">
      <c r="A222" s="117"/>
      <c r="B222" s="119"/>
      <c r="C222" s="77" t="s">
        <v>1378</v>
      </c>
      <c r="D222" s="114">
        <v>1</v>
      </c>
      <c r="E222" s="83" t="str">
        <f t="shared" si="7"/>
        <v>EA</v>
      </c>
      <c r="F222" s="104"/>
      <c r="G222" s="104">
        <f t="shared" si="8"/>
        <v>0</v>
      </c>
    </row>
    <row r="223" spans="1:7" ht="20.100000000000001" customHeight="1" x14ac:dyDescent="0.25">
      <c r="A223" s="117"/>
      <c r="B223" s="119"/>
      <c r="C223" s="77" t="s">
        <v>1379</v>
      </c>
      <c r="D223" s="114">
        <v>7</v>
      </c>
      <c r="E223" s="83" t="str">
        <f t="shared" si="7"/>
        <v>EA</v>
      </c>
      <c r="F223" s="104"/>
      <c r="G223" s="104">
        <f t="shared" si="8"/>
        <v>0</v>
      </c>
    </row>
    <row r="224" spans="1:7" ht="20.100000000000001" customHeight="1" x14ac:dyDescent="0.25">
      <c r="A224" s="116" t="s">
        <v>1098</v>
      </c>
      <c r="B224" s="118" t="s">
        <v>1137</v>
      </c>
      <c r="C224" s="77" t="s">
        <v>1380</v>
      </c>
      <c r="D224" s="114">
        <v>18</v>
      </c>
      <c r="E224" s="83" t="str">
        <f t="shared" si="7"/>
        <v>EA</v>
      </c>
      <c r="F224" s="104"/>
      <c r="G224" s="104">
        <f t="shared" si="8"/>
        <v>0</v>
      </c>
    </row>
    <row r="225" spans="1:7" ht="20.100000000000001" customHeight="1" x14ac:dyDescent="0.25">
      <c r="A225" s="117"/>
      <c r="B225" s="119"/>
      <c r="C225" s="77" t="s">
        <v>1381</v>
      </c>
      <c r="D225" s="114">
        <v>7</v>
      </c>
      <c r="E225" s="83" t="str">
        <f t="shared" si="7"/>
        <v>EA</v>
      </c>
      <c r="F225" s="104"/>
      <c r="G225" s="104">
        <f t="shared" si="8"/>
        <v>0</v>
      </c>
    </row>
    <row r="226" spans="1:7" ht="20.100000000000001" customHeight="1" x14ac:dyDescent="0.25">
      <c r="A226" s="117"/>
      <c r="B226" s="119"/>
      <c r="C226" s="77" t="s">
        <v>1382</v>
      </c>
      <c r="D226" s="114">
        <v>1</v>
      </c>
      <c r="E226" s="83" t="str">
        <f t="shared" si="7"/>
        <v>EA</v>
      </c>
      <c r="F226" s="104"/>
      <c r="G226" s="104">
        <f t="shared" si="8"/>
        <v>0</v>
      </c>
    </row>
    <row r="227" spans="1:7" ht="20.100000000000001" customHeight="1" x14ac:dyDescent="0.25">
      <c r="A227" s="117"/>
      <c r="B227" s="119"/>
      <c r="C227" s="77" t="s">
        <v>1383</v>
      </c>
      <c r="D227" s="114">
        <v>29</v>
      </c>
      <c r="E227" s="83" t="str">
        <f t="shared" si="7"/>
        <v>EA</v>
      </c>
      <c r="F227" s="104"/>
      <c r="G227" s="104">
        <f t="shared" si="8"/>
        <v>0</v>
      </c>
    </row>
    <row r="228" spans="1:7" ht="20.100000000000001" customHeight="1" x14ac:dyDescent="0.25">
      <c r="A228" s="117"/>
      <c r="B228" s="119"/>
      <c r="C228" s="77" t="s">
        <v>1384</v>
      </c>
      <c r="D228" s="114">
        <v>1</v>
      </c>
      <c r="E228" s="83" t="str">
        <f t="shared" si="7"/>
        <v>EA</v>
      </c>
      <c r="F228" s="104"/>
      <c r="G228" s="104">
        <f t="shared" si="8"/>
        <v>0</v>
      </c>
    </row>
    <row r="229" spans="1:7" ht="20.100000000000001" customHeight="1" x14ac:dyDescent="0.25">
      <c r="A229" s="117"/>
      <c r="B229" s="119"/>
      <c r="C229" s="77" t="s">
        <v>1385</v>
      </c>
      <c r="D229" s="114">
        <v>1</v>
      </c>
      <c r="E229" s="83" t="str">
        <f t="shared" si="7"/>
        <v>EA</v>
      </c>
      <c r="F229" s="104"/>
      <c r="G229" s="104">
        <f t="shared" si="8"/>
        <v>0</v>
      </c>
    </row>
    <row r="230" spans="1:7" ht="20.100000000000001" customHeight="1" x14ac:dyDescent="0.25">
      <c r="A230" s="117" t="s">
        <v>1587</v>
      </c>
      <c r="B230" s="119" t="s">
        <v>1591</v>
      </c>
      <c r="C230" s="77" t="s">
        <v>1583</v>
      </c>
      <c r="D230" s="114">
        <v>1</v>
      </c>
      <c r="E230" s="83" t="str">
        <f t="shared" si="7"/>
        <v>EA</v>
      </c>
      <c r="F230" s="104"/>
      <c r="G230" s="104">
        <f t="shared" si="8"/>
        <v>0</v>
      </c>
    </row>
    <row r="231" spans="1:7" ht="20.100000000000001" customHeight="1" x14ac:dyDescent="0.25">
      <c r="A231" s="117"/>
      <c r="B231" s="119"/>
      <c r="C231" s="77" t="s">
        <v>1584</v>
      </c>
      <c r="D231" s="114">
        <v>1</v>
      </c>
      <c r="E231" s="83" t="str">
        <f t="shared" si="7"/>
        <v>EA</v>
      </c>
      <c r="F231" s="104"/>
      <c r="G231" s="104">
        <f t="shared" si="8"/>
        <v>0</v>
      </c>
    </row>
    <row r="232" spans="1:7" ht="20.100000000000001" customHeight="1" x14ac:dyDescent="0.25">
      <c r="A232" s="117"/>
      <c r="B232" s="119"/>
      <c r="C232" s="77" t="s">
        <v>1586</v>
      </c>
      <c r="D232" s="114">
        <v>1</v>
      </c>
      <c r="E232" s="83" t="str">
        <f t="shared" si="7"/>
        <v>EA</v>
      </c>
      <c r="F232" s="104"/>
      <c r="G232" s="104">
        <f t="shared" si="8"/>
        <v>0</v>
      </c>
    </row>
    <row r="233" spans="1:7" ht="20.100000000000001" customHeight="1" x14ac:dyDescent="0.25">
      <c r="A233" s="117"/>
      <c r="B233" s="119"/>
      <c r="C233" s="77" t="s">
        <v>1585</v>
      </c>
      <c r="D233" s="114">
        <v>1</v>
      </c>
      <c r="E233" s="83" t="str">
        <f t="shared" si="7"/>
        <v>EA</v>
      </c>
      <c r="F233" s="104"/>
      <c r="G233" s="104">
        <f t="shared" si="8"/>
        <v>0</v>
      </c>
    </row>
    <row r="234" spans="1:7" ht="20.100000000000001" customHeight="1" x14ac:dyDescent="0.25">
      <c r="A234" s="116" t="s">
        <v>42</v>
      </c>
      <c r="B234" s="118" t="s">
        <v>1138</v>
      </c>
      <c r="C234" s="77" t="s">
        <v>1386</v>
      </c>
      <c r="D234" s="114">
        <v>1</v>
      </c>
      <c r="E234" s="83" t="str">
        <f t="shared" si="7"/>
        <v>EA</v>
      </c>
      <c r="F234" s="104"/>
      <c r="G234" s="104">
        <f t="shared" si="8"/>
        <v>0</v>
      </c>
    </row>
    <row r="235" spans="1:7" ht="20.100000000000001" customHeight="1" x14ac:dyDescent="0.25">
      <c r="A235" s="117"/>
      <c r="B235" s="119"/>
      <c r="C235" s="77" t="s">
        <v>1387</v>
      </c>
      <c r="D235" s="114">
        <v>4</v>
      </c>
      <c r="E235" s="83" t="str">
        <f t="shared" si="7"/>
        <v>EA</v>
      </c>
      <c r="F235" s="104"/>
      <c r="G235" s="104">
        <f t="shared" si="8"/>
        <v>0</v>
      </c>
    </row>
    <row r="236" spans="1:7" ht="53.25" customHeight="1" x14ac:dyDescent="0.25">
      <c r="A236" s="117"/>
      <c r="B236" s="119"/>
      <c r="C236" s="77" t="s">
        <v>1388</v>
      </c>
      <c r="D236" s="114">
        <v>2</v>
      </c>
      <c r="E236" s="83" t="str">
        <f t="shared" si="7"/>
        <v>EA</v>
      </c>
      <c r="F236" s="104"/>
      <c r="G236" s="104">
        <f t="shared" si="8"/>
        <v>0</v>
      </c>
    </row>
    <row r="237" spans="1:7" ht="20.100000000000001" customHeight="1" x14ac:dyDescent="0.25">
      <c r="A237" s="116" t="s">
        <v>41</v>
      </c>
      <c r="B237" s="118" t="s">
        <v>1236</v>
      </c>
      <c r="C237" s="77" t="s">
        <v>1390</v>
      </c>
      <c r="D237" s="114">
        <v>95</v>
      </c>
      <c r="E237" s="83" t="str">
        <f t="shared" si="7"/>
        <v>EA</v>
      </c>
      <c r="F237" s="104"/>
      <c r="G237" s="104">
        <f t="shared" si="8"/>
        <v>0</v>
      </c>
    </row>
    <row r="238" spans="1:7" ht="20.100000000000001" customHeight="1" x14ac:dyDescent="0.25">
      <c r="A238" s="117"/>
      <c r="B238" s="119"/>
      <c r="C238" s="77" t="s">
        <v>1389</v>
      </c>
      <c r="D238" s="114">
        <v>16</v>
      </c>
      <c r="E238" s="83" t="str">
        <f t="shared" si="7"/>
        <v>EA</v>
      </c>
      <c r="F238" s="104"/>
      <c r="G238" s="104">
        <f t="shared" si="8"/>
        <v>0</v>
      </c>
    </row>
    <row r="239" spans="1:7" ht="20.100000000000001" customHeight="1" x14ac:dyDescent="0.25">
      <c r="A239" s="117"/>
      <c r="B239" s="119"/>
      <c r="C239" s="77" t="s">
        <v>1391</v>
      </c>
      <c r="D239" s="114">
        <v>68</v>
      </c>
      <c r="E239" s="83" t="str">
        <f t="shared" si="7"/>
        <v>EA</v>
      </c>
      <c r="F239" s="104"/>
      <c r="G239" s="104">
        <f t="shared" si="8"/>
        <v>0</v>
      </c>
    </row>
    <row r="240" spans="1:7" ht="20.100000000000001" customHeight="1" x14ac:dyDescent="0.25">
      <c r="A240" s="117"/>
      <c r="B240" s="119"/>
      <c r="C240" s="77" t="s">
        <v>1392</v>
      </c>
      <c r="D240" s="114">
        <v>530</v>
      </c>
      <c r="E240" s="83" t="str">
        <f t="shared" si="7"/>
        <v>EA</v>
      </c>
      <c r="F240" s="104"/>
      <c r="G240" s="104">
        <f t="shared" si="8"/>
        <v>0</v>
      </c>
    </row>
    <row r="241" spans="1:7" ht="20.100000000000001" customHeight="1" x14ac:dyDescent="0.25">
      <c r="A241" s="117"/>
      <c r="B241" s="119"/>
      <c r="C241" s="77" t="s">
        <v>1393</v>
      </c>
      <c r="D241" s="114">
        <v>1</v>
      </c>
      <c r="E241" s="83" t="str">
        <f t="shared" si="7"/>
        <v>EA</v>
      </c>
      <c r="F241" s="104"/>
      <c r="G241" s="104">
        <f t="shared" si="8"/>
        <v>0</v>
      </c>
    </row>
    <row r="242" spans="1:7" ht="20.100000000000001" customHeight="1" x14ac:dyDescent="0.25">
      <c r="A242" s="117"/>
      <c r="B242" s="119"/>
      <c r="C242" s="77" t="s">
        <v>1394</v>
      </c>
      <c r="D242" s="114">
        <v>80</v>
      </c>
      <c r="E242" s="83" t="str">
        <f t="shared" si="7"/>
        <v>EA</v>
      </c>
      <c r="F242" s="104"/>
      <c r="G242" s="104">
        <f t="shared" si="8"/>
        <v>0</v>
      </c>
    </row>
    <row r="243" spans="1:7" ht="20.100000000000001" customHeight="1" x14ac:dyDescent="0.25">
      <c r="A243" s="117"/>
      <c r="B243" s="119"/>
      <c r="C243" s="77" t="s">
        <v>1395</v>
      </c>
      <c r="D243" s="114">
        <v>6680</v>
      </c>
      <c r="E243" s="83" t="s">
        <v>1053</v>
      </c>
      <c r="F243" s="104"/>
      <c r="G243" s="104">
        <f t="shared" si="8"/>
        <v>0</v>
      </c>
    </row>
    <row r="244" spans="1:7" ht="20.100000000000001" customHeight="1" x14ac:dyDescent="0.25">
      <c r="A244" s="117"/>
      <c r="B244" s="119"/>
      <c r="C244" s="77" t="s">
        <v>1396</v>
      </c>
      <c r="D244" s="114">
        <v>25950</v>
      </c>
      <c r="E244" s="83" t="s">
        <v>1053</v>
      </c>
      <c r="F244" s="104"/>
      <c r="G244" s="104">
        <f t="shared" si="8"/>
        <v>0</v>
      </c>
    </row>
    <row r="245" spans="1:7" ht="20.100000000000001" customHeight="1" x14ac:dyDescent="0.25">
      <c r="A245" s="116" t="s">
        <v>40</v>
      </c>
      <c r="B245" s="118" t="s">
        <v>1139</v>
      </c>
      <c r="C245" s="77" t="s">
        <v>1397</v>
      </c>
      <c r="D245" s="114">
        <v>5</v>
      </c>
      <c r="E245" s="83" t="str">
        <f t="shared" ref="E245:E273" si="9">IF(C245="C7","LB","EA")</f>
        <v>EA</v>
      </c>
      <c r="F245" s="104"/>
      <c r="G245" s="104">
        <f t="shared" si="8"/>
        <v>0</v>
      </c>
    </row>
    <row r="246" spans="1:7" ht="20.100000000000001" customHeight="1" x14ac:dyDescent="0.25">
      <c r="A246" s="117"/>
      <c r="B246" s="119"/>
      <c r="C246" s="77" t="s">
        <v>1398</v>
      </c>
      <c r="D246" s="114">
        <v>2</v>
      </c>
      <c r="E246" s="83" t="str">
        <f t="shared" si="9"/>
        <v>EA</v>
      </c>
      <c r="F246" s="104"/>
      <c r="G246" s="104">
        <f t="shared" si="8"/>
        <v>0</v>
      </c>
    </row>
    <row r="247" spans="1:7" ht="20.100000000000001" customHeight="1" x14ac:dyDescent="0.25">
      <c r="A247" s="117"/>
      <c r="B247" s="119"/>
      <c r="C247" s="77" t="s">
        <v>1399</v>
      </c>
      <c r="D247" s="114">
        <v>7</v>
      </c>
      <c r="E247" s="83" t="str">
        <f t="shared" si="9"/>
        <v>EA</v>
      </c>
      <c r="F247" s="104"/>
      <c r="G247" s="104">
        <f t="shared" si="8"/>
        <v>0</v>
      </c>
    </row>
    <row r="248" spans="1:7" ht="20.100000000000001" customHeight="1" x14ac:dyDescent="0.25">
      <c r="A248" s="117"/>
      <c r="B248" s="119"/>
      <c r="C248" s="77" t="s">
        <v>1400</v>
      </c>
      <c r="D248" s="114">
        <v>11</v>
      </c>
      <c r="E248" s="83" t="str">
        <f t="shared" si="9"/>
        <v>EA</v>
      </c>
      <c r="F248" s="104"/>
      <c r="G248" s="104">
        <f t="shared" si="8"/>
        <v>0</v>
      </c>
    </row>
    <row r="249" spans="1:7" ht="20.100000000000001" customHeight="1" x14ac:dyDescent="0.25">
      <c r="A249" s="117"/>
      <c r="B249" s="119"/>
      <c r="C249" s="77" t="s">
        <v>1401</v>
      </c>
      <c r="D249" s="114">
        <v>2</v>
      </c>
      <c r="E249" s="83" t="str">
        <f t="shared" si="9"/>
        <v>EA</v>
      </c>
      <c r="F249" s="104"/>
      <c r="G249" s="104">
        <f t="shared" si="8"/>
        <v>0</v>
      </c>
    </row>
    <row r="250" spans="1:7" ht="20.100000000000001" customHeight="1" x14ac:dyDescent="0.25">
      <c r="A250" s="116" t="s">
        <v>39</v>
      </c>
      <c r="B250" s="118" t="s">
        <v>1140</v>
      </c>
      <c r="C250" s="77" t="s">
        <v>1402</v>
      </c>
      <c r="D250" s="114">
        <v>83</v>
      </c>
      <c r="E250" s="83" t="str">
        <f t="shared" si="9"/>
        <v>EA</v>
      </c>
      <c r="F250" s="104"/>
      <c r="G250" s="104">
        <f t="shared" si="8"/>
        <v>0</v>
      </c>
    </row>
    <row r="251" spans="1:7" ht="20.100000000000001" customHeight="1" x14ac:dyDescent="0.25">
      <c r="A251" s="117"/>
      <c r="B251" s="119"/>
      <c r="C251" s="77" t="s">
        <v>1403</v>
      </c>
      <c r="D251" s="114">
        <v>23</v>
      </c>
      <c r="E251" s="83" t="str">
        <f t="shared" si="9"/>
        <v>EA</v>
      </c>
      <c r="F251" s="104"/>
      <c r="G251" s="104">
        <f t="shared" si="8"/>
        <v>0</v>
      </c>
    </row>
    <row r="252" spans="1:7" ht="20.100000000000001" customHeight="1" x14ac:dyDescent="0.25">
      <c r="A252" s="117"/>
      <c r="B252" s="119"/>
      <c r="C252" s="77" t="s">
        <v>1404</v>
      </c>
      <c r="D252" s="114">
        <v>30</v>
      </c>
      <c r="E252" s="83" t="str">
        <f t="shared" si="9"/>
        <v>EA</v>
      </c>
      <c r="F252" s="104"/>
      <c r="G252" s="104">
        <f t="shared" si="8"/>
        <v>0</v>
      </c>
    </row>
    <row r="253" spans="1:7" ht="20.100000000000001" customHeight="1" x14ac:dyDescent="0.25">
      <c r="A253" s="117"/>
      <c r="B253" s="119"/>
      <c r="C253" s="77" t="s">
        <v>1405</v>
      </c>
      <c r="D253" s="114">
        <v>108</v>
      </c>
      <c r="E253" s="83" t="str">
        <f t="shared" si="9"/>
        <v>EA</v>
      </c>
      <c r="F253" s="104"/>
      <c r="G253" s="104">
        <f t="shared" si="8"/>
        <v>0</v>
      </c>
    </row>
    <row r="254" spans="1:7" ht="20.100000000000001" customHeight="1" x14ac:dyDescent="0.25">
      <c r="A254" s="117"/>
      <c r="B254" s="119"/>
      <c r="C254" s="77" t="s">
        <v>1406</v>
      </c>
      <c r="D254" s="114">
        <v>1</v>
      </c>
      <c r="E254" s="83" t="str">
        <f t="shared" si="9"/>
        <v>EA</v>
      </c>
      <c r="F254" s="104"/>
      <c r="G254" s="104">
        <f t="shared" si="8"/>
        <v>0</v>
      </c>
    </row>
    <row r="255" spans="1:7" ht="20.100000000000001" customHeight="1" x14ac:dyDescent="0.25">
      <c r="A255" s="117"/>
      <c r="B255" s="119"/>
      <c r="C255" s="77" t="s">
        <v>1407</v>
      </c>
      <c r="D255" s="114">
        <v>2</v>
      </c>
      <c r="E255" s="83" t="str">
        <f t="shared" si="9"/>
        <v>EA</v>
      </c>
      <c r="F255" s="104"/>
      <c r="G255" s="104">
        <f t="shared" si="8"/>
        <v>0</v>
      </c>
    </row>
    <row r="256" spans="1:7" ht="20.100000000000001" customHeight="1" x14ac:dyDescent="0.25">
      <c r="A256" s="117"/>
      <c r="B256" s="119"/>
      <c r="C256" s="77" t="s">
        <v>1408</v>
      </c>
      <c r="D256" s="114">
        <v>1</v>
      </c>
      <c r="E256" s="83" t="str">
        <f t="shared" si="9"/>
        <v>EA</v>
      </c>
      <c r="F256" s="104"/>
      <c r="G256" s="104">
        <f t="shared" si="8"/>
        <v>0</v>
      </c>
    </row>
    <row r="257" spans="1:7" ht="20.100000000000001" customHeight="1" x14ac:dyDescent="0.25">
      <c r="A257" s="117"/>
      <c r="B257" s="119"/>
      <c r="C257" s="77" t="s">
        <v>1409</v>
      </c>
      <c r="D257" s="114">
        <v>1</v>
      </c>
      <c r="E257" s="83" t="str">
        <f t="shared" si="9"/>
        <v>EA</v>
      </c>
      <c r="F257" s="104"/>
      <c r="G257" s="104">
        <f t="shared" si="8"/>
        <v>0</v>
      </c>
    </row>
    <row r="258" spans="1:7" ht="20.100000000000001" customHeight="1" x14ac:dyDescent="0.25">
      <c r="A258" s="117"/>
      <c r="B258" s="119"/>
      <c r="C258" s="77" t="s">
        <v>1410</v>
      </c>
      <c r="D258" s="114">
        <v>1500</v>
      </c>
      <c r="E258" s="83" t="s">
        <v>1238</v>
      </c>
      <c r="F258" s="104"/>
      <c r="G258" s="104">
        <f t="shared" si="8"/>
        <v>0</v>
      </c>
    </row>
    <row r="259" spans="1:7" ht="20.100000000000001" customHeight="1" x14ac:dyDescent="0.25">
      <c r="A259" s="116" t="s">
        <v>38</v>
      </c>
      <c r="B259" s="118" t="s">
        <v>1141</v>
      </c>
      <c r="C259" s="77" t="s">
        <v>1411</v>
      </c>
      <c r="D259" s="114">
        <v>16</v>
      </c>
      <c r="E259" s="83" t="str">
        <f t="shared" si="9"/>
        <v>EA</v>
      </c>
      <c r="F259" s="104"/>
      <c r="G259" s="104">
        <f t="shared" si="8"/>
        <v>0</v>
      </c>
    </row>
    <row r="260" spans="1:7" ht="20.100000000000001" customHeight="1" x14ac:dyDescent="0.25">
      <c r="A260" s="117"/>
      <c r="B260" s="119"/>
      <c r="C260" s="77" t="s">
        <v>1412</v>
      </c>
      <c r="D260" s="114">
        <v>3</v>
      </c>
      <c r="E260" s="83" t="str">
        <f t="shared" si="9"/>
        <v>EA</v>
      </c>
      <c r="F260" s="104"/>
      <c r="G260" s="104">
        <f t="shared" si="8"/>
        <v>0</v>
      </c>
    </row>
    <row r="261" spans="1:7" ht="20.100000000000001" customHeight="1" x14ac:dyDescent="0.25">
      <c r="A261" s="117"/>
      <c r="B261" s="119"/>
      <c r="C261" s="77" t="s">
        <v>1413</v>
      </c>
      <c r="D261" s="114">
        <v>25</v>
      </c>
      <c r="E261" s="83" t="str">
        <f t="shared" si="9"/>
        <v>EA</v>
      </c>
      <c r="F261" s="104"/>
      <c r="G261" s="104">
        <f t="shared" si="8"/>
        <v>0</v>
      </c>
    </row>
    <row r="262" spans="1:7" ht="20.100000000000001" customHeight="1" x14ac:dyDescent="0.25">
      <c r="A262" s="117"/>
      <c r="B262" s="119"/>
      <c r="C262" s="77" t="s">
        <v>1414</v>
      </c>
      <c r="D262" s="114">
        <v>55</v>
      </c>
      <c r="E262" s="83" t="str">
        <f t="shared" si="9"/>
        <v>EA</v>
      </c>
      <c r="F262" s="104"/>
      <c r="G262" s="104">
        <f t="shared" si="8"/>
        <v>0</v>
      </c>
    </row>
    <row r="263" spans="1:7" ht="20.100000000000001" customHeight="1" x14ac:dyDescent="0.25">
      <c r="A263" s="117"/>
      <c r="B263" s="119"/>
      <c r="C263" s="77" t="s">
        <v>1415</v>
      </c>
      <c r="D263" s="114">
        <v>1</v>
      </c>
      <c r="E263" s="83" t="str">
        <f t="shared" si="9"/>
        <v>EA</v>
      </c>
      <c r="F263" s="104"/>
      <c r="G263" s="104">
        <f t="shared" ref="G263:G326" si="10">F263*D263</f>
        <v>0</v>
      </c>
    </row>
    <row r="264" spans="1:7" ht="20.100000000000001" customHeight="1" x14ac:dyDescent="0.25">
      <c r="A264" s="116" t="s">
        <v>37</v>
      </c>
      <c r="B264" s="118" t="s">
        <v>1142</v>
      </c>
      <c r="C264" s="77" t="s">
        <v>1416</v>
      </c>
      <c r="D264" s="114">
        <v>18</v>
      </c>
      <c r="E264" s="83" t="str">
        <f t="shared" si="9"/>
        <v>EA</v>
      </c>
      <c r="F264" s="104"/>
      <c r="G264" s="104">
        <f t="shared" si="10"/>
        <v>0</v>
      </c>
    </row>
    <row r="265" spans="1:7" ht="20.100000000000001" customHeight="1" x14ac:dyDescent="0.25">
      <c r="A265" s="117"/>
      <c r="B265" s="119"/>
      <c r="C265" s="77" t="s">
        <v>1417</v>
      </c>
      <c r="D265" s="114">
        <v>3</v>
      </c>
      <c r="E265" s="83" t="str">
        <f t="shared" si="9"/>
        <v>EA</v>
      </c>
      <c r="F265" s="104"/>
      <c r="G265" s="104">
        <f t="shared" si="10"/>
        <v>0</v>
      </c>
    </row>
    <row r="266" spans="1:7" ht="20.100000000000001" customHeight="1" x14ac:dyDescent="0.25">
      <c r="A266" s="117"/>
      <c r="B266" s="119"/>
      <c r="C266" s="77" t="s">
        <v>1418</v>
      </c>
      <c r="D266" s="114">
        <v>8</v>
      </c>
      <c r="E266" s="83" t="str">
        <f t="shared" si="9"/>
        <v>EA</v>
      </c>
      <c r="F266" s="104"/>
      <c r="G266" s="104">
        <f t="shared" si="10"/>
        <v>0</v>
      </c>
    </row>
    <row r="267" spans="1:7" ht="20.100000000000001" customHeight="1" x14ac:dyDescent="0.25">
      <c r="A267" s="117"/>
      <c r="B267" s="119"/>
      <c r="C267" s="77" t="s">
        <v>1419</v>
      </c>
      <c r="D267" s="114">
        <v>102</v>
      </c>
      <c r="E267" s="83" t="str">
        <f t="shared" si="9"/>
        <v>EA</v>
      </c>
      <c r="F267" s="104"/>
      <c r="G267" s="104">
        <f t="shared" si="10"/>
        <v>0</v>
      </c>
    </row>
    <row r="268" spans="1:7" ht="20.100000000000001" customHeight="1" x14ac:dyDescent="0.25">
      <c r="A268" s="117"/>
      <c r="B268" s="119"/>
      <c r="C268" s="77" t="s">
        <v>1420</v>
      </c>
      <c r="D268" s="114">
        <v>1</v>
      </c>
      <c r="E268" s="83" t="str">
        <f t="shared" si="9"/>
        <v>EA</v>
      </c>
      <c r="F268" s="104"/>
      <c r="G268" s="104">
        <f t="shared" si="10"/>
        <v>0</v>
      </c>
    </row>
    <row r="269" spans="1:7" ht="20.100000000000001" customHeight="1" x14ac:dyDescent="0.25">
      <c r="A269" s="117"/>
      <c r="B269" s="119"/>
      <c r="C269" s="77" t="s">
        <v>1421</v>
      </c>
      <c r="D269" s="114">
        <v>1</v>
      </c>
      <c r="E269" s="83" t="str">
        <f t="shared" si="9"/>
        <v>EA</v>
      </c>
      <c r="F269" s="104"/>
      <c r="G269" s="104">
        <f t="shared" si="10"/>
        <v>0</v>
      </c>
    </row>
    <row r="270" spans="1:7" ht="20.100000000000001" customHeight="1" x14ac:dyDescent="0.25">
      <c r="A270" s="117"/>
      <c r="B270" s="119"/>
      <c r="C270" s="77" t="s">
        <v>1422</v>
      </c>
      <c r="D270" s="114">
        <v>12</v>
      </c>
      <c r="E270" s="83" t="str">
        <f t="shared" si="9"/>
        <v>EA</v>
      </c>
      <c r="F270" s="104"/>
      <c r="G270" s="104">
        <f t="shared" si="10"/>
        <v>0</v>
      </c>
    </row>
    <row r="271" spans="1:7" ht="20.100000000000001" customHeight="1" x14ac:dyDescent="0.25">
      <c r="A271" s="117"/>
      <c r="B271" s="119"/>
      <c r="C271" s="77" t="s">
        <v>1423</v>
      </c>
      <c r="D271" s="114">
        <v>1500</v>
      </c>
      <c r="E271" s="83" t="s">
        <v>1238</v>
      </c>
      <c r="F271" s="104"/>
      <c r="G271" s="104">
        <f t="shared" si="10"/>
        <v>0</v>
      </c>
    </row>
    <row r="272" spans="1:7" ht="20.100000000000001" customHeight="1" x14ac:dyDescent="0.25">
      <c r="A272" s="117"/>
      <c r="B272" s="119"/>
      <c r="C272" s="77" t="s">
        <v>1424</v>
      </c>
      <c r="D272" s="114">
        <v>1040</v>
      </c>
      <c r="E272" s="83" t="s">
        <v>1239</v>
      </c>
      <c r="F272" s="104"/>
      <c r="G272" s="104">
        <f t="shared" si="10"/>
        <v>0</v>
      </c>
    </row>
    <row r="273" spans="1:7" ht="69" customHeight="1" x14ac:dyDescent="0.25">
      <c r="A273" s="78" t="s">
        <v>36</v>
      </c>
      <c r="B273" s="76" t="s">
        <v>1143</v>
      </c>
      <c r="C273" s="77" t="s">
        <v>1425</v>
      </c>
      <c r="D273" s="114">
        <v>18</v>
      </c>
      <c r="E273" s="83" t="str">
        <f t="shared" si="9"/>
        <v>EA</v>
      </c>
      <c r="F273" s="104"/>
      <c r="G273" s="104">
        <f t="shared" si="10"/>
        <v>0</v>
      </c>
    </row>
    <row r="274" spans="1:7" ht="100.5" customHeight="1" x14ac:dyDescent="0.25">
      <c r="A274" s="78" t="s">
        <v>35</v>
      </c>
      <c r="B274" s="76" t="s">
        <v>1144</v>
      </c>
      <c r="C274" s="77" t="s">
        <v>1426</v>
      </c>
      <c r="D274" s="114">
        <v>250</v>
      </c>
      <c r="E274" s="83" t="s">
        <v>1053</v>
      </c>
      <c r="F274" s="104"/>
      <c r="G274" s="104">
        <f t="shared" si="10"/>
        <v>0</v>
      </c>
    </row>
    <row r="275" spans="1:7" ht="78.75" x14ac:dyDescent="0.25">
      <c r="A275" s="78" t="s">
        <v>34</v>
      </c>
      <c r="B275" s="76" t="s">
        <v>1145</v>
      </c>
      <c r="C275" s="77" t="s">
        <v>1427</v>
      </c>
      <c r="D275" s="114">
        <v>250</v>
      </c>
      <c r="E275" s="83" t="s">
        <v>1054</v>
      </c>
      <c r="F275" s="104"/>
      <c r="G275" s="104">
        <f t="shared" si="10"/>
        <v>0</v>
      </c>
    </row>
    <row r="276" spans="1:7" ht="63" x14ac:dyDescent="0.25">
      <c r="A276" s="78" t="s">
        <v>33</v>
      </c>
      <c r="B276" s="76" t="s">
        <v>1146</v>
      </c>
      <c r="C276" s="77" t="s">
        <v>1428</v>
      </c>
      <c r="D276" s="114">
        <v>25</v>
      </c>
      <c r="E276" s="83" t="s">
        <v>1054</v>
      </c>
      <c r="F276" s="104"/>
      <c r="G276" s="104">
        <f t="shared" si="10"/>
        <v>0</v>
      </c>
    </row>
    <row r="277" spans="1:7" s="79" customFormat="1" ht="63" x14ac:dyDescent="0.25">
      <c r="A277" s="78" t="s">
        <v>32</v>
      </c>
      <c r="B277" s="76" t="s">
        <v>1147</v>
      </c>
      <c r="C277" s="77" t="s">
        <v>1429</v>
      </c>
      <c r="D277" s="114">
        <v>25</v>
      </c>
      <c r="E277" s="83" t="s">
        <v>1054</v>
      </c>
      <c r="F277" s="104"/>
      <c r="G277" s="104">
        <f t="shared" si="10"/>
        <v>0</v>
      </c>
    </row>
    <row r="278" spans="1:7" ht="63" x14ac:dyDescent="0.25">
      <c r="A278" s="78" t="s">
        <v>31</v>
      </c>
      <c r="B278" s="76" t="s">
        <v>1148</v>
      </c>
      <c r="C278" s="77" t="s">
        <v>1430</v>
      </c>
      <c r="D278" s="114">
        <v>25</v>
      </c>
      <c r="E278" s="83" t="s">
        <v>1054</v>
      </c>
      <c r="F278" s="104"/>
      <c r="G278" s="104">
        <f t="shared" si="10"/>
        <v>0</v>
      </c>
    </row>
    <row r="279" spans="1:7" ht="47.25" x14ac:dyDescent="0.25">
      <c r="A279" s="78" t="s">
        <v>30</v>
      </c>
      <c r="B279" s="76" t="s">
        <v>1149</v>
      </c>
      <c r="C279" s="77" t="s">
        <v>1431</v>
      </c>
      <c r="D279" s="114">
        <v>25</v>
      </c>
      <c r="E279" s="83" t="s">
        <v>1054</v>
      </c>
      <c r="F279" s="104"/>
      <c r="G279" s="104">
        <f t="shared" si="10"/>
        <v>0</v>
      </c>
    </row>
    <row r="280" spans="1:7" ht="78.75" x14ac:dyDescent="0.25">
      <c r="A280" s="78" t="s">
        <v>29</v>
      </c>
      <c r="B280" s="76" t="s">
        <v>1150</v>
      </c>
      <c r="C280" s="77" t="s">
        <v>1432</v>
      </c>
      <c r="D280" s="114">
        <v>25</v>
      </c>
      <c r="E280" s="83" t="s">
        <v>1054</v>
      </c>
      <c r="F280" s="104"/>
      <c r="G280" s="104">
        <f t="shared" si="10"/>
        <v>0</v>
      </c>
    </row>
    <row r="281" spans="1:7" ht="78.75" x14ac:dyDescent="0.25">
      <c r="A281" s="78" t="s">
        <v>28</v>
      </c>
      <c r="B281" s="76" t="s">
        <v>1151</v>
      </c>
      <c r="C281" s="77" t="s">
        <v>1433</v>
      </c>
      <c r="D281" s="114">
        <v>340</v>
      </c>
      <c r="E281" s="83" t="s">
        <v>1054</v>
      </c>
      <c r="F281" s="104"/>
      <c r="G281" s="104">
        <f t="shared" si="10"/>
        <v>0</v>
      </c>
    </row>
    <row r="282" spans="1:7" ht="78.75" x14ac:dyDescent="0.25">
      <c r="A282" s="78" t="s">
        <v>1092</v>
      </c>
      <c r="B282" s="76" t="s">
        <v>1152</v>
      </c>
      <c r="C282" s="77" t="s">
        <v>1434</v>
      </c>
      <c r="D282" s="114">
        <v>10</v>
      </c>
      <c r="E282" s="83" t="s">
        <v>1054</v>
      </c>
      <c r="F282" s="104"/>
      <c r="G282" s="104">
        <f t="shared" si="10"/>
        <v>0</v>
      </c>
    </row>
    <row r="283" spans="1:7" ht="94.5" x14ac:dyDescent="0.25">
      <c r="A283" s="78" t="s">
        <v>1093</v>
      </c>
      <c r="B283" s="76" t="s">
        <v>1153</v>
      </c>
      <c r="C283" s="77" t="s">
        <v>1435</v>
      </c>
      <c r="D283" s="114">
        <v>40</v>
      </c>
      <c r="E283" s="83" t="s">
        <v>1054</v>
      </c>
      <c r="F283" s="104"/>
      <c r="G283" s="104">
        <f t="shared" si="10"/>
        <v>0</v>
      </c>
    </row>
    <row r="284" spans="1:7" ht="99.75" customHeight="1" x14ac:dyDescent="0.25">
      <c r="A284" s="78" t="s">
        <v>1094</v>
      </c>
      <c r="B284" s="76" t="s">
        <v>1154</v>
      </c>
      <c r="C284" s="77" t="s">
        <v>1436</v>
      </c>
      <c r="D284" s="114">
        <v>100</v>
      </c>
      <c r="E284" s="83" t="s">
        <v>1054</v>
      </c>
      <c r="F284" s="104"/>
      <c r="G284" s="104">
        <f t="shared" si="10"/>
        <v>0</v>
      </c>
    </row>
    <row r="285" spans="1:7" ht="94.5" x14ac:dyDescent="0.25">
      <c r="A285" s="78" t="s">
        <v>1095</v>
      </c>
      <c r="B285" s="76" t="s">
        <v>1155</v>
      </c>
      <c r="C285" s="77" t="s">
        <v>1437</v>
      </c>
      <c r="D285" s="114">
        <v>100</v>
      </c>
      <c r="E285" s="83" t="s">
        <v>1054</v>
      </c>
      <c r="F285" s="104"/>
      <c r="G285" s="104">
        <f t="shared" si="10"/>
        <v>0</v>
      </c>
    </row>
    <row r="286" spans="1:7" s="108" customFormat="1" ht="20.100000000000001" customHeight="1" x14ac:dyDescent="0.25">
      <c r="A286" s="120" t="s">
        <v>1044</v>
      </c>
      <c r="B286" s="118" t="s">
        <v>1658</v>
      </c>
      <c r="C286" s="77" t="s">
        <v>1438</v>
      </c>
      <c r="D286" s="106">
        <v>7</v>
      </c>
      <c r="E286" s="107" t="s">
        <v>1051</v>
      </c>
      <c r="F286" s="104"/>
      <c r="G286" s="104">
        <f t="shared" si="10"/>
        <v>0</v>
      </c>
    </row>
    <row r="287" spans="1:7" s="108" customFormat="1" ht="20.100000000000001" customHeight="1" x14ac:dyDescent="0.25">
      <c r="A287" s="120"/>
      <c r="B287" s="118"/>
      <c r="C287" s="77" t="s">
        <v>1593</v>
      </c>
      <c r="D287" s="106">
        <v>5</v>
      </c>
      <c r="E287" s="107" t="s">
        <v>1051</v>
      </c>
      <c r="F287" s="104"/>
      <c r="G287" s="104">
        <f t="shared" si="10"/>
        <v>0</v>
      </c>
    </row>
    <row r="288" spans="1:7" s="108" customFormat="1" ht="20.100000000000001" customHeight="1" x14ac:dyDescent="0.25">
      <c r="A288" s="120"/>
      <c r="B288" s="118"/>
      <c r="C288" s="77" t="s">
        <v>1439</v>
      </c>
      <c r="D288" s="106">
        <v>5</v>
      </c>
      <c r="E288" s="107" t="s">
        <v>1051</v>
      </c>
      <c r="F288" s="104"/>
      <c r="G288" s="104">
        <f t="shared" si="10"/>
        <v>0</v>
      </c>
    </row>
    <row r="289" spans="1:7" s="108" customFormat="1" ht="22.5" customHeight="1" x14ac:dyDescent="0.25">
      <c r="A289" s="120"/>
      <c r="B289" s="118"/>
      <c r="C289" s="77" t="s">
        <v>1440</v>
      </c>
      <c r="D289" s="106">
        <v>5000</v>
      </c>
      <c r="E289" s="107" t="s">
        <v>1238</v>
      </c>
      <c r="F289" s="104"/>
      <c r="G289" s="104">
        <f t="shared" si="10"/>
        <v>0</v>
      </c>
    </row>
    <row r="290" spans="1:7" s="108" customFormat="1" ht="39.950000000000003" customHeight="1" x14ac:dyDescent="0.25">
      <c r="A290" s="120" t="s">
        <v>1045</v>
      </c>
      <c r="B290" s="118" t="s">
        <v>1659</v>
      </c>
      <c r="C290" s="77" t="s">
        <v>1441</v>
      </c>
      <c r="D290" s="106">
        <v>5</v>
      </c>
      <c r="E290" s="107" t="s">
        <v>1051</v>
      </c>
      <c r="F290" s="104"/>
      <c r="G290" s="104">
        <f t="shared" si="10"/>
        <v>0</v>
      </c>
    </row>
    <row r="291" spans="1:7" s="108" customFormat="1" ht="56.25" customHeight="1" x14ac:dyDescent="0.25">
      <c r="A291" s="120"/>
      <c r="B291" s="118"/>
      <c r="C291" s="77" t="s">
        <v>1442</v>
      </c>
      <c r="D291" s="106">
        <v>2</v>
      </c>
      <c r="E291" s="107" t="s">
        <v>1051</v>
      </c>
      <c r="F291" s="104"/>
      <c r="G291" s="104">
        <f t="shared" si="10"/>
        <v>0</v>
      </c>
    </row>
    <row r="292" spans="1:7" s="108" customFormat="1" ht="21.6" customHeight="1" x14ac:dyDescent="0.25">
      <c r="A292" s="120" t="s">
        <v>1046</v>
      </c>
      <c r="B292" s="118" t="s">
        <v>1660</v>
      </c>
      <c r="C292" s="77" t="s">
        <v>1443</v>
      </c>
      <c r="D292" s="106">
        <v>5</v>
      </c>
      <c r="E292" s="107" t="s">
        <v>1051</v>
      </c>
      <c r="F292" s="104"/>
      <c r="G292" s="104">
        <f t="shared" si="10"/>
        <v>0</v>
      </c>
    </row>
    <row r="293" spans="1:7" s="108" customFormat="1" ht="21.6" customHeight="1" x14ac:dyDescent="0.25">
      <c r="A293" s="120"/>
      <c r="B293" s="118"/>
      <c r="C293" s="77" t="s">
        <v>1444</v>
      </c>
      <c r="D293" s="106">
        <v>5</v>
      </c>
      <c r="E293" s="107" t="s">
        <v>1051</v>
      </c>
      <c r="F293" s="104"/>
      <c r="G293" s="104">
        <f t="shared" si="10"/>
        <v>0</v>
      </c>
    </row>
    <row r="294" spans="1:7" s="108" customFormat="1" ht="21.6" customHeight="1" x14ac:dyDescent="0.25">
      <c r="A294" s="120"/>
      <c r="B294" s="118"/>
      <c r="C294" s="77" t="s">
        <v>1445</v>
      </c>
      <c r="D294" s="106">
        <v>5</v>
      </c>
      <c r="E294" s="107" t="s">
        <v>1051</v>
      </c>
      <c r="F294" s="104"/>
      <c r="G294" s="104">
        <f t="shared" si="10"/>
        <v>0</v>
      </c>
    </row>
    <row r="295" spans="1:7" s="108" customFormat="1" ht="36" customHeight="1" x14ac:dyDescent="0.25">
      <c r="A295" s="120"/>
      <c r="B295" s="118"/>
      <c r="C295" s="77" t="s">
        <v>1446</v>
      </c>
      <c r="D295" s="106">
        <v>5</v>
      </c>
      <c r="E295" s="107" t="s">
        <v>1051</v>
      </c>
      <c r="F295" s="104"/>
      <c r="G295" s="104">
        <f t="shared" si="10"/>
        <v>0</v>
      </c>
    </row>
    <row r="296" spans="1:7" ht="20.100000000000001" customHeight="1" x14ac:dyDescent="0.25">
      <c r="A296" s="116" t="s">
        <v>1100</v>
      </c>
      <c r="B296" s="118" t="s">
        <v>1661</v>
      </c>
      <c r="C296" s="77" t="s">
        <v>1447</v>
      </c>
      <c r="D296" s="114">
        <v>1</v>
      </c>
      <c r="E296" s="83" t="str">
        <f t="shared" ref="E296:E337" si="11">IF(C296="C7","LB","EA")</f>
        <v>EA</v>
      </c>
      <c r="F296" s="104"/>
      <c r="G296" s="104">
        <f t="shared" si="10"/>
        <v>0</v>
      </c>
    </row>
    <row r="297" spans="1:7" ht="20.100000000000001" customHeight="1" x14ac:dyDescent="0.25">
      <c r="A297" s="117"/>
      <c r="B297" s="119"/>
      <c r="C297" s="77" t="s">
        <v>1448</v>
      </c>
      <c r="D297" s="114">
        <v>1</v>
      </c>
      <c r="E297" s="83" t="str">
        <f t="shared" si="11"/>
        <v>EA</v>
      </c>
      <c r="F297" s="104"/>
      <c r="G297" s="104">
        <f t="shared" si="10"/>
        <v>0</v>
      </c>
    </row>
    <row r="298" spans="1:7" ht="118.5" customHeight="1" x14ac:dyDescent="0.25">
      <c r="A298" s="117"/>
      <c r="B298" s="119"/>
      <c r="C298" s="77" t="s">
        <v>1449</v>
      </c>
      <c r="D298" s="114">
        <v>1</v>
      </c>
      <c r="E298" s="83" t="str">
        <f t="shared" si="11"/>
        <v>EA</v>
      </c>
      <c r="F298" s="104"/>
      <c r="G298" s="104">
        <f t="shared" si="10"/>
        <v>0</v>
      </c>
    </row>
    <row r="299" spans="1:7" ht="20.100000000000001" customHeight="1" x14ac:dyDescent="0.25">
      <c r="A299" s="116" t="s">
        <v>1101</v>
      </c>
      <c r="B299" s="118" t="s">
        <v>1156</v>
      </c>
      <c r="C299" s="77" t="s">
        <v>1450</v>
      </c>
      <c r="D299" s="114">
        <v>1</v>
      </c>
      <c r="E299" s="83" t="str">
        <f t="shared" si="11"/>
        <v>EA</v>
      </c>
      <c r="F299" s="104"/>
      <c r="G299" s="104">
        <f t="shared" si="10"/>
        <v>0</v>
      </c>
    </row>
    <row r="300" spans="1:7" ht="20.100000000000001" customHeight="1" x14ac:dyDescent="0.25">
      <c r="A300" s="117"/>
      <c r="B300" s="119"/>
      <c r="C300" s="77" t="s">
        <v>1451</v>
      </c>
      <c r="D300" s="114">
        <v>1</v>
      </c>
      <c r="E300" s="83" t="str">
        <f t="shared" si="11"/>
        <v>EA</v>
      </c>
      <c r="F300" s="104"/>
      <c r="G300" s="104">
        <f t="shared" si="10"/>
        <v>0</v>
      </c>
    </row>
    <row r="301" spans="1:7" ht="20.100000000000001" customHeight="1" x14ac:dyDescent="0.25">
      <c r="A301" s="117"/>
      <c r="B301" s="119"/>
      <c r="C301" s="77" t="s">
        <v>1452</v>
      </c>
      <c r="D301" s="114">
        <v>1</v>
      </c>
      <c r="E301" s="83" t="str">
        <f t="shared" si="11"/>
        <v>EA</v>
      </c>
      <c r="F301" s="104"/>
      <c r="G301" s="104">
        <f t="shared" si="10"/>
        <v>0</v>
      </c>
    </row>
    <row r="302" spans="1:7" ht="20.100000000000001" customHeight="1" x14ac:dyDescent="0.25">
      <c r="A302" s="117"/>
      <c r="B302" s="119"/>
      <c r="C302" s="77" t="s">
        <v>1453</v>
      </c>
      <c r="D302" s="114">
        <v>1</v>
      </c>
      <c r="E302" s="83" t="str">
        <f t="shared" si="11"/>
        <v>EA</v>
      </c>
      <c r="F302" s="104"/>
      <c r="G302" s="104">
        <f t="shared" si="10"/>
        <v>0</v>
      </c>
    </row>
    <row r="303" spans="1:7" ht="20.100000000000001" customHeight="1" x14ac:dyDescent="0.25">
      <c r="A303" s="117"/>
      <c r="B303" s="119"/>
      <c r="C303" s="77" t="s">
        <v>1454</v>
      </c>
      <c r="D303" s="114">
        <v>1</v>
      </c>
      <c r="E303" s="83" t="str">
        <f t="shared" si="11"/>
        <v>EA</v>
      </c>
      <c r="F303" s="104"/>
      <c r="G303" s="104">
        <f t="shared" si="10"/>
        <v>0</v>
      </c>
    </row>
    <row r="304" spans="1:7" ht="20.100000000000001" customHeight="1" x14ac:dyDescent="0.25">
      <c r="A304" s="117"/>
      <c r="B304" s="119"/>
      <c r="C304" s="77" t="s">
        <v>1455</v>
      </c>
      <c r="D304" s="114">
        <v>1</v>
      </c>
      <c r="E304" s="83" t="str">
        <f t="shared" si="11"/>
        <v>EA</v>
      </c>
      <c r="F304" s="104"/>
      <c r="G304" s="104">
        <f t="shared" si="10"/>
        <v>0</v>
      </c>
    </row>
    <row r="305" spans="1:7" ht="20.100000000000001" customHeight="1" x14ac:dyDescent="0.25">
      <c r="A305" s="117"/>
      <c r="B305" s="119"/>
      <c r="C305" s="77" t="s">
        <v>1456</v>
      </c>
      <c r="D305" s="114">
        <v>1</v>
      </c>
      <c r="E305" s="83" t="str">
        <f t="shared" si="11"/>
        <v>EA</v>
      </c>
      <c r="F305" s="104"/>
      <c r="G305" s="104">
        <f t="shared" si="10"/>
        <v>0</v>
      </c>
    </row>
    <row r="306" spans="1:7" ht="20.100000000000001" customHeight="1" x14ac:dyDescent="0.25">
      <c r="A306" s="117"/>
      <c r="B306" s="119"/>
      <c r="C306" s="77" t="s">
        <v>1457</v>
      </c>
      <c r="D306" s="114">
        <v>1</v>
      </c>
      <c r="E306" s="83" t="str">
        <f t="shared" si="11"/>
        <v>EA</v>
      </c>
      <c r="F306" s="104"/>
      <c r="G306" s="104">
        <f t="shared" si="10"/>
        <v>0</v>
      </c>
    </row>
    <row r="307" spans="1:7" ht="20.100000000000001" customHeight="1" x14ac:dyDescent="0.25">
      <c r="A307" s="117"/>
      <c r="B307" s="119"/>
      <c r="C307" s="77" t="s">
        <v>1458</v>
      </c>
      <c r="D307" s="114">
        <v>1</v>
      </c>
      <c r="E307" s="83" t="str">
        <f t="shared" si="11"/>
        <v>EA</v>
      </c>
      <c r="F307" s="104"/>
      <c r="G307" s="104">
        <f t="shared" si="10"/>
        <v>0</v>
      </c>
    </row>
    <row r="308" spans="1:7" ht="48.75" customHeight="1" x14ac:dyDescent="0.25">
      <c r="A308" s="78" t="s">
        <v>27</v>
      </c>
      <c r="B308" s="76" t="s">
        <v>1157</v>
      </c>
      <c r="C308" s="77" t="s">
        <v>1459</v>
      </c>
      <c r="D308" s="114">
        <v>27000</v>
      </c>
      <c r="E308" s="83" t="s">
        <v>1053</v>
      </c>
      <c r="F308" s="104"/>
      <c r="G308" s="104">
        <f t="shared" si="10"/>
        <v>0</v>
      </c>
    </row>
    <row r="309" spans="1:7" ht="20.100000000000001" customHeight="1" x14ac:dyDescent="0.25">
      <c r="A309" s="116" t="s">
        <v>26</v>
      </c>
      <c r="B309" s="118" t="s">
        <v>1158</v>
      </c>
      <c r="C309" s="77" t="s">
        <v>1460</v>
      </c>
      <c r="D309" s="114">
        <v>17</v>
      </c>
      <c r="E309" s="83" t="str">
        <f t="shared" si="11"/>
        <v>EA</v>
      </c>
      <c r="F309" s="104"/>
      <c r="G309" s="104">
        <f t="shared" si="10"/>
        <v>0</v>
      </c>
    </row>
    <row r="310" spans="1:7" ht="20.100000000000001" customHeight="1" x14ac:dyDescent="0.25">
      <c r="A310" s="117"/>
      <c r="B310" s="119"/>
      <c r="C310" s="77" t="s">
        <v>1461</v>
      </c>
      <c r="D310" s="114">
        <v>3</v>
      </c>
      <c r="E310" s="83" t="str">
        <f t="shared" si="11"/>
        <v>EA</v>
      </c>
      <c r="F310" s="104"/>
      <c r="G310" s="104">
        <f t="shared" si="10"/>
        <v>0</v>
      </c>
    </row>
    <row r="311" spans="1:7" ht="20.100000000000001" customHeight="1" x14ac:dyDescent="0.25">
      <c r="A311" s="117"/>
      <c r="B311" s="119"/>
      <c r="C311" s="77" t="s">
        <v>1462</v>
      </c>
      <c r="D311" s="114">
        <v>11</v>
      </c>
      <c r="E311" s="83" t="str">
        <f t="shared" si="11"/>
        <v>EA</v>
      </c>
      <c r="F311" s="104"/>
      <c r="G311" s="104">
        <f t="shared" si="10"/>
        <v>0</v>
      </c>
    </row>
    <row r="312" spans="1:7" ht="20.100000000000001" customHeight="1" x14ac:dyDescent="0.25">
      <c r="A312" s="117"/>
      <c r="B312" s="119"/>
      <c r="C312" s="77" t="s">
        <v>1463</v>
      </c>
      <c r="D312" s="114">
        <v>2</v>
      </c>
      <c r="E312" s="83" t="str">
        <f t="shared" si="11"/>
        <v>EA</v>
      </c>
      <c r="F312" s="104"/>
      <c r="G312" s="104">
        <f t="shared" si="10"/>
        <v>0</v>
      </c>
    </row>
    <row r="313" spans="1:7" ht="54.95" customHeight="1" x14ac:dyDescent="0.25">
      <c r="A313" s="78" t="s">
        <v>25</v>
      </c>
      <c r="B313" s="76" t="s">
        <v>1159</v>
      </c>
      <c r="C313" s="77" t="s">
        <v>1464</v>
      </c>
      <c r="D313" s="114">
        <v>30</v>
      </c>
      <c r="E313" s="83" t="s">
        <v>1053</v>
      </c>
      <c r="F313" s="104"/>
      <c r="G313" s="104">
        <f t="shared" si="10"/>
        <v>0</v>
      </c>
    </row>
    <row r="314" spans="1:7" ht="54.95" customHeight="1" x14ac:dyDescent="0.25">
      <c r="A314" s="78" t="s">
        <v>24</v>
      </c>
      <c r="B314" s="76" t="s">
        <v>1160</v>
      </c>
      <c r="C314" s="77" t="s">
        <v>1465</v>
      </c>
      <c r="D314" s="114">
        <v>165</v>
      </c>
      <c r="E314" s="83" t="s">
        <v>1053</v>
      </c>
      <c r="F314" s="104"/>
      <c r="G314" s="104">
        <f t="shared" si="10"/>
        <v>0</v>
      </c>
    </row>
    <row r="315" spans="1:7" ht="54.95" customHeight="1" x14ac:dyDescent="0.25">
      <c r="A315" s="78" t="s">
        <v>23</v>
      </c>
      <c r="B315" s="76" t="s">
        <v>1161</v>
      </c>
      <c r="C315" s="77" t="s">
        <v>1466</v>
      </c>
      <c r="D315" s="114">
        <v>870</v>
      </c>
      <c r="E315" s="83" t="s">
        <v>1053</v>
      </c>
      <c r="F315" s="104"/>
      <c r="G315" s="104">
        <f t="shared" si="10"/>
        <v>0</v>
      </c>
    </row>
    <row r="316" spans="1:7" ht="54.95" customHeight="1" x14ac:dyDescent="0.25">
      <c r="A316" s="78" t="s">
        <v>22</v>
      </c>
      <c r="B316" s="76" t="s">
        <v>1162</v>
      </c>
      <c r="C316" s="77" t="s">
        <v>1467</v>
      </c>
      <c r="D316" s="114">
        <v>300</v>
      </c>
      <c r="E316" s="83" t="s">
        <v>1053</v>
      </c>
      <c r="F316" s="104"/>
      <c r="G316" s="104">
        <f t="shared" si="10"/>
        <v>0</v>
      </c>
    </row>
    <row r="317" spans="1:7" ht="20.100000000000001" customHeight="1" x14ac:dyDescent="0.25">
      <c r="A317" s="116" t="s">
        <v>21</v>
      </c>
      <c r="B317" s="118" t="s">
        <v>1163</v>
      </c>
      <c r="C317" s="77" t="s">
        <v>1468</v>
      </c>
      <c r="D317" s="114">
        <v>20</v>
      </c>
      <c r="E317" s="83" t="str">
        <f t="shared" si="11"/>
        <v>EA</v>
      </c>
      <c r="F317" s="104"/>
      <c r="G317" s="104">
        <f t="shared" si="10"/>
        <v>0</v>
      </c>
    </row>
    <row r="318" spans="1:7" ht="35.25" customHeight="1" x14ac:dyDescent="0.25">
      <c r="A318" s="117"/>
      <c r="B318" s="119"/>
      <c r="C318" s="77" t="s">
        <v>1469</v>
      </c>
      <c r="D318" s="114">
        <v>2</v>
      </c>
      <c r="E318" s="83" t="str">
        <f t="shared" si="11"/>
        <v>EA</v>
      </c>
      <c r="F318" s="104"/>
      <c r="G318" s="104">
        <f t="shared" si="10"/>
        <v>0</v>
      </c>
    </row>
    <row r="319" spans="1:7" ht="46.5" customHeight="1" x14ac:dyDescent="0.25">
      <c r="A319" s="78" t="s">
        <v>20</v>
      </c>
      <c r="B319" s="76" t="s">
        <v>1164</v>
      </c>
      <c r="C319" s="77" t="s">
        <v>1470</v>
      </c>
      <c r="D319" s="114">
        <v>3</v>
      </c>
      <c r="E319" s="83" t="str">
        <f t="shared" si="11"/>
        <v>EA</v>
      </c>
      <c r="F319" s="104"/>
      <c r="G319" s="104">
        <f t="shared" si="10"/>
        <v>0</v>
      </c>
    </row>
    <row r="320" spans="1:7" ht="20.100000000000001" customHeight="1" x14ac:dyDescent="0.25">
      <c r="A320" s="116" t="s">
        <v>19</v>
      </c>
      <c r="B320" s="118" t="s">
        <v>1662</v>
      </c>
      <c r="C320" s="77" t="s">
        <v>1472</v>
      </c>
      <c r="D320" s="114">
        <v>37</v>
      </c>
      <c r="E320" s="83" t="str">
        <f t="shared" si="11"/>
        <v>EA</v>
      </c>
      <c r="F320" s="104"/>
      <c r="G320" s="104">
        <f t="shared" si="10"/>
        <v>0</v>
      </c>
    </row>
    <row r="321" spans="1:7" ht="20.100000000000001" customHeight="1" x14ac:dyDescent="0.25">
      <c r="A321" s="117"/>
      <c r="B321" s="119"/>
      <c r="C321" s="77" t="s">
        <v>1473</v>
      </c>
      <c r="D321" s="114">
        <v>5</v>
      </c>
      <c r="E321" s="83" t="str">
        <f t="shared" si="11"/>
        <v>EA</v>
      </c>
      <c r="F321" s="104"/>
      <c r="G321" s="104">
        <f t="shared" si="10"/>
        <v>0</v>
      </c>
    </row>
    <row r="322" spans="1:7" ht="20.100000000000001" customHeight="1" x14ac:dyDescent="0.25">
      <c r="A322" s="117"/>
      <c r="B322" s="119"/>
      <c r="C322" s="77" t="s">
        <v>1474</v>
      </c>
      <c r="D322" s="114">
        <v>20</v>
      </c>
      <c r="E322" s="83" t="str">
        <f t="shared" si="11"/>
        <v>EA</v>
      </c>
      <c r="F322" s="104"/>
      <c r="G322" s="104">
        <f t="shared" si="10"/>
        <v>0</v>
      </c>
    </row>
    <row r="323" spans="1:7" ht="20.100000000000001" customHeight="1" x14ac:dyDescent="0.25">
      <c r="A323" s="117"/>
      <c r="B323" s="119"/>
      <c r="C323" s="77" t="s">
        <v>1475</v>
      </c>
      <c r="D323" s="114">
        <v>130</v>
      </c>
      <c r="E323" s="83" t="str">
        <f t="shared" si="11"/>
        <v>EA</v>
      </c>
      <c r="F323" s="104"/>
      <c r="G323" s="104">
        <f t="shared" si="10"/>
        <v>0</v>
      </c>
    </row>
    <row r="324" spans="1:7" ht="20.100000000000001" customHeight="1" x14ac:dyDescent="0.25">
      <c r="A324" s="117"/>
      <c r="B324" s="119"/>
      <c r="C324" s="77" t="s">
        <v>1471</v>
      </c>
      <c r="D324" s="114">
        <v>1</v>
      </c>
      <c r="E324" s="83" t="str">
        <f t="shared" si="11"/>
        <v>EA</v>
      </c>
      <c r="F324" s="104"/>
      <c r="G324" s="104">
        <f t="shared" si="10"/>
        <v>0</v>
      </c>
    </row>
    <row r="325" spans="1:7" ht="20.100000000000001" customHeight="1" x14ac:dyDescent="0.25">
      <c r="A325" s="116" t="s">
        <v>18</v>
      </c>
      <c r="B325" s="118" t="s">
        <v>1663</v>
      </c>
      <c r="C325" s="77" t="s">
        <v>1476</v>
      </c>
      <c r="D325" s="114">
        <v>50</v>
      </c>
      <c r="E325" s="83" t="str">
        <f t="shared" si="11"/>
        <v>EA</v>
      </c>
      <c r="F325" s="104"/>
      <c r="G325" s="104">
        <f t="shared" si="10"/>
        <v>0</v>
      </c>
    </row>
    <row r="326" spans="1:7" ht="20.100000000000001" customHeight="1" x14ac:dyDescent="0.25">
      <c r="A326" s="117"/>
      <c r="B326" s="119"/>
      <c r="C326" s="77" t="s">
        <v>1477</v>
      </c>
      <c r="D326" s="114">
        <v>50</v>
      </c>
      <c r="E326" s="83" t="str">
        <f t="shared" si="11"/>
        <v>EA</v>
      </c>
      <c r="F326" s="104"/>
      <c r="G326" s="104">
        <f t="shared" si="10"/>
        <v>0</v>
      </c>
    </row>
    <row r="327" spans="1:7" ht="20.100000000000001" customHeight="1" x14ac:dyDescent="0.25">
      <c r="A327" s="117"/>
      <c r="B327" s="119"/>
      <c r="C327" s="77" t="s">
        <v>1478</v>
      </c>
      <c r="D327" s="114">
        <v>1</v>
      </c>
      <c r="E327" s="83" t="str">
        <f t="shared" si="11"/>
        <v>EA</v>
      </c>
      <c r="F327" s="104"/>
      <c r="G327" s="104">
        <f t="shared" ref="G327:G376" si="12">F327*D327</f>
        <v>0</v>
      </c>
    </row>
    <row r="328" spans="1:7" ht="41.25" customHeight="1" x14ac:dyDescent="0.25">
      <c r="A328" s="117"/>
      <c r="B328" s="119"/>
      <c r="C328" s="77" t="s">
        <v>1479</v>
      </c>
      <c r="D328" s="114">
        <v>5</v>
      </c>
      <c r="E328" s="83" t="str">
        <f t="shared" si="11"/>
        <v>EA</v>
      </c>
      <c r="F328" s="104"/>
      <c r="G328" s="104">
        <f t="shared" si="12"/>
        <v>0</v>
      </c>
    </row>
    <row r="329" spans="1:7" ht="20.100000000000001" customHeight="1" x14ac:dyDescent="0.25">
      <c r="A329" s="116" t="s">
        <v>17</v>
      </c>
      <c r="B329" s="118" t="s">
        <v>1664</v>
      </c>
      <c r="C329" s="77" t="s">
        <v>1480</v>
      </c>
      <c r="D329" s="114">
        <v>50</v>
      </c>
      <c r="E329" s="83" t="str">
        <f t="shared" si="11"/>
        <v>EA</v>
      </c>
      <c r="F329" s="104"/>
      <c r="G329" s="104">
        <f t="shared" si="12"/>
        <v>0</v>
      </c>
    </row>
    <row r="330" spans="1:7" ht="20.100000000000001" customHeight="1" x14ac:dyDescent="0.25">
      <c r="A330" s="117"/>
      <c r="B330" s="119"/>
      <c r="C330" s="77" t="s">
        <v>1481</v>
      </c>
      <c r="D330" s="114">
        <v>50</v>
      </c>
      <c r="E330" s="83" t="str">
        <f t="shared" si="11"/>
        <v>EA</v>
      </c>
      <c r="F330" s="104"/>
      <c r="G330" s="104">
        <f t="shared" si="12"/>
        <v>0</v>
      </c>
    </row>
    <row r="331" spans="1:7" ht="20.100000000000001" customHeight="1" x14ac:dyDescent="0.25">
      <c r="A331" s="117"/>
      <c r="B331" s="119"/>
      <c r="C331" s="77" t="s">
        <v>1482</v>
      </c>
      <c r="D331" s="114">
        <v>1</v>
      </c>
      <c r="E331" s="83" t="str">
        <f t="shared" si="11"/>
        <v>EA</v>
      </c>
      <c r="F331" s="104"/>
      <c r="G331" s="104">
        <f t="shared" si="12"/>
        <v>0</v>
      </c>
    </row>
    <row r="332" spans="1:7" ht="40.5" customHeight="1" x14ac:dyDescent="0.25">
      <c r="A332" s="117"/>
      <c r="B332" s="119"/>
      <c r="C332" s="77" t="s">
        <v>1483</v>
      </c>
      <c r="D332" s="114">
        <v>5</v>
      </c>
      <c r="E332" s="83" t="str">
        <f t="shared" si="11"/>
        <v>EA</v>
      </c>
      <c r="F332" s="104"/>
      <c r="G332" s="104">
        <f t="shared" si="12"/>
        <v>0</v>
      </c>
    </row>
    <row r="333" spans="1:7" ht="20.100000000000001" customHeight="1" x14ac:dyDescent="0.25">
      <c r="A333" s="116" t="s">
        <v>16</v>
      </c>
      <c r="B333" s="118" t="s">
        <v>1165</v>
      </c>
      <c r="C333" s="77" t="s">
        <v>1484</v>
      </c>
      <c r="D333" s="114">
        <v>4</v>
      </c>
      <c r="E333" s="83" t="str">
        <f t="shared" si="11"/>
        <v>EA</v>
      </c>
      <c r="F333" s="104"/>
      <c r="G333" s="104">
        <f t="shared" si="12"/>
        <v>0</v>
      </c>
    </row>
    <row r="334" spans="1:7" ht="20.100000000000001" customHeight="1" x14ac:dyDescent="0.25">
      <c r="A334" s="117"/>
      <c r="B334" s="119"/>
      <c r="C334" s="77" t="s">
        <v>1485</v>
      </c>
      <c r="D334" s="114">
        <v>2</v>
      </c>
      <c r="E334" s="83" t="str">
        <f t="shared" si="11"/>
        <v>EA</v>
      </c>
      <c r="F334" s="104"/>
      <c r="G334" s="104">
        <f t="shared" si="12"/>
        <v>0</v>
      </c>
    </row>
    <row r="335" spans="1:7" ht="20.100000000000001" customHeight="1" x14ac:dyDescent="0.25">
      <c r="A335" s="117"/>
      <c r="B335" s="119"/>
      <c r="C335" s="77" t="s">
        <v>1486</v>
      </c>
      <c r="D335" s="114">
        <v>8</v>
      </c>
      <c r="E335" s="83" t="str">
        <f t="shared" si="11"/>
        <v>EA</v>
      </c>
      <c r="F335" s="104"/>
      <c r="G335" s="104">
        <f t="shared" si="12"/>
        <v>0</v>
      </c>
    </row>
    <row r="336" spans="1:7" ht="20.100000000000001" customHeight="1" x14ac:dyDescent="0.25">
      <c r="A336" s="117"/>
      <c r="B336" s="119"/>
      <c r="C336" s="77" t="s">
        <v>1487</v>
      </c>
      <c r="D336" s="114">
        <v>170</v>
      </c>
      <c r="E336" s="83" t="str">
        <f t="shared" si="11"/>
        <v>EA</v>
      </c>
      <c r="F336" s="104"/>
      <c r="G336" s="104">
        <f t="shared" si="12"/>
        <v>0</v>
      </c>
    </row>
    <row r="337" spans="1:7" ht="20.100000000000001" customHeight="1" x14ac:dyDescent="0.25">
      <c r="A337" s="117"/>
      <c r="B337" s="119"/>
      <c r="C337" s="77" t="s">
        <v>1488</v>
      </c>
      <c r="D337" s="114">
        <v>1</v>
      </c>
      <c r="E337" s="83" t="str">
        <f t="shared" si="11"/>
        <v>EA</v>
      </c>
      <c r="F337" s="104"/>
      <c r="G337" s="104">
        <f t="shared" si="12"/>
        <v>0</v>
      </c>
    </row>
    <row r="338" spans="1:7" ht="81.75" customHeight="1" x14ac:dyDescent="0.25">
      <c r="A338" s="78" t="s">
        <v>1083</v>
      </c>
      <c r="B338" s="76" t="s">
        <v>1166</v>
      </c>
      <c r="C338" s="77" t="s">
        <v>1489</v>
      </c>
      <c r="D338" s="114">
        <v>25</v>
      </c>
      <c r="E338" s="83" t="s">
        <v>1053</v>
      </c>
      <c r="F338" s="104"/>
      <c r="G338" s="104">
        <f t="shared" si="12"/>
        <v>0</v>
      </c>
    </row>
    <row r="339" spans="1:7" ht="54" customHeight="1" x14ac:dyDescent="0.25">
      <c r="A339" s="78" t="s">
        <v>15</v>
      </c>
      <c r="B339" s="76" t="s">
        <v>1167</v>
      </c>
      <c r="C339" s="77" t="s">
        <v>1490</v>
      </c>
      <c r="D339" s="114">
        <v>25</v>
      </c>
      <c r="E339" s="83" t="s">
        <v>1053</v>
      </c>
      <c r="F339" s="104"/>
      <c r="G339" s="104">
        <f t="shared" si="12"/>
        <v>0</v>
      </c>
    </row>
    <row r="340" spans="1:7" ht="47.25" x14ac:dyDescent="0.25">
      <c r="A340" s="78" t="s">
        <v>14</v>
      </c>
      <c r="B340" s="76" t="s">
        <v>1168</v>
      </c>
      <c r="C340" s="77" t="s">
        <v>1491</v>
      </c>
      <c r="D340" s="114">
        <v>1</v>
      </c>
      <c r="E340" s="83" t="str">
        <f t="shared" ref="E340:E347" si="13">IF(C340="C7","LB","EA")</f>
        <v>EA</v>
      </c>
      <c r="F340" s="104"/>
      <c r="G340" s="104">
        <f t="shared" si="12"/>
        <v>0</v>
      </c>
    </row>
    <row r="341" spans="1:7" ht="20.100000000000001" customHeight="1" x14ac:dyDescent="0.25">
      <c r="A341" s="116" t="s">
        <v>13</v>
      </c>
      <c r="B341" s="118" t="s">
        <v>1169</v>
      </c>
      <c r="C341" s="77" t="s">
        <v>1492</v>
      </c>
      <c r="D341" s="114">
        <v>6</v>
      </c>
      <c r="E341" s="83" t="str">
        <f t="shared" si="13"/>
        <v>EA</v>
      </c>
      <c r="F341" s="104"/>
      <c r="G341" s="104">
        <f t="shared" si="12"/>
        <v>0</v>
      </c>
    </row>
    <row r="342" spans="1:7" ht="20.100000000000001" customHeight="1" x14ac:dyDescent="0.25">
      <c r="A342" s="117"/>
      <c r="B342" s="119"/>
      <c r="C342" s="77" t="s">
        <v>1493</v>
      </c>
      <c r="D342" s="114">
        <v>1</v>
      </c>
      <c r="E342" s="83" t="str">
        <f t="shared" si="13"/>
        <v>EA</v>
      </c>
      <c r="F342" s="104"/>
      <c r="G342" s="104">
        <f t="shared" si="12"/>
        <v>0</v>
      </c>
    </row>
    <row r="343" spans="1:7" ht="20.100000000000001" customHeight="1" x14ac:dyDescent="0.25">
      <c r="A343" s="117"/>
      <c r="B343" s="119"/>
      <c r="C343" s="77" t="s">
        <v>1494</v>
      </c>
      <c r="D343" s="114">
        <v>1</v>
      </c>
      <c r="E343" s="83" t="str">
        <f t="shared" si="13"/>
        <v>EA</v>
      </c>
      <c r="F343" s="104"/>
      <c r="G343" s="104">
        <f t="shared" si="12"/>
        <v>0</v>
      </c>
    </row>
    <row r="344" spans="1:7" ht="20.100000000000001" customHeight="1" x14ac:dyDescent="0.25">
      <c r="A344" s="117"/>
      <c r="B344" s="119"/>
      <c r="C344" s="77" t="s">
        <v>1495</v>
      </c>
      <c r="D344" s="114">
        <v>1</v>
      </c>
      <c r="E344" s="83" t="str">
        <f t="shared" si="13"/>
        <v>EA</v>
      </c>
      <c r="F344" s="104"/>
      <c r="G344" s="104">
        <f t="shared" si="12"/>
        <v>0</v>
      </c>
    </row>
    <row r="345" spans="1:7" ht="20.100000000000001" customHeight="1" x14ac:dyDescent="0.25">
      <c r="A345" s="117"/>
      <c r="B345" s="119"/>
      <c r="C345" s="77" t="s">
        <v>1496</v>
      </c>
      <c r="D345" s="114">
        <v>1</v>
      </c>
      <c r="E345" s="83" t="str">
        <f t="shared" si="13"/>
        <v>EA</v>
      </c>
      <c r="F345" s="104"/>
      <c r="G345" s="104">
        <f t="shared" si="12"/>
        <v>0</v>
      </c>
    </row>
    <row r="346" spans="1:7" ht="20.100000000000001" customHeight="1" x14ac:dyDescent="0.25">
      <c r="A346" s="116" t="s">
        <v>12</v>
      </c>
      <c r="B346" s="118" t="s">
        <v>1170</v>
      </c>
      <c r="C346" s="77" t="s">
        <v>1497</v>
      </c>
      <c r="D346" s="114">
        <v>1</v>
      </c>
      <c r="E346" s="83" t="str">
        <f t="shared" si="13"/>
        <v>EA</v>
      </c>
      <c r="F346" s="104"/>
      <c r="G346" s="104">
        <f t="shared" si="12"/>
        <v>0</v>
      </c>
    </row>
    <row r="347" spans="1:7" ht="54" customHeight="1" x14ac:dyDescent="0.25">
      <c r="A347" s="117"/>
      <c r="B347" s="119"/>
      <c r="C347" s="77" t="s">
        <v>1498</v>
      </c>
      <c r="D347" s="114">
        <v>1</v>
      </c>
      <c r="E347" s="83" t="str">
        <f t="shared" si="13"/>
        <v>EA</v>
      </c>
      <c r="F347" s="104"/>
      <c r="G347" s="104">
        <f t="shared" si="12"/>
        <v>0</v>
      </c>
    </row>
    <row r="348" spans="1:7" ht="93.75" customHeight="1" x14ac:dyDescent="0.25">
      <c r="A348" s="78" t="s">
        <v>11</v>
      </c>
      <c r="B348" s="76" t="s">
        <v>1171</v>
      </c>
      <c r="C348" s="77" t="s">
        <v>1499</v>
      </c>
      <c r="D348" s="114">
        <v>2</v>
      </c>
      <c r="E348" s="83" t="str">
        <f>IF(C348="C7","LB","EA")</f>
        <v>EA</v>
      </c>
      <c r="F348" s="104"/>
      <c r="G348" s="104">
        <f t="shared" si="12"/>
        <v>0</v>
      </c>
    </row>
    <row r="349" spans="1:7" x14ac:dyDescent="0.25">
      <c r="A349" s="116" t="s">
        <v>10</v>
      </c>
      <c r="B349" s="118" t="s">
        <v>1172</v>
      </c>
      <c r="C349" s="77" t="s">
        <v>1500</v>
      </c>
      <c r="D349" s="114">
        <v>2</v>
      </c>
      <c r="E349" s="83" t="str">
        <f t="shared" ref="E349:E350" si="14">IF(C349="C7","LB","EA")</f>
        <v>EA</v>
      </c>
      <c r="F349" s="104"/>
      <c r="G349" s="104">
        <f t="shared" si="12"/>
        <v>0</v>
      </c>
    </row>
    <row r="350" spans="1:7" ht="51" customHeight="1" x14ac:dyDescent="0.25">
      <c r="A350" s="117"/>
      <c r="B350" s="119"/>
      <c r="C350" s="77" t="s">
        <v>1501</v>
      </c>
      <c r="D350" s="114">
        <v>4</v>
      </c>
      <c r="E350" s="83" t="str">
        <f t="shared" si="14"/>
        <v>EA</v>
      </c>
      <c r="F350" s="104"/>
      <c r="G350" s="104">
        <f t="shared" si="12"/>
        <v>0</v>
      </c>
    </row>
    <row r="351" spans="1:7" ht="87" customHeight="1" x14ac:dyDescent="0.25">
      <c r="A351" s="78" t="s">
        <v>9</v>
      </c>
      <c r="B351" s="76" t="s">
        <v>1173</v>
      </c>
      <c r="C351" s="77" t="s">
        <v>1592</v>
      </c>
      <c r="D351" s="114">
        <v>150</v>
      </c>
      <c r="E351" s="83" t="s">
        <v>1053</v>
      </c>
      <c r="F351" s="104"/>
      <c r="G351" s="104">
        <f t="shared" si="12"/>
        <v>0</v>
      </c>
    </row>
    <row r="352" spans="1:7" ht="20.100000000000001" customHeight="1" x14ac:dyDescent="0.25">
      <c r="A352" s="116" t="s">
        <v>8</v>
      </c>
      <c r="B352" s="118" t="s">
        <v>1174</v>
      </c>
      <c r="C352" s="77" t="s">
        <v>1502</v>
      </c>
      <c r="D352" s="114">
        <v>29</v>
      </c>
      <c r="E352" s="83" t="str">
        <f t="shared" ref="E352:E371" si="15">IF(C352="C7","LB","EA")</f>
        <v>EA</v>
      </c>
      <c r="F352" s="104"/>
      <c r="G352" s="104">
        <f t="shared" si="12"/>
        <v>0</v>
      </c>
    </row>
    <row r="353" spans="1:7" ht="20.100000000000001" customHeight="1" x14ac:dyDescent="0.25">
      <c r="A353" s="117"/>
      <c r="B353" s="119"/>
      <c r="C353" s="77" t="s">
        <v>1503</v>
      </c>
      <c r="D353" s="114">
        <v>5</v>
      </c>
      <c r="E353" s="83" t="str">
        <f t="shared" si="15"/>
        <v>EA</v>
      </c>
      <c r="F353" s="104"/>
      <c r="G353" s="104">
        <f t="shared" si="12"/>
        <v>0</v>
      </c>
    </row>
    <row r="354" spans="1:7" ht="20.100000000000001" customHeight="1" x14ac:dyDescent="0.25">
      <c r="A354" s="117"/>
      <c r="B354" s="119"/>
      <c r="C354" s="77" t="s">
        <v>1504</v>
      </c>
      <c r="D354" s="114">
        <v>58</v>
      </c>
      <c r="E354" s="83" t="str">
        <f t="shared" si="15"/>
        <v>EA</v>
      </c>
      <c r="F354" s="104"/>
      <c r="G354" s="104">
        <f t="shared" si="12"/>
        <v>0</v>
      </c>
    </row>
    <row r="355" spans="1:7" ht="20.100000000000001" customHeight="1" x14ac:dyDescent="0.25">
      <c r="A355" s="117"/>
      <c r="B355" s="119"/>
      <c r="C355" s="77" t="s">
        <v>1505</v>
      </c>
      <c r="D355" s="114">
        <v>119</v>
      </c>
      <c r="E355" s="83" t="str">
        <f t="shared" si="15"/>
        <v>EA</v>
      </c>
      <c r="F355" s="104"/>
      <c r="G355" s="104">
        <f t="shared" si="12"/>
        <v>0</v>
      </c>
    </row>
    <row r="356" spans="1:7" ht="20.100000000000001" customHeight="1" x14ac:dyDescent="0.25">
      <c r="A356" s="116" t="s">
        <v>7</v>
      </c>
      <c r="B356" s="118" t="s">
        <v>1175</v>
      </c>
      <c r="C356" s="77" t="s">
        <v>1506</v>
      </c>
      <c r="D356" s="114">
        <v>8</v>
      </c>
      <c r="E356" s="83" t="str">
        <f t="shared" si="15"/>
        <v>EA</v>
      </c>
      <c r="F356" s="104"/>
      <c r="G356" s="104">
        <f t="shared" si="12"/>
        <v>0</v>
      </c>
    </row>
    <row r="357" spans="1:7" ht="20.100000000000001" customHeight="1" x14ac:dyDescent="0.25">
      <c r="A357" s="117"/>
      <c r="B357" s="119"/>
      <c r="C357" s="77" t="s">
        <v>1507</v>
      </c>
      <c r="D357" s="114">
        <v>3</v>
      </c>
      <c r="E357" s="83" t="str">
        <f t="shared" si="15"/>
        <v>EA</v>
      </c>
      <c r="F357" s="104"/>
      <c r="G357" s="104">
        <f t="shared" si="12"/>
        <v>0</v>
      </c>
    </row>
    <row r="358" spans="1:7" ht="20.100000000000001" customHeight="1" x14ac:dyDescent="0.25">
      <c r="A358" s="117"/>
      <c r="B358" s="119"/>
      <c r="C358" s="77" t="s">
        <v>1508</v>
      </c>
      <c r="D358" s="114">
        <v>8</v>
      </c>
      <c r="E358" s="83" t="str">
        <f t="shared" si="15"/>
        <v>EA</v>
      </c>
      <c r="F358" s="104"/>
      <c r="G358" s="104">
        <f t="shared" si="12"/>
        <v>0</v>
      </c>
    </row>
    <row r="359" spans="1:7" ht="40.5" customHeight="1" x14ac:dyDescent="0.25">
      <c r="A359" s="117"/>
      <c r="B359" s="119"/>
      <c r="C359" s="77" t="s">
        <v>1509</v>
      </c>
      <c r="D359" s="114">
        <v>18</v>
      </c>
      <c r="E359" s="83" t="str">
        <f t="shared" si="15"/>
        <v>EA</v>
      </c>
      <c r="F359" s="104"/>
      <c r="G359" s="104">
        <f t="shared" si="12"/>
        <v>0</v>
      </c>
    </row>
    <row r="360" spans="1:7" ht="20.100000000000001" customHeight="1" x14ac:dyDescent="0.25">
      <c r="A360" s="116" t="s">
        <v>6</v>
      </c>
      <c r="B360" s="118" t="s">
        <v>1176</v>
      </c>
      <c r="C360" s="77" t="s">
        <v>1510</v>
      </c>
      <c r="D360" s="114">
        <v>1</v>
      </c>
      <c r="E360" s="83" t="str">
        <f t="shared" si="15"/>
        <v>EA</v>
      </c>
      <c r="F360" s="104"/>
      <c r="G360" s="104">
        <f t="shared" si="12"/>
        <v>0</v>
      </c>
    </row>
    <row r="361" spans="1:7" ht="20.100000000000001" customHeight="1" x14ac:dyDescent="0.25">
      <c r="A361" s="117"/>
      <c r="B361" s="119"/>
      <c r="C361" s="77" t="s">
        <v>1511</v>
      </c>
      <c r="D361" s="114">
        <v>3</v>
      </c>
      <c r="E361" s="83" t="str">
        <f t="shared" si="15"/>
        <v>EA</v>
      </c>
      <c r="F361" s="104"/>
      <c r="G361" s="104">
        <f t="shared" si="12"/>
        <v>0</v>
      </c>
    </row>
    <row r="362" spans="1:7" ht="29.25" customHeight="1" x14ac:dyDescent="0.25">
      <c r="A362" s="117"/>
      <c r="B362" s="119"/>
      <c r="C362" s="77" t="s">
        <v>1512</v>
      </c>
      <c r="D362" s="114">
        <v>10</v>
      </c>
      <c r="E362" s="83" t="str">
        <f t="shared" si="15"/>
        <v>EA</v>
      </c>
      <c r="F362" s="104"/>
      <c r="G362" s="104">
        <f t="shared" si="12"/>
        <v>0</v>
      </c>
    </row>
    <row r="363" spans="1:7" ht="20.100000000000001" customHeight="1" x14ac:dyDescent="0.25">
      <c r="A363" s="116" t="s">
        <v>5</v>
      </c>
      <c r="B363" s="118" t="s">
        <v>1177</v>
      </c>
      <c r="C363" s="77" t="s">
        <v>1513</v>
      </c>
      <c r="D363" s="114">
        <v>23</v>
      </c>
      <c r="E363" s="83" t="str">
        <f>IF(C363="C7","LB","EA")</f>
        <v>EA</v>
      </c>
      <c r="F363" s="104"/>
      <c r="G363" s="104">
        <f t="shared" si="12"/>
        <v>0</v>
      </c>
    </row>
    <row r="364" spans="1:7" ht="44.25" customHeight="1" x14ac:dyDescent="0.25">
      <c r="A364" s="117"/>
      <c r="B364" s="119"/>
      <c r="C364" s="77" t="s">
        <v>1514</v>
      </c>
      <c r="D364" s="114">
        <v>1</v>
      </c>
      <c r="E364" s="83" t="str">
        <f>IF(C364="C7","LB","EA")</f>
        <v>EA</v>
      </c>
      <c r="F364" s="104"/>
      <c r="G364" s="104">
        <f t="shared" si="12"/>
        <v>0</v>
      </c>
    </row>
    <row r="365" spans="1:7" ht="20.100000000000001" customHeight="1" x14ac:dyDescent="0.25">
      <c r="A365" s="116" t="s">
        <v>4</v>
      </c>
      <c r="B365" s="118" t="s">
        <v>1178</v>
      </c>
      <c r="C365" s="77" t="s">
        <v>1515</v>
      </c>
      <c r="D365" s="114">
        <v>8</v>
      </c>
      <c r="E365" s="83" t="str">
        <f t="shared" si="15"/>
        <v>EA</v>
      </c>
      <c r="F365" s="104"/>
      <c r="G365" s="104">
        <f t="shared" si="12"/>
        <v>0</v>
      </c>
    </row>
    <row r="366" spans="1:7" ht="20.100000000000001" customHeight="1" x14ac:dyDescent="0.25">
      <c r="A366" s="117"/>
      <c r="B366" s="119"/>
      <c r="C366" s="77" t="s">
        <v>1516</v>
      </c>
      <c r="D366" s="114">
        <v>3</v>
      </c>
      <c r="E366" s="83" t="str">
        <f t="shared" si="15"/>
        <v>EA</v>
      </c>
      <c r="F366" s="104"/>
      <c r="G366" s="104">
        <f t="shared" si="12"/>
        <v>0</v>
      </c>
    </row>
    <row r="367" spans="1:7" ht="20.100000000000001" customHeight="1" x14ac:dyDescent="0.25">
      <c r="A367" s="117"/>
      <c r="B367" s="119"/>
      <c r="C367" s="77" t="s">
        <v>1517</v>
      </c>
      <c r="D367" s="114">
        <v>14</v>
      </c>
      <c r="E367" s="83" t="str">
        <f t="shared" si="15"/>
        <v>EA</v>
      </c>
      <c r="F367" s="104"/>
      <c r="G367" s="104">
        <f t="shared" si="12"/>
        <v>0</v>
      </c>
    </row>
    <row r="368" spans="1:7" ht="20.100000000000001" customHeight="1" x14ac:dyDescent="0.25">
      <c r="A368" s="117"/>
      <c r="B368" s="119"/>
      <c r="C368" s="77" t="s">
        <v>1518</v>
      </c>
      <c r="D368" s="114">
        <v>53</v>
      </c>
      <c r="E368" s="83" t="str">
        <f t="shared" si="15"/>
        <v>EA</v>
      </c>
      <c r="F368" s="104"/>
      <c r="G368" s="104">
        <f t="shared" si="12"/>
        <v>0</v>
      </c>
    </row>
    <row r="369" spans="1:7" ht="20.100000000000001" customHeight="1" x14ac:dyDescent="0.25">
      <c r="A369" s="116" t="s">
        <v>3</v>
      </c>
      <c r="B369" s="118" t="s">
        <v>1179</v>
      </c>
      <c r="C369" s="77" t="s">
        <v>1519</v>
      </c>
      <c r="D369" s="114">
        <v>46</v>
      </c>
      <c r="E369" s="83" t="str">
        <f t="shared" si="15"/>
        <v>EA</v>
      </c>
      <c r="F369" s="104"/>
      <c r="G369" s="104">
        <f t="shared" si="12"/>
        <v>0</v>
      </c>
    </row>
    <row r="370" spans="1:7" ht="20.100000000000001" customHeight="1" x14ac:dyDescent="0.25">
      <c r="A370" s="116"/>
      <c r="B370" s="118"/>
      <c r="C370" s="77" t="s">
        <v>1520</v>
      </c>
      <c r="D370" s="114">
        <v>14</v>
      </c>
      <c r="E370" s="83" t="str">
        <f t="shared" si="15"/>
        <v>EA</v>
      </c>
      <c r="F370" s="104"/>
      <c r="G370" s="104">
        <f t="shared" si="12"/>
        <v>0</v>
      </c>
    </row>
    <row r="371" spans="1:7" ht="25.5" customHeight="1" x14ac:dyDescent="0.25">
      <c r="A371" s="116"/>
      <c r="B371" s="118"/>
      <c r="C371" s="77" t="s">
        <v>1521</v>
      </c>
      <c r="D371" s="114">
        <v>277</v>
      </c>
      <c r="E371" s="83" t="str">
        <f t="shared" si="15"/>
        <v>EA</v>
      </c>
      <c r="F371" s="104"/>
      <c r="G371" s="104">
        <f t="shared" si="12"/>
        <v>0</v>
      </c>
    </row>
    <row r="372" spans="1:7" ht="20.100000000000001" customHeight="1" x14ac:dyDescent="0.25">
      <c r="A372" s="116" t="s">
        <v>2</v>
      </c>
      <c r="B372" s="118" t="s">
        <v>1231</v>
      </c>
      <c r="C372" s="77" t="s">
        <v>1522</v>
      </c>
      <c r="D372" s="114">
        <v>1</v>
      </c>
      <c r="E372" s="83" t="str">
        <f>IF(C372="C7","LB","EA")</f>
        <v>EA</v>
      </c>
      <c r="F372" s="104"/>
      <c r="G372" s="104">
        <f t="shared" si="12"/>
        <v>0</v>
      </c>
    </row>
    <row r="373" spans="1:7" ht="48.75" customHeight="1" x14ac:dyDescent="0.25">
      <c r="A373" s="117"/>
      <c r="B373" s="119"/>
      <c r="C373" s="77" t="s">
        <v>1523</v>
      </c>
      <c r="D373" s="114">
        <v>71</v>
      </c>
      <c r="E373" s="83" t="str">
        <f>IF(C373="C7","LB","EA")</f>
        <v>EA</v>
      </c>
      <c r="F373" s="104"/>
      <c r="G373" s="104">
        <f t="shared" si="12"/>
        <v>0</v>
      </c>
    </row>
    <row r="374" spans="1:7" ht="20.100000000000001" customHeight="1" x14ac:dyDescent="0.25">
      <c r="A374" s="116" t="s">
        <v>1</v>
      </c>
      <c r="B374" s="118" t="s">
        <v>1180</v>
      </c>
      <c r="C374" s="77" t="s">
        <v>1524</v>
      </c>
      <c r="D374" s="114">
        <v>1</v>
      </c>
      <c r="E374" s="83" t="str">
        <f t="shared" ref="E374:E375" si="16">IF(C374="C7","LB","EA")</f>
        <v>EA</v>
      </c>
      <c r="F374" s="104"/>
      <c r="G374" s="104">
        <f t="shared" si="12"/>
        <v>0</v>
      </c>
    </row>
    <row r="375" spans="1:7" ht="61.5" customHeight="1" x14ac:dyDescent="0.25">
      <c r="A375" s="117"/>
      <c r="B375" s="119"/>
      <c r="C375" s="77" t="s">
        <v>1525</v>
      </c>
      <c r="D375" s="114">
        <v>5</v>
      </c>
      <c r="E375" s="83" t="str">
        <f t="shared" si="16"/>
        <v>EA</v>
      </c>
      <c r="F375" s="104"/>
      <c r="G375" s="104">
        <f t="shared" si="12"/>
        <v>0</v>
      </c>
    </row>
    <row r="376" spans="1:7" ht="65.099999999999994" customHeight="1" x14ac:dyDescent="0.25">
      <c r="A376" s="78" t="s">
        <v>0</v>
      </c>
      <c r="B376" s="76" t="s">
        <v>1181</v>
      </c>
      <c r="C376" s="77" t="s">
        <v>1526</v>
      </c>
      <c r="D376" s="114">
        <v>1</v>
      </c>
      <c r="E376" s="83" t="str">
        <f>IF(C376="C7","LB","EA")</f>
        <v>EA</v>
      </c>
      <c r="F376" s="104"/>
      <c r="G376" s="104">
        <f t="shared" si="12"/>
        <v>0</v>
      </c>
    </row>
    <row r="378" spans="1:7" ht="19.5" thickBot="1" x14ac:dyDescent="0.35">
      <c r="F378" s="112" t="s">
        <v>1667</v>
      </c>
      <c r="G378" s="112">
        <f>SUM(G6:G376)</f>
        <v>0</v>
      </c>
    </row>
    <row r="379" spans="1:7" ht="16.5" thickTop="1" x14ac:dyDescent="0.25"/>
  </sheetData>
  <mergeCells count="123">
    <mergeCell ref="A112:A113"/>
    <mergeCell ref="B112:B113"/>
    <mergeCell ref="A114:A118"/>
    <mergeCell ref="B114:B118"/>
    <mergeCell ref="A119:A123"/>
    <mergeCell ref="B119:B123"/>
    <mergeCell ref="A2:G2"/>
    <mergeCell ref="A104:A106"/>
    <mergeCell ref="B104:B106"/>
    <mergeCell ref="A107:A108"/>
    <mergeCell ref="B107:B108"/>
    <mergeCell ref="A110:A111"/>
    <mergeCell ref="B110:B111"/>
    <mergeCell ref="A137:A140"/>
    <mergeCell ref="B137:B140"/>
    <mergeCell ref="A145:A148"/>
    <mergeCell ref="B145:B148"/>
    <mergeCell ref="A149:A153"/>
    <mergeCell ref="B149:B153"/>
    <mergeCell ref="A124:A126"/>
    <mergeCell ref="B124:B126"/>
    <mergeCell ref="A127:A131"/>
    <mergeCell ref="B127:B131"/>
    <mergeCell ref="A133:A136"/>
    <mergeCell ref="B133:B136"/>
    <mergeCell ref="A168:A170"/>
    <mergeCell ref="B168:B170"/>
    <mergeCell ref="A171:A173"/>
    <mergeCell ref="B171:B173"/>
    <mergeCell ref="A174:A177"/>
    <mergeCell ref="B174:B177"/>
    <mergeCell ref="A154:A159"/>
    <mergeCell ref="B154:B159"/>
    <mergeCell ref="A160:A165"/>
    <mergeCell ref="B160:B165"/>
    <mergeCell ref="A166:A167"/>
    <mergeCell ref="B166:B167"/>
    <mergeCell ref="A191:A195"/>
    <mergeCell ref="B191:B195"/>
    <mergeCell ref="A196:A199"/>
    <mergeCell ref="B196:B199"/>
    <mergeCell ref="A200:A201"/>
    <mergeCell ref="B200:B201"/>
    <mergeCell ref="A178:A180"/>
    <mergeCell ref="B178:B180"/>
    <mergeCell ref="A181:A184"/>
    <mergeCell ref="B181:B184"/>
    <mergeCell ref="A186:A190"/>
    <mergeCell ref="B186:B190"/>
    <mergeCell ref="A209:A210"/>
    <mergeCell ref="B209:B210"/>
    <mergeCell ref="A211:A212"/>
    <mergeCell ref="B211:B212"/>
    <mergeCell ref="A213:A217"/>
    <mergeCell ref="B213:B217"/>
    <mergeCell ref="A202:A203"/>
    <mergeCell ref="B202:B203"/>
    <mergeCell ref="A205:A206"/>
    <mergeCell ref="B205:B206"/>
    <mergeCell ref="A207:A208"/>
    <mergeCell ref="B207:B208"/>
    <mergeCell ref="A234:A236"/>
    <mergeCell ref="B234:B236"/>
    <mergeCell ref="A237:A244"/>
    <mergeCell ref="B237:B244"/>
    <mergeCell ref="A245:A249"/>
    <mergeCell ref="B245:B249"/>
    <mergeCell ref="A218:A223"/>
    <mergeCell ref="B218:B223"/>
    <mergeCell ref="A224:A229"/>
    <mergeCell ref="B224:B229"/>
    <mergeCell ref="A230:A233"/>
    <mergeCell ref="B230:B233"/>
    <mergeCell ref="A286:A289"/>
    <mergeCell ref="B286:B289"/>
    <mergeCell ref="A290:A291"/>
    <mergeCell ref="B290:B291"/>
    <mergeCell ref="A292:A295"/>
    <mergeCell ref="B292:B295"/>
    <mergeCell ref="A250:A258"/>
    <mergeCell ref="B250:B258"/>
    <mergeCell ref="A259:A263"/>
    <mergeCell ref="B259:B263"/>
    <mergeCell ref="A264:A272"/>
    <mergeCell ref="B264:B272"/>
    <mergeCell ref="A317:A318"/>
    <mergeCell ref="B317:B318"/>
    <mergeCell ref="A320:A324"/>
    <mergeCell ref="B320:B324"/>
    <mergeCell ref="A325:A328"/>
    <mergeCell ref="B325:B328"/>
    <mergeCell ref="A296:A298"/>
    <mergeCell ref="B296:B298"/>
    <mergeCell ref="A299:A307"/>
    <mergeCell ref="B299:B307"/>
    <mergeCell ref="A309:A312"/>
    <mergeCell ref="B309:B312"/>
    <mergeCell ref="A346:A347"/>
    <mergeCell ref="B346:B347"/>
    <mergeCell ref="A349:A350"/>
    <mergeCell ref="B349:B350"/>
    <mergeCell ref="A352:A355"/>
    <mergeCell ref="B352:B355"/>
    <mergeCell ref="A329:A332"/>
    <mergeCell ref="B329:B332"/>
    <mergeCell ref="A333:A337"/>
    <mergeCell ref="B333:B337"/>
    <mergeCell ref="A341:A345"/>
    <mergeCell ref="B341:B345"/>
    <mergeCell ref="A374:A375"/>
    <mergeCell ref="B374:B375"/>
    <mergeCell ref="A365:A368"/>
    <mergeCell ref="B365:B368"/>
    <mergeCell ref="A369:A371"/>
    <mergeCell ref="B369:B371"/>
    <mergeCell ref="A372:A373"/>
    <mergeCell ref="B372:B373"/>
    <mergeCell ref="A356:A359"/>
    <mergeCell ref="B356:B359"/>
    <mergeCell ref="A360:A362"/>
    <mergeCell ref="B360:B362"/>
    <mergeCell ref="A363:A364"/>
    <mergeCell ref="B363:B364"/>
  </mergeCells>
  <pageMargins left="0.7" right="0.2" top="0.5" bottom="0.5" header="0.3" footer="0.3"/>
  <pageSetup scale="85"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G379"/>
  <sheetViews>
    <sheetView zoomScale="90" zoomScaleNormal="90" workbookViewId="0">
      <selection activeCell="B18" sqref="B18"/>
    </sheetView>
  </sheetViews>
  <sheetFormatPr defaultColWidth="9.140625" defaultRowHeight="15.75" x14ac:dyDescent="0.25"/>
  <cols>
    <col min="1" max="1" width="11.28515625" style="80" customWidth="1"/>
    <col min="2" max="2" width="73" style="73" customWidth="1"/>
    <col min="3" max="3" width="11.85546875" style="80" customWidth="1"/>
    <col min="4" max="4" width="9.85546875" style="81" bestFit="1" customWidth="1"/>
    <col min="5" max="5" width="9.28515625" style="84" bestFit="1" customWidth="1"/>
    <col min="6" max="6" width="15.85546875" style="102" bestFit="1" customWidth="1"/>
    <col min="7" max="7" width="28.42578125" style="73" customWidth="1"/>
    <col min="8" max="16384" width="9.140625" style="73"/>
  </cols>
  <sheetData>
    <row r="2" spans="1:7" ht="36.75" customHeight="1" x14ac:dyDescent="0.25">
      <c r="A2" s="121" t="s">
        <v>1670</v>
      </c>
      <c r="B2" s="121"/>
      <c r="C2" s="121"/>
      <c r="D2" s="121"/>
      <c r="E2" s="121"/>
      <c r="F2" s="121"/>
      <c r="G2" s="121"/>
    </row>
    <row r="3" spans="1:7" ht="20.25" customHeight="1" x14ac:dyDescent="0.25">
      <c r="A3" s="113"/>
      <c r="B3" s="113"/>
      <c r="C3" s="113"/>
      <c r="D3" s="113"/>
      <c r="E3" s="113"/>
      <c r="F3" s="113"/>
      <c r="G3" s="113"/>
    </row>
    <row r="4" spans="1:7" ht="18.75" x14ac:dyDescent="0.25">
      <c r="A4" s="109" t="s">
        <v>1671</v>
      </c>
    </row>
    <row r="5" spans="1:7" s="111" customFormat="1" ht="22.5" customHeight="1" x14ac:dyDescent="0.25">
      <c r="A5" s="110" t="s">
        <v>1594</v>
      </c>
      <c r="B5" s="110" t="s">
        <v>1595</v>
      </c>
      <c r="C5" s="110" t="s">
        <v>1594</v>
      </c>
      <c r="D5" s="110" t="s">
        <v>1596</v>
      </c>
      <c r="E5" s="110" t="s">
        <v>1597</v>
      </c>
      <c r="F5" s="110" t="s">
        <v>1665</v>
      </c>
      <c r="G5" s="110" t="s">
        <v>1666</v>
      </c>
    </row>
    <row r="6" spans="1:7" ht="24.95" customHeight="1" x14ac:dyDescent="0.25">
      <c r="A6" s="82" t="s">
        <v>1210</v>
      </c>
      <c r="B6" s="100" t="s">
        <v>1674</v>
      </c>
      <c r="C6" s="82" t="s">
        <v>1210</v>
      </c>
      <c r="D6" s="114">
        <v>1</v>
      </c>
      <c r="E6" s="83" t="s">
        <v>1051</v>
      </c>
      <c r="F6" s="104"/>
      <c r="G6" s="104">
        <f>F6*D6</f>
        <v>0</v>
      </c>
    </row>
    <row r="7" spans="1:7" ht="24.95" customHeight="1" x14ac:dyDescent="0.25">
      <c r="A7" s="82" t="s">
        <v>1211</v>
      </c>
      <c r="B7" s="100" t="s">
        <v>1675</v>
      </c>
      <c r="C7" s="82" t="s">
        <v>1211</v>
      </c>
      <c r="D7" s="114">
        <v>4</v>
      </c>
      <c r="E7" s="83" t="s">
        <v>1051</v>
      </c>
      <c r="F7" s="104"/>
      <c r="G7" s="104">
        <f t="shared" ref="G7:G70" si="0">F7*D7</f>
        <v>0</v>
      </c>
    </row>
    <row r="8" spans="1:7" ht="24.95" customHeight="1" x14ac:dyDescent="0.25">
      <c r="A8" s="82" t="s">
        <v>1212</v>
      </c>
      <c r="B8" s="100" t="s">
        <v>1676</v>
      </c>
      <c r="C8" s="82" t="s">
        <v>1212</v>
      </c>
      <c r="D8" s="114">
        <v>3</v>
      </c>
      <c r="E8" s="83" t="s">
        <v>1051</v>
      </c>
      <c r="F8" s="104"/>
      <c r="G8" s="104">
        <f t="shared" si="0"/>
        <v>0</v>
      </c>
    </row>
    <row r="9" spans="1:7" s="105" customFormat="1" ht="24.95" customHeight="1" x14ac:dyDescent="0.25">
      <c r="A9" s="82" t="s">
        <v>1530</v>
      </c>
      <c r="B9" s="101" t="s">
        <v>1672</v>
      </c>
      <c r="C9" s="82" t="s">
        <v>1530</v>
      </c>
      <c r="D9" s="115">
        <v>1</v>
      </c>
      <c r="E9" s="99" t="s">
        <v>1051</v>
      </c>
      <c r="F9" s="104"/>
      <c r="G9" s="104">
        <f t="shared" si="0"/>
        <v>0</v>
      </c>
    </row>
    <row r="10" spans="1:7" s="105" customFormat="1" ht="24.95" customHeight="1" x14ac:dyDescent="0.25">
      <c r="A10" s="82" t="s">
        <v>1531</v>
      </c>
      <c r="B10" s="101" t="s">
        <v>1673</v>
      </c>
      <c r="C10" s="82" t="s">
        <v>1531</v>
      </c>
      <c r="D10" s="115">
        <v>1</v>
      </c>
      <c r="E10" s="99" t="s">
        <v>1051</v>
      </c>
      <c r="F10" s="104"/>
      <c r="G10" s="104">
        <f t="shared" si="0"/>
        <v>0</v>
      </c>
    </row>
    <row r="11" spans="1:7" ht="24.95" customHeight="1" x14ac:dyDescent="0.25">
      <c r="A11" s="82" t="s">
        <v>1213</v>
      </c>
      <c r="B11" s="100" t="s">
        <v>1677</v>
      </c>
      <c r="C11" s="82" t="s">
        <v>1213</v>
      </c>
      <c r="D11" s="114">
        <v>1</v>
      </c>
      <c r="E11" s="83" t="s">
        <v>1051</v>
      </c>
      <c r="F11" s="104"/>
      <c r="G11" s="104">
        <f t="shared" si="0"/>
        <v>0</v>
      </c>
    </row>
    <row r="12" spans="1:7" ht="24.95" customHeight="1" x14ac:dyDescent="0.25">
      <c r="A12" s="82" t="s">
        <v>1214</v>
      </c>
      <c r="B12" s="100" t="s">
        <v>1678</v>
      </c>
      <c r="C12" s="82" t="s">
        <v>1214</v>
      </c>
      <c r="D12" s="114">
        <v>1</v>
      </c>
      <c r="E12" s="83" t="s">
        <v>1051</v>
      </c>
      <c r="F12" s="104"/>
      <c r="G12" s="104">
        <f t="shared" si="0"/>
        <v>0</v>
      </c>
    </row>
    <row r="13" spans="1:7" ht="24.95" customHeight="1" x14ac:dyDescent="0.25">
      <c r="A13" s="82" t="s">
        <v>1215</v>
      </c>
      <c r="B13" s="100" t="s">
        <v>1679</v>
      </c>
      <c r="C13" s="82" t="s">
        <v>1215</v>
      </c>
      <c r="D13" s="114">
        <v>9</v>
      </c>
      <c r="E13" s="83" t="s">
        <v>1051</v>
      </c>
      <c r="F13" s="104"/>
      <c r="G13" s="104">
        <f t="shared" si="0"/>
        <v>0</v>
      </c>
    </row>
    <row r="14" spans="1:7" ht="24.95" customHeight="1" x14ac:dyDescent="0.25">
      <c r="A14" s="82" t="s">
        <v>1216</v>
      </c>
      <c r="B14" s="72" t="s">
        <v>1232</v>
      </c>
      <c r="C14" s="82" t="s">
        <v>1216</v>
      </c>
      <c r="D14" s="114">
        <v>1</v>
      </c>
      <c r="E14" s="83" t="s">
        <v>1051</v>
      </c>
      <c r="F14" s="104"/>
      <c r="G14" s="104">
        <f t="shared" si="0"/>
        <v>0</v>
      </c>
    </row>
    <row r="15" spans="1:7" ht="24.95" customHeight="1" x14ac:dyDescent="0.25">
      <c r="A15" s="82" t="s">
        <v>1217</v>
      </c>
      <c r="B15" s="72" t="s">
        <v>1680</v>
      </c>
      <c r="C15" s="82" t="s">
        <v>1217</v>
      </c>
      <c r="D15" s="114">
        <v>1</v>
      </c>
      <c r="E15" s="83" t="s">
        <v>1051</v>
      </c>
      <c r="F15" s="104"/>
      <c r="G15" s="104">
        <f t="shared" si="0"/>
        <v>0</v>
      </c>
    </row>
    <row r="16" spans="1:7" ht="39.950000000000003" customHeight="1" x14ac:dyDescent="0.25">
      <c r="A16" s="82" t="s">
        <v>1218</v>
      </c>
      <c r="B16" s="72" t="s">
        <v>1233</v>
      </c>
      <c r="C16" s="82" t="s">
        <v>1218</v>
      </c>
      <c r="D16" s="114">
        <v>10</v>
      </c>
      <c r="E16" s="83" t="s">
        <v>1051</v>
      </c>
      <c r="F16" s="104"/>
      <c r="G16" s="104">
        <f t="shared" si="0"/>
        <v>0</v>
      </c>
    </row>
    <row r="17" spans="1:7" ht="54.95" customHeight="1" x14ac:dyDescent="0.25">
      <c r="A17" s="78" t="s">
        <v>1182</v>
      </c>
      <c r="B17" s="74" t="s">
        <v>1183</v>
      </c>
      <c r="C17" s="78" t="str">
        <f>A17</f>
        <v>1000SA</v>
      </c>
      <c r="D17" s="114">
        <v>3</v>
      </c>
      <c r="E17" s="83" t="s">
        <v>1051</v>
      </c>
      <c r="F17" s="104"/>
      <c r="G17" s="104">
        <f t="shared" si="0"/>
        <v>0</v>
      </c>
    </row>
    <row r="18" spans="1:7" ht="54.95" customHeight="1" x14ac:dyDescent="0.25">
      <c r="A18" s="78" t="s">
        <v>1184</v>
      </c>
      <c r="B18" s="74" t="s">
        <v>1681</v>
      </c>
      <c r="C18" s="78" t="str">
        <f t="shared" ref="C18:C29" si="1">A18</f>
        <v>1001SA</v>
      </c>
      <c r="D18" s="114">
        <v>5</v>
      </c>
      <c r="E18" s="83" t="s">
        <v>1051</v>
      </c>
      <c r="F18" s="104"/>
      <c r="G18" s="104">
        <f t="shared" si="0"/>
        <v>0</v>
      </c>
    </row>
    <row r="19" spans="1:7" ht="54.95" customHeight="1" x14ac:dyDescent="0.25">
      <c r="A19" s="78" t="s">
        <v>1185</v>
      </c>
      <c r="B19" s="75" t="s">
        <v>1606</v>
      </c>
      <c r="C19" s="78" t="str">
        <f t="shared" si="1"/>
        <v>1002SA</v>
      </c>
      <c r="D19" s="114">
        <v>16</v>
      </c>
      <c r="E19" s="83" t="s">
        <v>1051</v>
      </c>
      <c r="F19" s="104"/>
      <c r="G19" s="104">
        <f t="shared" si="0"/>
        <v>0</v>
      </c>
    </row>
    <row r="20" spans="1:7" ht="54.95" customHeight="1" x14ac:dyDescent="0.25">
      <c r="A20" s="78" t="s">
        <v>1186</v>
      </c>
      <c r="B20" s="74" t="s">
        <v>1187</v>
      </c>
      <c r="C20" s="78" t="str">
        <f t="shared" si="1"/>
        <v>1003SA</v>
      </c>
      <c r="D20" s="114">
        <v>25</v>
      </c>
      <c r="E20" s="83" t="s">
        <v>1051</v>
      </c>
      <c r="F20" s="104"/>
      <c r="G20" s="104">
        <f t="shared" si="0"/>
        <v>0</v>
      </c>
    </row>
    <row r="21" spans="1:7" ht="54.95" customHeight="1" x14ac:dyDescent="0.25">
      <c r="A21" s="78" t="s">
        <v>1188</v>
      </c>
      <c r="B21" s="74" t="s">
        <v>1189</v>
      </c>
      <c r="C21" s="78" t="str">
        <f t="shared" si="1"/>
        <v>1030SA</v>
      </c>
      <c r="D21" s="114">
        <v>3</v>
      </c>
      <c r="E21" s="83" t="s">
        <v>1051</v>
      </c>
      <c r="F21" s="104"/>
      <c r="G21" s="104">
        <f t="shared" si="0"/>
        <v>0</v>
      </c>
    </row>
    <row r="22" spans="1:7" ht="65.099999999999994" customHeight="1" x14ac:dyDescent="0.25">
      <c r="A22" s="78" t="s">
        <v>1190</v>
      </c>
      <c r="B22" s="75" t="s">
        <v>1191</v>
      </c>
      <c r="C22" s="78" t="str">
        <f t="shared" si="1"/>
        <v>1052SA</v>
      </c>
      <c r="D22" s="114">
        <v>1</v>
      </c>
      <c r="E22" s="83" t="s">
        <v>1051</v>
      </c>
      <c r="F22" s="104"/>
      <c r="G22" s="104">
        <f t="shared" si="0"/>
        <v>0</v>
      </c>
    </row>
    <row r="23" spans="1:7" ht="65.099999999999994" customHeight="1" x14ac:dyDescent="0.25">
      <c r="A23" s="78" t="s">
        <v>1192</v>
      </c>
      <c r="B23" s="74" t="s">
        <v>1193</v>
      </c>
      <c r="C23" s="78" t="str">
        <f t="shared" si="1"/>
        <v>1053SA</v>
      </c>
      <c r="D23" s="114">
        <v>1</v>
      </c>
      <c r="E23" s="83" t="s">
        <v>1051</v>
      </c>
      <c r="F23" s="104"/>
      <c r="G23" s="104">
        <f t="shared" si="0"/>
        <v>0</v>
      </c>
    </row>
    <row r="24" spans="1:7" ht="54.95" customHeight="1" x14ac:dyDescent="0.25">
      <c r="A24" s="78" t="s">
        <v>1194</v>
      </c>
      <c r="B24" s="74" t="s">
        <v>1195</v>
      </c>
      <c r="C24" s="78" t="str">
        <f t="shared" si="1"/>
        <v>1055SA</v>
      </c>
      <c r="D24" s="114">
        <v>1</v>
      </c>
      <c r="E24" s="83" t="s">
        <v>1051</v>
      </c>
      <c r="F24" s="104"/>
      <c r="G24" s="104">
        <f t="shared" si="0"/>
        <v>0</v>
      </c>
    </row>
    <row r="25" spans="1:7" ht="54.95" customHeight="1" x14ac:dyDescent="0.25">
      <c r="A25" s="78" t="s">
        <v>1196</v>
      </c>
      <c r="B25" s="75" t="s">
        <v>1197</v>
      </c>
      <c r="C25" s="78" t="str">
        <f>A25</f>
        <v>1200SA</v>
      </c>
      <c r="D25" s="114">
        <v>1</v>
      </c>
      <c r="E25" s="83" t="s">
        <v>1051</v>
      </c>
      <c r="F25" s="104"/>
      <c r="G25" s="104">
        <f t="shared" si="0"/>
        <v>0</v>
      </c>
    </row>
    <row r="26" spans="1:7" ht="54.95" customHeight="1" x14ac:dyDescent="0.25">
      <c r="A26" s="78" t="s">
        <v>1198</v>
      </c>
      <c r="B26" s="75" t="s">
        <v>1199</v>
      </c>
      <c r="C26" s="78" t="str">
        <f t="shared" si="1"/>
        <v>1205SA</v>
      </c>
      <c r="D26" s="114">
        <v>1</v>
      </c>
      <c r="E26" s="83" t="s">
        <v>1051</v>
      </c>
      <c r="F26" s="104"/>
      <c r="G26" s="104">
        <f t="shared" si="0"/>
        <v>0</v>
      </c>
    </row>
    <row r="27" spans="1:7" ht="39.950000000000003" customHeight="1" x14ac:dyDescent="0.25">
      <c r="A27" s="78" t="s">
        <v>1200</v>
      </c>
      <c r="B27" s="75" t="s">
        <v>1201</v>
      </c>
      <c r="C27" s="78" t="str">
        <f t="shared" si="1"/>
        <v>1208SA</v>
      </c>
      <c r="D27" s="114">
        <v>3</v>
      </c>
      <c r="E27" s="83" t="s">
        <v>1051</v>
      </c>
      <c r="F27" s="104"/>
      <c r="G27" s="104">
        <f t="shared" si="0"/>
        <v>0</v>
      </c>
    </row>
    <row r="28" spans="1:7" ht="39.950000000000003" customHeight="1" x14ac:dyDescent="0.25">
      <c r="A28" s="78" t="s">
        <v>1202</v>
      </c>
      <c r="B28" s="75" t="s">
        <v>1203</v>
      </c>
      <c r="C28" s="78" t="str">
        <f t="shared" si="1"/>
        <v>1210SA</v>
      </c>
      <c r="D28" s="114">
        <v>1</v>
      </c>
      <c r="E28" s="83" t="s">
        <v>1051</v>
      </c>
      <c r="F28" s="104"/>
      <c r="G28" s="104">
        <f t="shared" si="0"/>
        <v>0</v>
      </c>
    </row>
    <row r="29" spans="1:7" ht="39.950000000000003" customHeight="1" x14ac:dyDescent="0.25">
      <c r="A29" s="78" t="s">
        <v>1204</v>
      </c>
      <c r="B29" s="75" t="s">
        <v>1205</v>
      </c>
      <c r="C29" s="78" t="str">
        <f t="shared" si="1"/>
        <v>1220SA</v>
      </c>
      <c r="D29" s="114">
        <v>1</v>
      </c>
      <c r="E29" s="83" t="s">
        <v>1051</v>
      </c>
      <c r="F29" s="104"/>
      <c r="G29" s="104">
        <f t="shared" si="0"/>
        <v>0</v>
      </c>
    </row>
    <row r="30" spans="1:7" ht="39.950000000000003" customHeight="1" x14ac:dyDescent="0.25">
      <c r="A30" s="78" t="s">
        <v>1206</v>
      </c>
      <c r="B30" s="75" t="s">
        <v>1207</v>
      </c>
      <c r="C30" s="78" t="str">
        <f t="shared" ref="C30:C31" si="2">A30</f>
        <v>1310SA</v>
      </c>
      <c r="D30" s="114">
        <v>4</v>
      </c>
      <c r="E30" s="83" t="s">
        <v>1051</v>
      </c>
      <c r="F30" s="104"/>
      <c r="G30" s="104">
        <f t="shared" si="0"/>
        <v>0</v>
      </c>
    </row>
    <row r="31" spans="1:7" ht="39.950000000000003" customHeight="1" x14ac:dyDescent="0.25">
      <c r="A31" s="78" t="s">
        <v>1208</v>
      </c>
      <c r="B31" s="74" t="s">
        <v>1209</v>
      </c>
      <c r="C31" s="78" t="str">
        <f t="shared" si="2"/>
        <v>1370SA</v>
      </c>
      <c r="D31" s="114">
        <v>1</v>
      </c>
      <c r="E31" s="83" t="s">
        <v>1051</v>
      </c>
      <c r="F31" s="104"/>
      <c r="G31" s="104">
        <f t="shared" si="0"/>
        <v>0</v>
      </c>
    </row>
    <row r="32" spans="1:7" s="105" customFormat="1" ht="85.5" customHeight="1" x14ac:dyDescent="0.25">
      <c r="A32" s="89" t="s">
        <v>1532</v>
      </c>
      <c r="B32" s="90" t="s">
        <v>1533</v>
      </c>
      <c r="C32" s="89" t="s">
        <v>1532</v>
      </c>
      <c r="D32" s="98">
        <v>5</v>
      </c>
      <c r="E32" s="99" t="s">
        <v>1051</v>
      </c>
      <c r="F32" s="104"/>
      <c r="G32" s="104">
        <f t="shared" si="0"/>
        <v>0</v>
      </c>
    </row>
    <row r="33" spans="1:7" s="105" customFormat="1" ht="39.950000000000003" customHeight="1" x14ac:dyDescent="0.25">
      <c r="A33" s="85" t="s">
        <v>1534</v>
      </c>
      <c r="B33" s="91" t="s">
        <v>1600</v>
      </c>
      <c r="C33" s="103" t="s">
        <v>1534</v>
      </c>
      <c r="D33" s="98">
        <v>1</v>
      </c>
      <c r="E33" s="99" t="s">
        <v>1051</v>
      </c>
      <c r="F33" s="104"/>
      <c r="G33" s="104">
        <f t="shared" si="0"/>
        <v>0</v>
      </c>
    </row>
    <row r="34" spans="1:7" s="105" customFormat="1" ht="39.950000000000003" customHeight="1" x14ac:dyDescent="0.25">
      <c r="A34" s="85" t="s">
        <v>1535</v>
      </c>
      <c r="B34" s="91" t="s">
        <v>1601</v>
      </c>
      <c r="C34" s="103" t="s">
        <v>1535</v>
      </c>
      <c r="D34" s="98">
        <v>1</v>
      </c>
      <c r="E34" s="99" t="s">
        <v>1051</v>
      </c>
      <c r="F34" s="104"/>
      <c r="G34" s="104">
        <f t="shared" si="0"/>
        <v>0</v>
      </c>
    </row>
    <row r="35" spans="1:7" s="105" customFormat="1" ht="39.950000000000003" customHeight="1" x14ac:dyDescent="0.25">
      <c r="A35" s="78" t="s">
        <v>1536</v>
      </c>
      <c r="B35" s="92" t="s">
        <v>1607</v>
      </c>
      <c r="C35" s="103" t="s">
        <v>1536</v>
      </c>
      <c r="D35" s="98">
        <v>600</v>
      </c>
      <c r="E35" s="99" t="s">
        <v>1051</v>
      </c>
      <c r="F35" s="104"/>
      <c r="G35" s="104">
        <f t="shared" si="0"/>
        <v>0</v>
      </c>
    </row>
    <row r="36" spans="1:7" s="105" customFormat="1" ht="24.95" customHeight="1" x14ac:dyDescent="0.25">
      <c r="A36" s="86" t="s">
        <v>1537</v>
      </c>
      <c r="B36" s="93" t="s">
        <v>1599</v>
      </c>
      <c r="C36" s="103" t="s">
        <v>1537</v>
      </c>
      <c r="D36" s="98">
        <v>155</v>
      </c>
      <c r="E36" s="99" t="s">
        <v>1051</v>
      </c>
      <c r="F36" s="104"/>
      <c r="G36" s="104">
        <f t="shared" si="0"/>
        <v>0</v>
      </c>
    </row>
    <row r="37" spans="1:7" s="105" customFormat="1" ht="24.95" customHeight="1" x14ac:dyDescent="0.25">
      <c r="A37" s="87" t="s">
        <v>1538</v>
      </c>
      <c r="B37" s="94" t="s">
        <v>1608</v>
      </c>
      <c r="C37" s="103" t="s">
        <v>1538</v>
      </c>
      <c r="D37" s="98">
        <v>50</v>
      </c>
      <c r="E37" s="99" t="s">
        <v>1051</v>
      </c>
      <c r="F37" s="104"/>
      <c r="G37" s="104">
        <f t="shared" si="0"/>
        <v>0</v>
      </c>
    </row>
    <row r="38" spans="1:7" s="105" customFormat="1" ht="24.95" customHeight="1" x14ac:dyDescent="0.25">
      <c r="A38" s="87" t="s">
        <v>1539</v>
      </c>
      <c r="B38" s="94" t="s">
        <v>1609</v>
      </c>
      <c r="C38" s="103" t="s">
        <v>1539</v>
      </c>
      <c r="D38" s="98">
        <v>35</v>
      </c>
      <c r="E38" s="99" t="s">
        <v>1051</v>
      </c>
      <c r="F38" s="104"/>
      <c r="G38" s="104">
        <f t="shared" si="0"/>
        <v>0</v>
      </c>
    </row>
    <row r="39" spans="1:7" s="105" customFormat="1" ht="24.95" customHeight="1" x14ac:dyDescent="0.25">
      <c r="A39" s="87" t="s">
        <v>1540</v>
      </c>
      <c r="B39" s="96" t="s">
        <v>1610</v>
      </c>
      <c r="C39" s="103" t="s">
        <v>1540</v>
      </c>
      <c r="D39" s="98">
        <v>215</v>
      </c>
      <c r="E39" s="99" t="s">
        <v>1051</v>
      </c>
      <c r="F39" s="104"/>
      <c r="G39" s="104">
        <f t="shared" si="0"/>
        <v>0</v>
      </c>
    </row>
    <row r="40" spans="1:7" s="105" customFormat="1" ht="39.950000000000003" customHeight="1" x14ac:dyDescent="0.25">
      <c r="A40" s="87" t="s">
        <v>1541</v>
      </c>
      <c r="B40" s="94" t="s">
        <v>1602</v>
      </c>
      <c r="C40" s="103" t="s">
        <v>1541</v>
      </c>
      <c r="D40" s="98">
        <v>20</v>
      </c>
      <c r="E40" s="99" t="s">
        <v>1051</v>
      </c>
      <c r="F40" s="104"/>
      <c r="G40" s="104">
        <f t="shared" si="0"/>
        <v>0</v>
      </c>
    </row>
    <row r="41" spans="1:7" s="105" customFormat="1" ht="24.95" customHeight="1" x14ac:dyDescent="0.25">
      <c r="A41" s="87" t="s">
        <v>1542</v>
      </c>
      <c r="B41" s="94" t="s">
        <v>1611</v>
      </c>
      <c r="C41" s="103" t="s">
        <v>1542</v>
      </c>
      <c r="D41" s="98">
        <v>70</v>
      </c>
      <c r="E41" s="99" t="s">
        <v>1051</v>
      </c>
      <c r="F41" s="104"/>
      <c r="G41" s="104">
        <f t="shared" si="0"/>
        <v>0</v>
      </c>
    </row>
    <row r="42" spans="1:7" s="105" customFormat="1" ht="39.950000000000003" customHeight="1" x14ac:dyDescent="0.25">
      <c r="A42" s="87" t="s">
        <v>1543</v>
      </c>
      <c r="B42" s="92" t="s">
        <v>1612</v>
      </c>
      <c r="C42" s="103" t="s">
        <v>1543</v>
      </c>
      <c r="D42" s="98">
        <v>470</v>
      </c>
      <c r="E42" s="99" t="s">
        <v>1051</v>
      </c>
      <c r="F42" s="104"/>
      <c r="G42" s="104">
        <f t="shared" si="0"/>
        <v>0</v>
      </c>
    </row>
    <row r="43" spans="1:7" s="105" customFormat="1" ht="39.950000000000003" customHeight="1" x14ac:dyDescent="0.25">
      <c r="A43" s="78" t="s">
        <v>1544</v>
      </c>
      <c r="B43" s="92" t="s">
        <v>1613</v>
      </c>
      <c r="C43" s="103" t="s">
        <v>1544</v>
      </c>
      <c r="D43" s="98">
        <v>40</v>
      </c>
      <c r="E43" s="99" t="s">
        <v>1051</v>
      </c>
      <c r="F43" s="104"/>
      <c r="G43" s="104">
        <f t="shared" si="0"/>
        <v>0</v>
      </c>
    </row>
    <row r="44" spans="1:7" s="105" customFormat="1" ht="24.95" customHeight="1" x14ac:dyDescent="0.25">
      <c r="A44" s="78" t="s">
        <v>1545</v>
      </c>
      <c r="B44" s="92" t="s">
        <v>1614</v>
      </c>
      <c r="C44" s="103" t="s">
        <v>1545</v>
      </c>
      <c r="D44" s="98">
        <v>40</v>
      </c>
      <c r="E44" s="99" t="s">
        <v>1051</v>
      </c>
      <c r="F44" s="104"/>
      <c r="G44" s="104">
        <f t="shared" si="0"/>
        <v>0</v>
      </c>
    </row>
    <row r="45" spans="1:7" s="105" customFormat="1" ht="24.95" customHeight="1" x14ac:dyDescent="0.25">
      <c r="A45" s="87" t="s">
        <v>1546</v>
      </c>
      <c r="B45" s="94" t="s">
        <v>1615</v>
      </c>
      <c r="C45" s="103" t="s">
        <v>1546</v>
      </c>
      <c r="D45" s="98">
        <v>25</v>
      </c>
      <c r="E45" s="99" t="s">
        <v>1051</v>
      </c>
      <c r="F45" s="104"/>
      <c r="G45" s="104">
        <f t="shared" si="0"/>
        <v>0</v>
      </c>
    </row>
    <row r="46" spans="1:7" s="105" customFormat="1" ht="24.95" customHeight="1" x14ac:dyDescent="0.25">
      <c r="A46" s="87" t="s">
        <v>1547</v>
      </c>
      <c r="B46" s="94" t="s">
        <v>1616</v>
      </c>
      <c r="C46" s="103" t="s">
        <v>1547</v>
      </c>
      <c r="D46" s="98">
        <v>25</v>
      </c>
      <c r="E46" s="99" t="s">
        <v>1051</v>
      </c>
      <c r="F46" s="104"/>
      <c r="G46" s="104">
        <f t="shared" si="0"/>
        <v>0</v>
      </c>
    </row>
    <row r="47" spans="1:7" s="105" customFormat="1" ht="24.95" customHeight="1" x14ac:dyDescent="0.25">
      <c r="A47" s="78" t="s">
        <v>1548</v>
      </c>
      <c r="B47" s="76" t="s">
        <v>1617</v>
      </c>
      <c r="C47" s="103" t="s">
        <v>1548</v>
      </c>
      <c r="D47" s="98">
        <v>500</v>
      </c>
      <c r="E47" s="99" t="s">
        <v>1051</v>
      </c>
      <c r="F47" s="104"/>
      <c r="G47" s="104">
        <f t="shared" si="0"/>
        <v>0</v>
      </c>
    </row>
    <row r="48" spans="1:7" s="105" customFormat="1" ht="24.95" customHeight="1" x14ac:dyDescent="0.25">
      <c r="A48" s="87" t="s">
        <v>1549</v>
      </c>
      <c r="B48" s="94" t="s">
        <v>1618</v>
      </c>
      <c r="C48" s="103" t="s">
        <v>1549</v>
      </c>
      <c r="D48" s="98">
        <v>110</v>
      </c>
      <c r="E48" s="99" t="s">
        <v>1051</v>
      </c>
      <c r="F48" s="104"/>
      <c r="G48" s="104">
        <f t="shared" si="0"/>
        <v>0</v>
      </c>
    </row>
    <row r="49" spans="1:7" s="105" customFormat="1" ht="24.95" customHeight="1" x14ac:dyDescent="0.25">
      <c r="A49" s="87" t="s">
        <v>1550</v>
      </c>
      <c r="B49" s="94" t="s">
        <v>1619</v>
      </c>
      <c r="C49" s="103" t="s">
        <v>1550</v>
      </c>
      <c r="D49" s="98">
        <v>175</v>
      </c>
      <c r="E49" s="99" t="s">
        <v>1051</v>
      </c>
      <c r="F49" s="104"/>
      <c r="G49" s="104">
        <f t="shared" si="0"/>
        <v>0</v>
      </c>
    </row>
    <row r="50" spans="1:7" s="105" customFormat="1" ht="24.95" customHeight="1" x14ac:dyDescent="0.25">
      <c r="A50" s="87" t="s">
        <v>1551</v>
      </c>
      <c r="B50" s="94" t="s">
        <v>1620</v>
      </c>
      <c r="C50" s="103" t="s">
        <v>1551</v>
      </c>
      <c r="D50" s="98">
        <v>25</v>
      </c>
      <c r="E50" s="99" t="s">
        <v>1051</v>
      </c>
      <c r="F50" s="104"/>
      <c r="G50" s="104">
        <f t="shared" si="0"/>
        <v>0</v>
      </c>
    </row>
    <row r="51" spans="1:7" s="105" customFormat="1" ht="39.950000000000003" customHeight="1" x14ac:dyDescent="0.25">
      <c r="A51" s="87" t="s">
        <v>1552</v>
      </c>
      <c r="B51" s="92" t="s">
        <v>1621</v>
      </c>
      <c r="C51" s="103" t="s">
        <v>1552</v>
      </c>
      <c r="D51" s="98">
        <v>350</v>
      </c>
      <c r="E51" s="99" t="s">
        <v>1051</v>
      </c>
      <c r="F51" s="104"/>
      <c r="G51" s="104">
        <f t="shared" si="0"/>
        <v>0</v>
      </c>
    </row>
    <row r="52" spans="1:7" s="105" customFormat="1" ht="39.950000000000003" customHeight="1" x14ac:dyDescent="0.25">
      <c r="A52" s="87" t="s">
        <v>1553</v>
      </c>
      <c r="B52" s="92" t="s">
        <v>1622</v>
      </c>
      <c r="C52" s="103" t="s">
        <v>1553</v>
      </c>
      <c r="D52" s="98">
        <v>25</v>
      </c>
      <c r="E52" s="99" t="s">
        <v>1051</v>
      </c>
      <c r="F52" s="104"/>
      <c r="G52" s="104">
        <f t="shared" si="0"/>
        <v>0</v>
      </c>
    </row>
    <row r="53" spans="1:7" s="105" customFormat="1" ht="24.95" customHeight="1" x14ac:dyDescent="0.25">
      <c r="A53" s="88" t="s">
        <v>1554</v>
      </c>
      <c r="B53" s="95" t="s">
        <v>1623</v>
      </c>
      <c r="C53" s="103" t="s">
        <v>1554</v>
      </c>
      <c r="D53" s="98">
        <v>900</v>
      </c>
      <c r="E53" s="99" t="s">
        <v>1051</v>
      </c>
      <c r="F53" s="104"/>
      <c r="G53" s="104">
        <f t="shared" si="0"/>
        <v>0</v>
      </c>
    </row>
    <row r="54" spans="1:7" s="105" customFormat="1" ht="39.950000000000003" customHeight="1" x14ac:dyDescent="0.25">
      <c r="A54" s="87" t="s">
        <v>1555</v>
      </c>
      <c r="B54" s="94" t="s">
        <v>1624</v>
      </c>
      <c r="C54" s="103" t="s">
        <v>1555</v>
      </c>
      <c r="D54" s="98">
        <v>5</v>
      </c>
      <c r="E54" s="99" t="s">
        <v>1051</v>
      </c>
      <c r="F54" s="104"/>
      <c r="G54" s="104">
        <f t="shared" si="0"/>
        <v>0</v>
      </c>
    </row>
    <row r="55" spans="1:7" s="105" customFormat="1" ht="39.950000000000003" customHeight="1" x14ac:dyDescent="0.25">
      <c r="A55" s="88" t="s">
        <v>1556</v>
      </c>
      <c r="B55" s="92" t="s">
        <v>1603</v>
      </c>
      <c r="C55" s="103" t="s">
        <v>1556</v>
      </c>
      <c r="D55" s="98">
        <v>5</v>
      </c>
      <c r="E55" s="99" t="s">
        <v>1051</v>
      </c>
      <c r="F55" s="104"/>
      <c r="G55" s="104">
        <f t="shared" si="0"/>
        <v>0</v>
      </c>
    </row>
    <row r="56" spans="1:7" s="105" customFormat="1" ht="24.95" customHeight="1" x14ac:dyDescent="0.25">
      <c r="A56" s="78" t="s">
        <v>1557</v>
      </c>
      <c r="B56" s="76" t="s">
        <v>1625</v>
      </c>
      <c r="C56" s="103" t="s">
        <v>1557</v>
      </c>
      <c r="D56" s="98">
        <v>20</v>
      </c>
      <c r="E56" s="99" t="s">
        <v>1051</v>
      </c>
      <c r="F56" s="104"/>
      <c r="G56" s="104">
        <f t="shared" si="0"/>
        <v>0</v>
      </c>
    </row>
    <row r="57" spans="1:7" s="105" customFormat="1" ht="24.95" customHeight="1" x14ac:dyDescent="0.25">
      <c r="A57" s="78" t="s">
        <v>1558</v>
      </c>
      <c r="B57" s="92" t="s">
        <v>1626</v>
      </c>
      <c r="C57" s="103" t="s">
        <v>1558</v>
      </c>
      <c r="D57" s="98">
        <v>1</v>
      </c>
      <c r="E57" s="99" t="s">
        <v>1051</v>
      </c>
      <c r="F57" s="104"/>
      <c r="G57" s="104">
        <f t="shared" si="0"/>
        <v>0</v>
      </c>
    </row>
    <row r="58" spans="1:7" s="105" customFormat="1" ht="39.950000000000003" customHeight="1" x14ac:dyDescent="0.25">
      <c r="A58" s="78" t="s">
        <v>1559</v>
      </c>
      <c r="B58" s="92" t="s">
        <v>1627</v>
      </c>
      <c r="C58" s="103" t="s">
        <v>1559</v>
      </c>
      <c r="D58" s="98">
        <v>35</v>
      </c>
      <c r="E58" s="99" t="s">
        <v>1051</v>
      </c>
      <c r="F58" s="104"/>
      <c r="G58" s="104">
        <f t="shared" si="0"/>
        <v>0</v>
      </c>
    </row>
    <row r="59" spans="1:7" s="105" customFormat="1" ht="24.95" customHeight="1" x14ac:dyDescent="0.25">
      <c r="A59" s="78" t="s">
        <v>1560</v>
      </c>
      <c r="B59" s="92" t="s">
        <v>1628</v>
      </c>
      <c r="C59" s="103" t="s">
        <v>1560</v>
      </c>
      <c r="D59" s="98">
        <v>1</v>
      </c>
      <c r="E59" s="99" t="s">
        <v>1051</v>
      </c>
      <c r="F59" s="104"/>
      <c r="G59" s="104">
        <f t="shared" si="0"/>
        <v>0</v>
      </c>
    </row>
    <row r="60" spans="1:7" s="105" customFormat="1" ht="39.950000000000003" customHeight="1" x14ac:dyDescent="0.25">
      <c r="A60" s="88" t="s">
        <v>1561</v>
      </c>
      <c r="B60" s="92" t="s">
        <v>1629</v>
      </c>
      <c r="C60" s="103" t="s">
        <v>1561</v>
      </c>
      <c r="D60" s="98">
        <v>75</v>
      </c>
      <c r="E60" s="99" t="s">
        <v>1051</v>
      </c>
      <c r="F60" s="104"/>
      <c r="G60" s="104">
        <f t="shared" si="0"/>
        <v>0</v>
      </c>
    </row>
    <row r="61" spans="1:7" s="105" customFormat="1" ht="39.950000000000003" customHeight="1" x14ac:dyDescent="0.25">
      <c r="A61" s="88" t="s">
        <v>1562</v>
      </c>
      <c r="B61" s="92" t="s">
        <v>1630</v>
      </c>
      <c r="C61" s="103" t="s">
        <v>1562</v>
      </c>
      <c r="D61" s="98">
        <v>25</v>
      </c>
      <c r="E61" s="99" t="s">
        <v>1051</v>
      </c>
      <c r="F61" s="104"/>
      <c r="G61" s="104">
        <f t="shared" si="0"/>
        <v>0</v>
      </c>
    </row>
    <row r="62" spans="1:7" s="105" customFormat="1" ht="24.95" customHeight="1" x14ac:dyDescent="0.25">
      <c r="A62" s="88" t="s">
        <v>1563</v>
      </c>
      <c r="B62" s="76" t="s">
        <v>1564</v>
      </c>
      <c r="C62" s="103" t="s">
        <v>1563</v>
      </c>
      <c r="D62" s="98">
        <v>1</v>
      </c>
      <c r="E62" s="99" t="s">
        <v>1051</v>
      </c>
      <c r="F62" s="104"/>
      <c r="G62" s="104">
        <f t="shared" si="0"/>
        <v>0</v>
      </c>
    </row>
    <row r="63" spans="1:7" s="105" customFormat="1" ht="24.95" customHeight="1" x14ac:dyDescent="0.25">
      <c r="A63" s="88" t="s">
        <v>1565</v>
      </c>
      <c r="B63" s="91" t="s">
        <v>1604</v>
      </c>
      <c r="C63" s="103" t="s">
        <v>1565</v>
      </c>
      <c r="D63" s="98">
        <v>1</v>
      </c>
      <c r="E63" s="99" t="s">
        <v>1051</v>
      </c>
      <c r="F63" s="104"/>
      <c r="G63" s="104">
        <f t="shared" si="0"/>
        <v>0</v>
      </c>
    </row>
    <row r="64" spans="1:7" s="105" customFormat="1" ht="24.95" customHeight="1" x14ac:dyDescent="0.25">
      <c r="A64" s="87" t="s">
        <v>1566</v>
      </c>
      <c r="B64" s="96" t="s">
        <v>1631</v>
      </c>
      <c r="C64" s="103" t="s">
        <v>1566</v>
      </c>
      <c r="D64" s="98">
        <v>20</v>
      </c>
      <c r="E64" s="99" t="s">
        <v>1051</v>
      </c>
      <c r="F64" s="104"/>
      <c r="G64" s="104">
        <f t="shared" si="0"/>
        <v>0</v>
      </c>
    </row>
    <row r="65" spans="1:7" s="105" customFormat="1" ht="24.95" customHeight="1" x14ac:dyDescent="0.25">
      <c r="A65" s="78" t="s">
        <v>1219</v>
      </c>
      <c r="B65" s="95" t="s">
        <v>1632</v>
      </c>
      <c r="C65" s="103" t="s">
        <v>1219</v>
      </c>
      <c r="D65" s="98">
        <v>3</v>
      </c>
      <c r="E65" s="99" t="s">
        <v>1051</v>
      </c>
      <c r="F65" s="104"/>
      <c r="G65" s="104">
        <f t="shared" si="0"/>
        <v>0</v>
      </c>
    </row>
    <row r="66" spans="1:7" s="105" customFormat="1" ht="24.95" customHeight="1" x14ac:dyDescent="0.25">
      <c r="A66" s="78" t="s">
        <v>1220</v>
      </c>
      <c r="B66" s="95" t="s">
        <v>1633</v>
      </c>
      <c r="C66" s="103" t="s">
        <v>1220</v>
      </c>
      <c r="D66" s="98">
        <v>1</v>
      </c>
      <c r="E66" s="99" t="s">
        <v>1051</v>
      </c>
      <c r="F66" s="104"/>
      <c r="G66" s="104">
        <f t="shared" si="0"/>
        <v>0</v>
      </c>
    </row>
    <row r="67" spans="1:7" s="105" customFormat="1" ht="24.95" customHeight="1" x14ac:dyDescent="0.25">
      <c r="A67" s="78" t="s">
        <v>1221</v>
      </c>
      <c r="B67" s="95" t="s">
        <v>1634</v>
      </c>
      <c r="C67" s="103" t="s">
        <v>1221</v>
      </c>
      <c r="D67" s="98">
        <v>2</v>
      </c>
      <c r="E67" s="99" t="s">
        <v>1051</v>
      </c>
      <c r="F67" s="104"/>
      <c r="G67" s="104">
        <f t="shared" si="0"/>
        <v>0</v>
      </c>
    </row>
    <row r="68" spans="1:7" s="105" customFormat="1" ht="24.95" customHeight="1" x14ac:dyDescent="0.25">
      <c r="A68" s="78" t="s">
        <v>1222</v>
      </c>
      <c r="B68" s="95" t="s">
        <v>1635</v>
      </c>
      <c r="C68" s="103" t="s">
        <v>1222</v>
      </c>
      <c r="D68" s="98">
        <v>1</v>
      </c>
      <c r="E68" s="99" t="s">
        <v>1051</v>
      </c>
      <c r="F68" s="104"/>
      <c r="G68" s="104">
        <f t="shared" si="0"/>
        <v>0</v>
      </c>
    </row>
    <row r="69" spans="1:7" s="105" customFormat="1" ht="24.95" customHeight="1" x14ac:dyDescent="0.25">
      <c r="A69" s="78" t="s">
        <v>1223</v>
      </c>
      <c r="B69" s="95" t="s">
        <v>1636</v>
      </c>
      <c r="C69" s="103" t="s">
        <v>1223</v>
      </c>
      <c r="D69" s="98">
        <v>1</v>
      </c>
      <c r="E69" s="99" t="s">
        <v>1051</v>
      </c>
      <c r="F69" s="104"/>
      <c r="G69" s="104">
        <f t="shared" si="0"/>
        <v>0</v>
      </c>
    </row>
    <row r="70" spans="1:7" s="105" customFormat="1" ht="24.95" customHeight="1" x14ac:dyDescent="0.25">
      <c r="A70" s="78" t="s">
        <v>1224</v>
      </c>
      <c r="B70" s="95" t="s">
        <v>1637</v>
      </c>
      <c r="C70" s="103" t="s">
        <v>1224</v>
      </c>
      <c r="D70" s="98">
        <v>1</v>
      </c>
      <c r="E70" s="99" t="s">
        <v>1051</v>
      </c>
      <c r="F70" s="104"/>
      <c r="G70" s="104">
        <f t="shared" si="0"/>
        <v>0</v>
      </c>
    </row>
    <row r="71" spans="1:7" s="105" customFormat="1" ht="24.95" customHeight="1" x14ac:dyDescent="0.25">
      <c r="A71" s="78" t="s">
        <v>1225</v>
      </c>
      <c r="B71" s="95" t="s">
        <v>1638</v>
      </c>
      <c r="C71" s="103" t="s">
        <v>1225</v>
      </c>
      <c r="D71" s="98">
        <v>1</v>
      </c>
      <c r="E71" s="99" t="s">
        <v>1051</v>
      </c>
      <c r="F71" s="104"/>
      <c r="G71" s="104">
        <f t="shared" ref="G71:G134" si="3">F71*D71</f>
        <v>0</v>
      </c>
    </row>
    <row r="72" spans="1:7" s="105" customFormat="1" ht="24.95" customHeight="1" x14ac:dyDescent="0.25">
      <c r="A72" s="78" t="s">
        <v>1226</v>
      </c>
      <c r="B72" s="76" t="s">
        <v>1639</v>
      </c>
      <c r="C72" s="103" t="s">
        <v>1226</v>
      </c>
      <c r="D72" s="98">
        <v>1</v>
      </c>
      <c r="E72" s="99" t="s">
        <v>1051</v>
      </c>
      <c r="F72" s="104"/>
      <c r="G72" s="104">
        <f t="shared" si="3"/>
        <v>0</v>
      </c>
    </row>
    <row r="73" spans="1:7" s="105" customFormat="1" ht="24.95" customHeight="1" x14ac:dyDescent="0.25">
      <c r="A73" s="78" t="s">
        <v>1227</v>
      </c>
      <c r="B73" s="76" t="s">
        <v>1640</v>
      </c>
      <c r="C73" s="103" t="s">
        <v>1227</v>
      </c>
      <c r="D73" s="98">
        <v>1</v>
      </c>
      <c r="E73" s="99" t="s">
        <v>1051</v>
      </c>
      <c r="F73" s="104"/>
      <c r="G73" s="104">
        <f t="shared" si="3"/>
        <v>0</v>
      </c>
    </row>
    <row r="74" spans="1:7" s="105" customFormat="1" ht="24.95" customHeight="1" x14ac:dyDescent="0.25">
      <c r="A74" s="78" t="s">
        <v>1228</v>
      </c>
      <c r="B74" s="97" t="s">
        <v>1641</v>
      </c>
      <c r="C74" s="103" t="s">
        <v>1228</v>
      </c>
      <c r="D74" s="98">
        <v>3</v>
      </c>
      <c r="E74" s="107" t="s">
        <v>1051</v>
      </c>
      <c r="F74" s="104"/>
      <c r="G74" s="104">
        <f t="shared" si="3"/>
        <v>0</v>
      </c>
    </row>
    <row r="75" spans="1:7" s="105" customFormat="1" ht="24.95" customHeight="1" x14ac:dyDescent="0.25">
      <c r="A75" s="78" t="s">
        <v>1229</v>
      </c>
      <c r="B75" s="76" t="s">
        <v>1642</v>
      </c>
      <c r="C75" s="103" t="s">
        <v>1229</v>
      </c>
      <c r="D75" s="98">
        <v>5</v>
      </c>
      <c r="E75" s="107" t="s">
        <v>1051</v>
      </c>
      <c r="F75" s="104"/>
      <c r="G75" s="104">
        <f t="shared" si="3"/>
        <v>0</v>
      </c>
    </row>
    <row r="76" spans="1:7" s="105" customFormat="1" ht="39.950000000000003" customHeight="1" x14ac:dyDescent="0.25">
      <c r="A76" s="78" t="s">
        <v>1230</v>
      </c>
      <c r="B76" s="90" t="s">
        <v>1567</v>
      </c>
      <c r="C76" s="103" t="s">
        <v>1230</v>
      </c>
      <c r="D76" s="98">
        <v>1</v>
      </c>
      <c r="E76" s="107" t="s">
        <v>1051</v>
      </c>
      <c r="F76" s="104"/>
      <c r="G76" s="104">
        <f t="shared" si="3"/>
        <v>0</v>
      </c>
    </row>
    <row r="77" spans="1:7" s="105" customFormat="1" ht="24.95" customHeight="1" x14ac:dyDescent="0.25">
      <c r="A77" s="78" t="s">
        <v>1237</v>
      </c>
      <c r="B77" s="76" t="s">
        <v>1643</v>
      </c>
      <c r="C77" s="103" t="s">
        <v>1237</v>
      </c>
      <c r="D77" s="98">
        <v>3</v>
      </c>
      <c r="E77" s="107" t="s">
        <v>1051</v>
      </c>
      <c r="F77" s="104"/>
      <c r="G77" s="104">
        <f t="shared" si="3"/>
        <v>0</v>
      </c>
    </row>
    <row r="78" spans="1:7" s="105" customFormat="1" ht="39.950000000000003" customHeight="1" x14ac:dyDescent="0.25">
      <c r="A78" s="89" t="s">
        <v>1240</v>
      </c>
      <c r="B78" s="90" t="s">
        <v>1644</v>
      </c>
      <c r="C78" s="103" t="s">
        <v>1240</v>
      </c>
      <c r="D78" s="98">
        <v>1</v>
      </c>
      <c r="E78" s="107" t="s">
        <v>1051</v>
      </c>
      <c r="F78" s="104"/>
      <c r="G78" s="104">
        <f t="shared" si="3"/>
        <v>0</v>
      </c>
    </row>
    <row r="79" spans="1:7" s="105" customFormat="1" ht="39.950000000000003" customHeight="1" x14ac:dyDescent="0.25">
      <c r="A79" s="89" t="s">
        <v>1241</v>
      </c>
      <c r="B79" s="90" t="s">
        <v>1568</v>
      </c>
      <c r="C79" s="103" t="s">
        <v>1241</v>
      </c>
      <c r="D79" s="98">
        <v>1</v>
      </c>
      <c r="E79" s="107" t="s">
        <v>1051</v>
      </c>
      <c r="F79" s="104"/>
      <c r="G79" s="104">
        <f t="shared" si="3"/>
        <v>0</v>
      </c>
    </row>
    <row r="80" spans="1:7" s="105" customFormat="1" ht="39.950000000000003" customHeight="1" x14ac:dyDescent="0.25">
      <c r="A80" s="89" t="s">
        <v>1242</v>
      </c>
      <c r="B80" s="90" t="s">
        <v>1569</v>
      </c>
      <c r="C80" s="103" t="s">
        <v>1242</v>
      </c>
      <c r="D80" s="98">
        <v>1</v>
      </c>
      <c r="E80" s="107" t="s">
        <v>1051</v>
      </c>
      <c r="F80" s="104"/>
      <c r="G80" s="104">
        <f t="shared" si="3"/>
        <v>0</v>
      </c>
    </row>
    <row r="81" spans="1:7" s="105" customFormat="1" ht="39.950000000000003" customHeight="1" x14ac:dyDescent="0.25">
      <c r="A81" s="89" t="s">
        <v>1243</v>
      </c>
      <c r="B81" s="92" t="s">
        <v>1570</v>
      </c>
      <c r="C81" s="103" t="s">
        <v>1243</v>
      </c>
      <c r="D81" s="98">
        <v>1</v>
      </c>
      <c r="E81" s="107" t="s">
        <v>1051</v>
      </c>
      <c r="F81" s="104"/>
      <c r="G81" s="104">
        <f t="shared" si="3"/>
        <v>0</v>
      </c>
    </row>
    <row r="82" spans="1:7" s="105" customFormat="1" ht="39.950000000000003" customHeight="1" x14ac:dyDescent="0.25">
      <c r="A82" s="89" t="s">
        <v>1244</v>
      </c>
      <c r="B82" s="90" t="s">
        <v>1571</v>
      </c>
      <c r="C82" s="103" t="s">
        <v>1244</v>
      </c>
      <c r="D82" s="98">
        <v>1</v>
      </c>
      <c r="E82" s="107" t="s">
        <v>1051</v>
      </c>
      <c r="F82" s="104"/>
      <c r="G82" s="104">
        <f t="shared" si="3"/>
        <v>0</v>
      </c>
    </row>
    <row r="83" spans="1:7" s="105" customFormat="1" ht="39.950000000000003" customHeight="1" x14ac:dyDescent="0.25">
      <c r="A83" s="88" t="s">
        <v>1245</v>
      </c>
      <c r="B83" s="90" t="s">
        <v>1572</v>
      </c>
      <c r="C83" s="103" t="s">
        <v>1245</v>
      </c>
      <c r="D83" s="98">
        <v>1</v>
      </c>
      <c r="E83" s="107" t="s">
        <v>1051</v>
      </c>
      <c r="F83" s="104"/>
      <c r="G83" s="104">
        <f t="shared" si="3"/>
        <v>0</v>
      </c>
    </row>
    <row r="84" spans="1:7" s="105" customFormat="1" ht="39.950000000000003" customHeight="1" x14ac:dyDescent="0.25">
      <c r="A84" s="88" t="s">
        <v>1246</v>
      </c>
      <c r="B84" s="90" t="s">
        <v>1573</v>
      </c>
      <c r="C84" s="103" t="s">
        <v>1246</v>
      </c>
      <c r="D84" s="98">
        <v>1</v>
      </c>
      <c r="E84" s="107" t="s">
        <v>1051</v>
      </c>
      <c r="F84" s="104"/>
      <c r="G84" s="104">
        <f t="shared" si="3"/>
        <v>0</v>
      </c>
    </row>
    <row r="85" spans="1:7" s="105" customFormat="1" ht="39.950000000000003" customHeight="1" x14ac:dyDescent="0.25">
      <c r="A85" s="88" t="s">
        <v>1247</v>
      </c>
      <c r="B85" s="90" t="s">
        <v>1574</v>
      </c>
      <c r="C85" s="103" t="s">
        <v>1247</v>
      </c>
      <c r="D85" s="98">
        <v>1</v>
      </c>
      <c r="E85" s="107" t="s">
        <v>1051</v>
      </c>
      <c r="F85" s="104"/>
      <c r="G85" s="104">
        <f t="shared" si="3"/>
        <v>0</v>
      </c>
    </row>
    <row r="86" spans="1:7" s="105" customFormat="1" ht="39.950000000000003" customHeight="1" x14ac:dyDescent="0.25">
      <c r="A86" s="88" t="s">
        <v>1248</v>
      </c>
      <c r="B86" s="90" t="s">
        <v>1575</v>
      </c>
      <c r="C86" s="103" t="s">
        <v>1248</v>
      </c>
      <c r="D86" s="98">
        <v>1</v>
      </c>
      <c r="E86" s="107" t="s">
        <v>1051</v>
      </c>
      <c r="F86" s="104"/>
      <c r="G86" s="104">
        <f t="shared" si="3"/>
        <v>0</v>
      </c>
    </row>
    <row r="87" spans="1:7" s="105" customFormat="1" ht="24.95" customHeight="1" x14ac:dyDescent="0.25">
      <c r="A87" s="78" t="s">
        <v>1576</v>
      </c>
      <c r="B87" s="76" t="s">
        <v>1645</v>
      </c>
      <c r="C87" s="103" t="s">
        <v>1576</v>
      </c>
      <c r="D87" s="98">
        <v>3</v>
      </c>
      <c r="E87" s="107" t="s">
        <v>1051</v>
      </c>
      <c r="F87" s="104"/>
      <c r="G87" s="104">
        <f t="shared" si="3"/>
        <v>0</v>
      </c>
    </row>
    <row r="88" spans="1:7" s="105" customFormat="1" ht="24.95" customHeight="1" x14ac:dyDescent="0.25">
      <c r="A88" s="78" t="s">
        <v>1577</v>
      </c>
      <c r="B88" s="75" t="s">
        <v>1646</v>
      </c>
      <c r="C88" s="103" t="s">
        <v>1577</v>
      </c>
      <c r="D88" s="98">
        <v>1</v>
      </c>
      <c r="E88" s="107" t="s">
        <v>1051</v>
      </c>
      <c r="F88" s="104"/>
      <c r="G88" s="104">
        <f t="shared" si="3"/>
        <v>0</v>
      </c>
    </row>
    <row r="89" spans="1:7" ht="47.25" x14ac:dyDescent="0.25">
      <c r="A89" s="78" t="s">
        <v>100</v>
      </c>
      <c r="B89" s="76" t="s">
        <v>1102</v>
      </c>
      <c r="C89" s="77" t="s">
        <v>1249</v>
      </c>
      <c r="D89" s="114">
        <v>7440</v>
      </c>
      <c r="E89" s="83" t="s">
        <v>1053</v>
      </c>
      <c r="F89" s="104"/>
      <c r="G89" s="104">
        <f t="shared" si="3"/>
        <v>0</v>
      </c>
    </row>
    <row r="90" spans="1:7" ht="47.25" x14ac:dyDescent="0.25">
      <c r="A90" s="78" t="s">
        <v>99</v>
      </c>
      <c r="B90" s="76" t="s">
        <v>1103</v>
      </c>
      <c r="C90" s="77" t="s">
        <v>1250</v>
      </c>
      <c r="D90" s="114">
        <v>25</v>
      </c>
      <c r="E90" s="83" t="s">
        <v>1053</v>
      </c>
      <c r="F90" s="104"/>
      <c r="G90" s="104">
        <f t="shared" si="3"/>
        <v>0</v>
      </c>
    </row>
    <row r="91" spans="1:7" ht="78.75" x14ac:dyDescent="0.25">
      <c r="A91" s="78" t="s">
        <v>98</v>
      </c>
      <c r="B91" s="76" t="s">
        <v>1105</v>
      </c>
      <c r="C91" s="77" t="s">
        <v>1251</v>
      </c>
      <c r="D91" s="114">
        <v>880</v>
      </c>
      <c r="E91" s="83" t="s">
        <v>1053</v>
      </c>
      <c r="F91" s="104"/>
      <c r="G91" s="104">
        <f t="shared" si="3"/>
        <v>0</v>
      </c>
    </row>
    <row r="92" spans="1:7" ht="47.25" x14ac:dyDescent="0.25">
      <c r="A92" s="78" t="s">
        <v>97</v>
      </c>
      <c r="B92" s="76" t="s">
        <v>1104</v>
      </c>
      <c r="C92" s="77" t="s">
        <v>1252</v>
      </c>
      <c r="D92" s="114">
        <v>6700</v>
      </c>
      <c r="E92" s="83" t="s">
        <v>1053</v>
      </c>
      <c r="F92" s="104"/>
      <c r="G92" s="104">
        <f t="shared" si="3"/>
        <v>0</v>
      </c>
    </row>
    <row r="93" spans="1:7" ht="63" x14ac:dyDescent="0.25">
      <c r="A93" s="78" t="s">
        <v>96</v>
      </c>
      <c r="B93" s="76" t="s">
        <v>1106</v>
      </c>
      <c r="C93" s="77" t="s">
        <v>1253</v>
      </c>
      <c r="D93" s="114">
        <v>155</v>
      </c>
      <c r="E93" s="83" t="s">
        <v>1053</v>
      </c>
      <c r="F93" s="104"/>
      <c r="G93" s="104">
        <f t="shared" si="3"/>
        <v>0</v>
      </c>
    </row>
    <row r="94" spans="1:7" ht="63" x14ac:dyDescent="0.25">
      <c r="A94" s="78" t="s">
        <v>95</v>
      </c>
      <c r="B94" s="76" t="s">
        <v>1107</v>
      </c>
      <c r="C94" s="77" t="s">
        <v>1254</v>
      </c>
      <c r="D94" s="114">
        <v>1735</v>
      </c>
      <c r="E94" s="83" t="s">
        <v>1053</v>
      </c>
      <c r="F94" s="104"/>
      <c r="G94" s="104">
        <f t="shared" si="3"/>
        <v>0</v>
      </c>
    </row>
    <row r="95" spans="1:7" ht="63" x14ac:dyDescent="0.25">
      <c r="A95" s="78" t="s">
        <v>94</v>
      </c>
      <c r="B95" s="76" t="s">
        <v>1108</v>
      </c>
      <c r="C95" s="77" t="s">
        <v>1255</v>
      </c>
      <c r="D95" s="114">
        <v>100</v>
      </c>
      <c r="E95" s="83" t="s">
        <v>1053</v>
      </c>
      <c r="F95" s="104"/>
      <c r="G95" s="104">
        <f t="shared" si="3"/>
        <v>0</v>
      </c>
    </row>
    <row r="96" spans="1:7" ht="63" x14ac:dyDescent="0.25">
      <c r="A96" s="78" t="s">
        <v>93</v>
      </c>
      <c r="B96" s="76" t="s">
        <v>1109</v>
      </c>
      <c r="C96" s="77" t="s">
        <v>1256</v>
      </c>
      <c r="D96" s="114">
        <v>6880</v>
      </c>
      <c r="E96" s="83" t="s">
        <v>1053</v>
      </c>
      <c r="F96" s="104"/>
      <c r="G96" s="104">
        <f t="shared" si="3"/>
        <v>0</v>
      </c>
    </row>
    <row r="97" spans="1:7" ht="47.25" x14ac:dyDescent="0.25">
      <c r="A97" s="78" t="s">
        <v>92</v>
      </c>
      <c r="B97" s="76" t="s">
        <v>1110</v>
      </c>
      <c r="C97" s="77" t="s">
        <v>1257</v>
      </c>
      <c r="D97" s="114">
        <v>40</v>
      </c>
      <c r="E97" s="83" t="s">
        <v>1053</v>
      </c>
      <c r="F97" s="104"/>
      <c r="G97" s="104">
        <f t="shared" si="3"/>
        <v>0</v>
      </c>
    </row>
    <row r="98" spans="1:7" ht="47.25" x14ac:dyDescent="0.25">
      <c r="A98" s="78" t="s">
        <v>91</v>
      </c>
      <c r="B98" s="76" t="s">
        <v>1111</v>
      </c>
      <c r="C98" s="77" t="s">
        <v>1258</v>
      </c>
      <c r="D98" s="114">
        <v>25</v>
      </c>
      <c r="E98" s="83" t="s">
        <v>1053</v>
      </c>
      <c r="F98" s="104"/>
      <c r="G98" s="104">
        <f t="shared" si="3"/>
        <v>0</v>
      </c>
    </row>
    <row r="99" spans="1:7" ht="47.25" x14ac:dyDescent="0.25">
      <c r="A99" s="78" t="s">
        <v>90</v>
      </c>
      <c r="B99" s="76" t="s">
        <v>1112</v>
      </c>
      <c r="C99" s="77" t="s">
        <v>1259</v>
      </c>
      <c r="D99" s="114">
        <v>1850</v>
      </c>
      <c r="E99" s="83" t="s">
        <v>1053</v>
      </c>
      <c r="F99" s="104"/>
      <c r="G99" s="104">
        <f t="shared" si="3"/>
        <v>0</v>
      </c>
    </row>
    <row r="100" spans="1:7" ht="47.25" x14ac:dyDescent="0.25">
      <c r="A100" s="78" t="s">
        <v>89</v>
      </c>
      <c r="B100" s="76" t="s">
        <v>1113</v>
      </c>
      <c r="C100" s="77" t="s">
        <v>1260</v>
      </c>
      <c r="D100" s="114">
        <v>8450</v>
      </c>
      <c r="E100" s="83" t="s">
        <v>1053</v>
      </c>
      <c r="F100" s="104"/>
      <c r="G100" s="104">
        <f t="shared" si="3"/>
        <v>0</v>
      </c>
    </row>
    <row r="101" spans="1:7" ht="63" x14ac:dyDescent="0.25">
      <c r="A101" s="78" t="s">
        <v>88</v>
      </c>
      <c r="B101" s="76" t="s">
        <v>1114</v>
      </c>
      <c r="C101" s="77" t="s">
        <v>1261</v>
      </c>
      <c r="D101" s="114">
        <v>10</v>
      </c>
      <c r="E101" s="83" t="s">
        <v>1053</v>
      </c>
      <c r="F101" s="104"/>
      <c r="G101" s="104">
        <f t="shared" si="3"/>
        <v>0</v>
      </c>
    </row>
    <row r="102" spans="1:7" ht="71.25" customHeight="1" x14ac:dyDescent="0.25">
      <c r="A102" s="78" t="s">
        <v>1578</v>
      </c>
      <c r="B102" s="76" t="s">
        <v>1588</v>
      </c>
      <c r="C102" s="77" t="s">
        <v>1579</v>
      </c>
      <c r="D102" s="114">
        <v>25</v>
      </c>
      <c r="E102" s="83" t="s">
        <v>1053</v>
      </c>
      <c r="F102" s="104"/>
      <c r="G102" s="104">
        <f t="shared" si="3"/>
        <v>0</v>
      </c>
    </row>
    <row r="103" spans="1:7" ht="47.25" x14ac:dyDescent="0.25">
      <c r="A103" s="78" t="s">
        <v>1580</v>
      </c>
      <c r="B103" s="76" t="s">
        <v>1581</v>
      </c>
      <c r="C103" s="77" t="s">
        <v>1582</v>
      </c>
      <c r="D103" s="114">
        <v>4125</v>
      </c>
      <c r="E103" s="83" t="s">
        <v>1053</v>
      </c>
      <c r="F103" s="104"/>
      <c r="G103" s="104">
        <f t="shared" si="3"/>
        <v>0</v>
      </c>
    </row>
    <row r="104" spans="1:7" ht="20.100000000000001" customHeight="1" x14ac:dyDescent="0.25">
      <c r="A104" s="116" t="s">
        <v>87</v>
      </c>
      <c r="B104" s="118" t="s">
        <v>1115</v>
      </c>
      <c r="C104" s="77" t="s">
        <v>1262</v>
      </c>
      <c r="D104" s="114">
        <v>5</v>
      </c>
      <c r="E104" s="83" t="str">
        <f t="shared" ref="E104:E108" si="4">IF(C104="C7","LB","EA")</f>
        <v>EA</v>
      </c>
      <c r="F104" s="104"/>
      <c r="G104" s="104">
        <f t="shared" si="3"/>
        <v>0</v>
      </c>
    </row>
    <row r="105" spans="1:7" ht="20.100000000000001" customHeight="1" x14ac:dyDescent="0.25">
      <c r="A105" s="117"/>
      <c r="B105" s="119"/>
      <c r="C105" s="77" t="s">
        <v>1263</v>
      </c>
      <c r="D105" s="114">
        <v>4</v>
      </c>
      <c r="E105" s="83" t="str">
        <f t="shared" si="4"/>
        <v>EA</v>
      </c>
      <c r="F105" s="104"/>
      <c r="G105" s="104">
        <f t="shared" si="3"/>
        <v>0</v>
      </c>
    </row>
    <row r="106" spans="1:7" ht="32.25" customHeight="1" x14ac:dyDescent="0.25">
      <c r="A106" s="117"/>
      <c r="B106" s="119"/>
      <c r="C106" s="77" t="s">
        <v>1264</v>
      </c>
      <c r="D106" s="114">
        <v>1</v>
      </c>
      <c r="E106" s="83" t="str">
        <f t="shared" si="4"/>
        <v>EA</v>
      </c>
      <c r="F106" s="104"/>
      <c r="G106" s="104">
        <f t="shared" si="3"/>
        <v>0</v>
      </c>
    </row>
    <row r="107" spans="1:7" ht="20.100000000000001" customHeight="1" x14ac:dyDescent="0.25">
      <c r="A107" s="116" t="s">
        <v>86</v>
      </c>
      <c r="B107" s="118" t="s">
        <v>1234</v>
      </c>
      <c r="C107" s="77" t="s">
        <v>1265</v>
      </c>
      <c r="D107" s="114">
        <v>1</v>
      </c>
      <c r="E107" s="83" t="str">
        <f t="shared" si="4"/>
        <v>EA</v>
      </c>
      <c r="F107" s="104"/>
      <c r="G107" s="104">
        <f t="shared" si="3"/>
        <v>0</v>
      </c>
    </row>
    <row r="108" spans="1:7" ht="54" customHeight="1" x14ac:dyDescent="0.25">
      <c r="A108" s="117"/>
      <c r="B108" s="119"/>
      <c r="C108" s="77" t="s">
        <v>1266</v>
      </c>
      <c r="D108" s="114">
        <v>1</v>
      </c>
      <c r="E108" s="83" t="str">
        <f t="shared" si="4"/>
        <v>EA</v>
      </c>
      <c r="F108" s="104"/>
      <c r="G108" s="104">
        <f t="shared" si="3"/>
        <v>0</v>
      </c>
    </row>
    <row r="109" spans="1:7" ht="66" x14ac:dyDescent="0.25">
      <c r="A109" s="78" t="s">
        <v>85</v>
      </c>
      <c r="B109" s="76" t="s">
        <v>1235</v>
      </c>
      <c r="C109" s="77" t="s">
        <v>1267</v>
      </c>
      <c r="D109" s="114">
        <v>24</v>
      </c>
      <c r="E109" s="83" t="str">
        <f t="shared" ref="E109:E111" si="5">IF(C109="C7","LB","EA")</f>
        <v>EA</v>
      </c>
      <c r="F109" s="104"/>
      <c r="G109" s="104">
        <f t="shared" si="3"/>
        <v>0</v>
      </c>
    </row>
    <row r="110" spans="1:7" x14ac:dyDescent="0.25">
      <c r="A110" s="116" t="s">
        <v>84</v>
      </c>
      <c r="B110" s="118" t="s">
        <v>1116</v>
      </c>
      <c r="C110" s="77" t="s">
        <v>1268</v>
      </c>
      <c r="D110" s="114">
        <v>1</v>
      </c>
      <c r="E110" s="83" t="str">
        <f t="shared" si="5"/>
        <v>EA</v>
      </c>
      <c r="F110" s="104"/>
      <c r="G110" s="104">
        <f t="shared" si="3"/>
        <v>0</v>
      </c>
    </row>
    <row r="111" spans="1:7" ht="50.25" customHeight="1" x14ac:dyDescent="0.25">
      <c r="A111" s="117"/>
      <c r="B111" s="119"/>
      <c r="C111" s="77" t="s">
        <v>1269</v>
      </c>
      <c r="D111" s="114">
        <v>1</v>
      </c>
      <c r="E111" s="83" t="str">
        <f t="shared" si="5"/>
        <v>EA</v>
      </c>
      <c r="F111" s="104"/>
      <c r="G111" s="104">
        <f t="shared" si="3"/>
        <v>0</v>
      </c>
    </row>
    <row r="112" spans="1:7" ht="20.100000000000001" customHeight="1" x14ac:dyDescent="0.25">
      <c r="A112" s="116" t="s">
        <v>83</v>
      </c>
      <c r="B112" s="118" t="s">
        <v>1117</v>
      </c>
      <c r="C112" s="77" t="s">
        <v>1270</v>
      </c>
      <c r="D112" s="114">
        <v>3</v>
      </c>
      <c r="E112" s="83" t="str">
        <f t="shared" ref="E112:E123" si="6">IF(C112="C7","LB","EA")</f>
        <v>EA</v>
      </c>
      <c r="F112" s="104"/>
      <c r="G112" s="104">
        <f t="shared" si="3"/>
        <v>0</v>
      </c>
    </row>
    <row r="113" spans="1:7" ht="44.25" customHeight="1" x14ac:dyDescent="0.25">
      <c r="A113" s="117"/>
      <c r="B113" s="119"/>
      <c r="C113" s="77" t="s">
        <v>1271</v>
      </c>
      <c r="D113" s="114">
        <v>1</v>
      </c>
      <c r="E113" s="83" t="str">
        <f t="shared" si="6"/>
        <v>EA</v>
      </c>
      <c r="F113" s="104"/>
      <c r="G113" s="104">
        <f t="shared" si="3"/>
        <v>0</v>
      </c>
    </row>
    <row r="114" spans="1:7" ht="20.100000000000001" customHeight="1" x14ac:dyDescent="0.25">
      <c r="A114" s="116" t="s">
        <v>82</v>
      </c>
      <c r="B114" s="118" t="s">
        <v>1118</v>
      </c>
      <c r="C114" s="77" t="s">
        <v>1272</v>
      </c>
      <c r="D114" s="114">
        <v>14</v>
      </c>
      <c r="E114" s="83" t="str">
        <f t="shared" si="6"/>
        <v>EA</v>
      </c>
      <c r="F114" s="104"/>
      <c r="G114" s="104">
        <f t="shared" si="3"/>
        <v>0</v>
      </c>
    </row>
    <row r="115" spans="1:7" ht="20.100000000000001" customHeight="1" x14ac:dyDescent="0.25">
      <c r="A115" s="117"/>
      <c r="B115" s="119"/>
      <c r="C115" s="77" t="s">
        <v>1273</v>
      </c>
      <c r="D115" s="114">
        <v>1</v>
      </c>
      <c r="E115" s="83" t="str">
        <f t="shared" si="6"/>
        <v>EA</v>
      </c>
      <c r="F115" s="104"/>
      <c r="G115" s="104">
        <f t="shared" si="3"/>
        <v>0</v>
      </c>
    </row>
    <row r="116" spans="1:7" ht="20.100000000000001" customHeight="1" x14ac:dyDescent="0.25">
      <c r="A116" s="117"/>
      <c r="B116" s="119"/>
      <c r="C116" s="77" t="s">
        <v>1274</v>
      </c>
      <c r="D116" s="114">
        <v>4</v>
      </c>
      <c r="E116" s="83" t="str">
        <f t="shared" si="6"/>
        <v>EA</v>
      </c>
      <c r="F116" s="104"/>
      <c r="G116" s="104">
        <f t="shared" si="3"/>
        <v>0</v>
      </c>
    </row>
    <row r="117" spans="1:7" ht="20.100000000000001" customHeight="1" x14ac:dyDescent="0.25">
      <c r="A117" s="117"/>
      <c r="B117" s="119"/>
      <c r="C117" s="77" t="s">
        <v>1275</v>
      </c>
      <c r="D117" s="114">
        <v>1</v>
      </c>
      <c r="E117" s="83" t="str">
        <f t="shared" si="6"/>
        <v>EA</v>
      </c>
      <c r="F117" s="104"/>
      <c r="G117" s="104">
        <f t="shared" si="3"/>
        <v>0</v>
      </c>
    </row>
    <row r="118" spans="1:7" ht="20.100000000000001" customHeight="1" x14ac:dyDescent="0.25">
      <c r="A118" s="117"/>
      <c r="B118" s="119"/>
      <c r="C118" s="77" t="s">
        <v>1276</v>
      </c>
      <c r="D118" s="114">
        <v>1</v>
      </c>
      <c r="E118" s="83" t="str">
        <f t="shared" si="6"/>
        <v>EA</v>
      </c>
      <c r="F118" s="104"/>
      <c r="G118" s="104">
        <f t="shared" si="3"/>
        <v>0</v>
      </c>
    </row>
    <row r="119" spans="1:7" ht="20.100000000000001" customHeight="1" x14ac:dyDescent="0.25">
      <c r="A119" s="116" t="s">
        <v>81</v>
      </c>
      <c r="B119" s="118" t="s">
        <v>1119</v>
      </c>
      <c r="C119" s="77" t="s">
        <v>1277</v>
      </c>
      <c r="D119" s="114">
        <v>66</v>
      </c>
      <c r="E119" s="83" t="str">
        <f t="shared" si="6"/>
        <v>EA</v>
      </c>
      <c r="F119" s="104"/>
      <c r="G119" s="104">
        <f t="shared" si="3"/>
        <v>0</v>
      </c>
    </row>
    <row r="120" spans="1:7" ht="20.100000000000001" customHeight="1" x14ac:dyDescent="0.25">
      <c r="A120" s="117"/>
      <c r="B120" s="119"/>
      <c r="C120" s="77" t="s">
        <v>1278</v>
      </c>
      <c r="D120" s="114">
        <v>11</v>
      </c>
      <c r="E120" s="83" t="str">
        <f t="shared" si="6"/>
        <v>EA</v>
      </c>
      <c r="F120" s="104"/>
      <c r="G120" s="104">
        <f t="shared" si="3"/>
        <v>0</v>
      </c>
    </row>
    <row r="121" spans="1:7" ht="20.100000000000001" customHeight="1" x14ac:dyDescent="0.25">
      <c r="A121" s="117"/>
      <c r="B121" s="119"/>
      <c r="C121" s="77" t="s">
        <v>1279</v>
      </c>
      <c r="D121" s="114">
        <v>22</v>
      </c>
      <c r="E121" s="83" t="str">
        <f t="shared" si="6"/>
        <v>EA</v>
      </c>
      <c r="F121" s="104"/>
      <c r="G121" s="104">
        <f t="shared" si="3"/>
        <v>0</v>
      </c>
    </row>
    <row r="122" spans="1:7" ht="20.100000000000001" customHeight="1" x14ac:dyDescent="0.25">
      <c r="A122" s="117"/>
      <c r="B122" s="119"/>
      <c r="C122" s="77" t="s">
        <v>1280</v>
      </c>
      <c r="D122" s="114">
        <v>26</v>
      </c>
      <c r="E122" s="83" t="str">
        <f t="shared" si="6"/>
        <v>EA</v>
      </c>
      <c r="F122" s="104"/>
      <c r="G122" s="104">
        <f t="shared" si="3"/>
        <v>0</v>
      </c>
    </row>
    <row r="123" spans="1:7" ht="20.100000000000001" customHeight="1" x14ac:dyDescent="0.25">
      <c r="A123" s="117"/>
      <c r="B123" s="119"/>
      <c r="C123" s="77" t="s">
        <v>1281</v>
      </c>
      <c r="D123" s="114">
        <v>1</v>
      </c>
      <c r="E123" s="83" t="str">
        <f t="shared" si="6"/>
        <v>EA</v>
      </c>
      <c r="F123" s="104"/>
      <c r="G123" s="104">
        <f t="shared" si="3"/>
        <v>0</v>
      </c>
    </row>
    <row r="124" spans="1:7" ht="20.100000000000001" customHeight="1" x14ac:dyDescent="0.25">
      <c r="A124" s="116" t="s">
        <v>80</v>
      </c>
      <c r="B124" s="118" t="s">
        <v>1121</v>
      </c>
      <c r="C124" s="77" t="s">
        <v>1282</v>
      </c>
      <c r="D124" s="114">
        <v>7</v>
      </c>
      <c r="E124" s="83" t="str">
        <f t="shared" ref="E124:E140" si="7">IF(C124="C7","LB","EA")</f>
        <v>EA</v>
      </c>
      <c r="F124" s="104"/>
      <c r="G124" s="104">
        <f t="shared" si="3"/>
        <v>0</v>
      </c>
    </row>
    <row r="125" spans="1:7" ht="20.100000000000001" customHeight="1" x14ac:dyDescent="0.25">
      <c r="A125" s="117"/>
      <c r="B125" s="119"/>
      <c r="C125" s="77" t="s">
        <v>1283</v>
      </c>
      <c r="D125" s="114">
        <v>2</v>
      </c>
      <c r="E125" s="83" t="str">
        <f t="shared" si="7"/>
        <v>EA</v>
      </c>
      <c r="F125" s="104"/>
      <c r="G125" s="104">
        <f t="shared" si="3"/>
        <v>0</v>
      </c>
    </row>
    <row r="126" spans="1:7" ht="29.25" customHeight="1" x14ac:dyDescent="0.25">
      <c r="A126" s="117"/>
      <c r="B126" s="119"/>
      <c r="C126" s="77" t="s">
        <v>1284</v>
      </c>
      <c r="D126" s="114">
        <v>3</v>
      </c>
      <c r="E126" s="83" t="str">
        <f t="shared" si="7"/>
        <v>EA</v>
      </c>
      <c r="F126" s="104"/>
      <c r="G126" s="104">
        <f t="shared" si="3"/>
        <v>0</v>
      </c>
    </row>
    <row r="127" spans="1:7" ht="20.100000000000001" customHeight="1" x14ac:dyDescent="0.25">
      <c r="A127" s="116" t="s">
        <v>79</v>
      </c>
      <c r="B127" s="118" t="s">
        <v>1120</v>
      </c>
      <c r="C127" s="77" t="s">
        <v>1285</v>
      </c>
      <c r="D127" s="114">
        <v>10</v>
      </c>
      <c r="E127" s="83" t="str">
        <f t="shared" si="7"/>
        <v>EA</v>
      </c>
      <c r="F127" s="104"/>
      <c r="G127" s="104">
        <f t="shared" si="3"/>
        <v>0</v>
      </c>
    </row>
    <row r="128" spans="1:7" ht="20.100000000000001" customHeight="1" x14ac:dyDescent="0.25">
      <c r="A128" s="117"/>
      <c r="B128" s="119"/>
      <c r="C128" s="77" t="s">
        <v>1286</v>
      </c>
      <c r="D128" s="114">
        <v>4</v>
      </c>
      <c r="E128" s="83" t="str">
        <f t="shared" si="7"/>
        <v>EA</v>
      </c>
      <c r="F128" s="104"/>
      <c r="G128" s="104">
        <f t="shared" si="3"/>
        <v>0</v>
      </c>
    </row>
    <row r="129" spans="1:7" ht="20.100000000000001" customHeight="1" x14ac:dyDescent="0.25">
      <c r="A129" s="117"/>
      <c r="B129" s="119"/>
      <c r="C129" s="77" t="s">
        <v>1287</v>
      </c>
      <c r="D129" s="114">
        <v>7</v>
      </c>
      <c r="E129" s="83" t="str">
        <f t="shared" si="7"/>
        <v>EA</v>
      </c>
      <c r="F129" s="104"/>
      <c r="G129" s="104">
        <f t="shared" si="3"/>
        <v>0</v>
      </c>
    </row>
    <row r="130" spans="1:7" ht="20.100000000000001" customHeight="1" x14ac:dyDescent="0.25">
      <c r="A130" s="117"/>
      <c r="B130" s="119"/>
      <c r="C130" s="77" t="s">
        <v>1288</v>
      </c>
      <c r="D130" s="114">
        <v>16</v>
      </c>
      <c r="E130" s="83" t="str">
        <f t="shared" si="7"/>
        <v>EA</v>
      </c>
      <c r="F130" s="104"/>
      <c r="G130" s="104">
        <f t="shared" si="3"/>
        <v>0</v>
      </c>
    </row>
    <row r="131" spans="1:7" ht="20.100000000000001" customHeight="1" x14ac:dyDescent="0.25">
      <c r="A131" s="117"/>
      <c r="B131" s="119"/>
      <c r="C131" s="77" t="s">
        <v>1289</v>
      </c>
      <c r="D131" s="114">
        <v>1</v>
      </c>
      <c r="E131" s="83" t="str">
        <f t="shared" si="7"/>
        <v>EA</v>
      </c>
      <c r="F131" s="104"/>
      <c r="G131" s="104">
        <f t="shared" si="3"/>
        <v>0</v>
      </c>
    </row>
    <row r="132" spans="1:7" ht="65.25" customHeight="1" x14ac:dyDescent="0.25">
      <c r="A132" s="78" t="s">
        <v>78</v>
      </c>
      <c r="B132" s="76" t="s">
        <v>1122</v>
      </c>
      <c r="C132" s="77" t="s">
        <v>1290</v>
      </c>
      <c r="D132" s="114">
        <v>10</v>
      </c>
      <c r="E132" s="83" t="s">
        <v>1053</v>
      </c>
      <c r="F132" s="104"/>
      <c r="G132" s="104">
        <f t="shared" si="3"/>
        <v>0</v>
      </c>
    </row>
    <row r="133" spans="1:7" ht="20.100000000000001" customHeight="1" x14ac:dyDescent="0.25">
      <c r="A133" s="116" t="s">
        <v>77</v>
      </c>
      <c r="B133" s="118" t="s">
        <v>1123</v>
      </c>
      <c r="C133" s="77" t="s">
        <v>1291</v>
      </c>
      <c r="D133" s="114">
        <v>30</v>
      </c>
      <c r="E133" s="83" t="str">
        <f t="shared" si="7"/>
        <v>EA</v>
      </c>
      <c r="F133" s="104"/>
      <c r="G133" s="104">
        <f t="shared" si="3"/>
        <v>0</v>
      </c>
    </row>
    <row r="134" spans="1:7" ht="20.100000000000001" customHeight="1" x14ac:dyDescent="0.25">
      <c r="A134" s="117"/>
      <c r="B134" s="119"/>
      <c r="C134" s="77" t="s">
        <v>1292</v>
      </c>
      <c r="D134" s="114">
        <v>48</v>
      </c>
      <c r="E134" s="83" t="str">
        <f t="shared" si="7"/>
        <v>EA</v>
      </c>
      <c r="F134" s="104"/>
      <c r="G134" s="104">
        <f t="shared" si="3"/>
        <v>0</v>
      </c>
    </row>
    <row r="135" spans="1:7" ht="20.100000000000001" customHeight="1" x14ac:dyDescent="0.25">
      <c r="A135" s="117"/>
      <c r="B135" s="119"/>
      <c r="C135" s="77" t="s">
        <v>1293</v>
      </c>
      <c r="D135" s="114">
        <v>1</v>
      </c>
      <c r="E135" s="83" t="str">
        <f t="shared" si="7"/>
        <v>EA</v>
      </c>
      <c r="F135" s="104"/>
      <c r="G135" s="104">
        <f t="shared" ref="G135:G198" si="8">F135*D135</f>
        <v>0</v>
      </c>
    </row>
    <row r="136" spans="1:7" ht="20.100000000000001" customHeight="1" x14ac:dyDescent="0.25">
      <c r="A136" s="117"/>
      <c r="B136" s="119"/>
      <c r="C136" s="77" t="s">
        <v>1294</v>
      </c>
      <c r="D136" s="114">
        <v>1</v>
      </c>
      <c r="E136" s="83" t="str">
        <f t="shared" si="7"/>
        <v>EA</v>
      </c>
      <c r="F136" s="104"/>
      <c r="G136" s="104">
        <f t="shared" si="8"/>
        <v>0</v>
      </c>
    </row>
    <row r="137" spans="1:7" ht="20.100000000000001" customHeight="1" x14ac:dyDescent="0.25">
      <c r="A137" s="116" t="s">
        <v>76</v>
      </c>
      <c r="B137" s="118" t="s">
        <v>1124</v>
      </c>
      <c r="C137" s="77" t="s">
        <v>1295</v>
      </c>
      <c r="D137" s="114">
        <v>157</v>
      </c>
      <c r="E137" s="83" t="str">
        <f t="shared" si="7"/>
        <v>EA</v>
      </c>
      <c r="F137" s="104"/>
      <c r="G137" s="104">
        <f t="shared" si="8"/>
        <v>0</v>
      </c>
    </row>
    <row r="138" spans="1:7" ht="20.100000000000001" customHeight="1" x14ac:dyDescent="0.25">
      <c r="A138" s="117"/>
      <c r="B138" s="119"/>
      <c r="C138" s="77" t="s">
        <v>1296</v>
      </c>
      <c r="D138" s="114">
        <v>3</v>
      </c>
      <c r="E138" s="83" t="str">
        <f t="shared" si="7"/>
        <v>EA</v>
      </c>
      <c r="F138" s="104"/>
      <c r="G138" s="104">
        <f t="shared" si="8"/>
        <v>0</v>
      </c>
    </row>
    <row r="139" spans="1:7" ht="20.100000000000001" customHeight="1" x14ac:dyDescent="0.25">
      <c r="A139" s="117"/>
      <c r="B139" s="119"/>
      <c r="C139" s="77" t="s">
        <v>1297</v>
      </c>
      <c r="D139" s="114">
        <v>3</v>
      </c>
      <c r="E139" s="83" t="str">
        <f t="shared" si="7"/>
        <v>EA</v>
      </c>
      <c r="F139" s="104"/>
      <c r="G139" s="104">
        <f t="shared" si="8"/>
        <v>0</v>
      </c>
    </row>
    <row r="140" spans="1:7" ht="20.100000000000001" customHeight="1" x14ac:dyDescent="0.25">
      <c r="A140" s="117"/>
      <c r="B140" s="119"/>
      <c r="C140" s="77" t="s">
        <v>1298</v>
      </c>
      <c r="D140" s="114">
        <v>1</v>
      </c>
      <c r="E140" s="83" t="str">
        <f t="shared" si="7"/>
        <v>EA</v>
      </c>
      <c r="F140" s="104"/>
      <c r="G140" s="104">
        <f t="shared" si="8"/>
        <v>0</v>
      </c>
    </row>
    <row r="141" spans="1:7" ht="63" x14ac:dyDescent="0.25">
      <c r="A141" s="78" t="s">
        <v>70</v>
      </c>
      <c r="B141" s="76" t="s">
        <v>1125</v>
      </c>
      <c r="C141" s="77" t="s">
        <v>1299</v>
      </c>
      <c r="D141" s="114">
        <v>1</v>
      </c>
      <c r="E141" s="83" t="str">
        <f t="shared" ref="E141:E158" si="9">IF(C141="C7","LB","EA")</f>
        <v>EA</v>
      </c>
      <c r="F141" s="104"/>
      <c r="G141" s="104">
        <f t="shared" si="8"/>
        <v>0</v>
      </c>
    </row>
    <row r="142" spans="1:7" ht="47.25" x14ac:dyDescent="0.25">
      <c r="A142" s="78" t="s">
        <v>69</v>
      </c>
      <c r="B142" s="76" t="s">
        <v>1126</v>
      </c>
      <c r="C142" s="77" t="s">
        <v>1300</v>
      </c>
      <c r="D142" s="114">
        <v>1</v>
      </c>
      <c r="E142" s="83" t="str">
        <f>IF(C142="C7","LB","EA")</f>
        <v>EA</v>
      </c>
      <c r="F142" s="104"/>
      <c r="G142" s="104">
        <f t="shared" si="8"/>
        <v>0</v>
      </c>
    </row>
    <row r="143" spans="1:7" ht="68.25" customHeight="1" x14ac:dyDescent="0.25">
      <c r="A143" s="78" t="s">
        <v>66</v>
      </c>
      <c r="B143" s="76" t="s">
        <v>1127</v>
      </c>
      <c r="C143" s="77" t="s">
        <v>1301</v>
      </c>
      <c r="D143" s="114">
        <v>27</v>
      </c>
      <c r="E143" s="83" t="str">
        <f t="shared" si="9"/>
        <v>EA</v>
      </c>
      <c r="F143" s="104"/>
      <c r="G143" s="104">
        <f t="shared" si="8"/>
        <v>0</v>
      </c>
    </row>
    <row r="144" spans="1:7" ht="63.75" customHeight="1" x14ac:dyDescent="0.25">
      <c r="A144" s="78" t="s">
        <v>65</v>
      </c>
      <c r="B144" s="76" t="s">
        <v>1128</v>
      </c>
      <c r="C144" s="77" t="s">
        <v>1528</v>
      </c>
      <c r="D144" s="114">
        <v>2830</v>
      </c>
      <c r="E144" s="83" t="s">
        <v>1053</v>
      </c>
      <c r="F144" s="104"/>
      <c r="G144" s="104">
        <f t="shared" si="8"/>
        <v>0</v>
      </c>
    </row>
    <row r="145" spans="1:7" ht="20.100000000000001" customHeight="1" x14ac:dyDescent="0.25">
      <c r="A145" s="116" t="s">
        <v>64</v>
      </c>
      <c r="B145" s="118" t="s">
        <v>1130</v>
      </c>
      <c r="C145" s="77" t="s">
        <v>1302</v>
      </c>
      <c r="D145" s="114">
        <v>25</v>
      </c>
      <c r="E145" s="83" t="str">
        <f t="shared" si="9"/>
        <v>EA</v>
      </c>
      <c r="F145" s="104"/>
      <c r="G145" s="104">
        <f t="shared" si="8"/>
        <v>0</v>
      </c>
    </row>
    <row r="146" spans="1:7" ht="20.100000000000001" customHeight="1" x14ac:dyDescent="0.25">
      <c r="A146" s="117"/>
      <c r="B146" s="119"/>
      <c r="C146" s="77" t="s">
        <v>1303</v>
      </c>
      <c r="D146" s="114">
        <v>43</v>
      </c>
      <c r="E146" s="83" t="str">
        <f t="shared" si="9"/>
        <v>EA</v>
      </c>
      <c r="F146" s="104"/>
      <c r="G146" s="104">
        <f t="shared" si="8"/>
        <v>0</v>
      </c>
    </row>
    <row r="147" spans="1:7" ht="20.100000000000001" customHeight="1" x14ac:dyDescent="0.25">
      <c r="A147" s="117"/>
      <c r="B147" s="119"/>
      <c r="C147" s="77" t="s">
        <v>1304</v>
      </c>
      <c r="D147" s="114">
        <v>64</v>
      </c>
      <c r="E147" s="83" t="str">
        <f t="shared" si="9"/>
        <v>EA</v>
      </c>
      <c r="F147" s="104"/>
      <c r="G147" s="104">
        <f t="shared" si="8"/>
        <v>0</v>
      </c>
    </row>
    <row r="148" spans="1:7" ht="20.100000000000001" customHeight="1" x14ac:dyDescent="0.25">
      <c r="A148" s="117"/>
      <c r="B148" s="119"/>
      <c r="C148" s="77" t="s">
        <v>1305</v>
      </c>
      <c r="D148" s="114">
        <v>146</v>
      </c>
      <c r="E148" s="83" t="str">
        <f t="shared" si="9"/>
        <v>EA</v>
      </c>
      <c r="F148" s="104"/>
      <c r="G148" s="104">
        <f t="shared" si="8"/>
        <v>0</v>
      </c>
    </row>
    <row r="149" spans="1:7" ht="20.100000000000001" customHeight="1" x14ac:dyDescent="0.25">
      <c r="A149" s="116" t="s">
        <v>63</v>
      </c>
      <c r="B149" s="118" t="s">
        <v>1129</v>
      </c>
      <c r="C149" s="77" t="s">
        <v>1306</v>
      </c>
      <c r="D149" s="114">
        <v>83</v>
      </c>
      <c r="E149" s="83" t="str">
        <f t="shared" si="9"/>
        <v>EA</v>
      </c>
      <c r="F149" s="104"/>
      <c r="G149" s="104">
        <f t="shared" si="8"/>
        <v>0</v>
      </c>
    </row>
    <row r="150" spans="1:7" ht="20.100000000000001" customHeight="1" x14ac:dyDescent="0.25">
      <c r="A150" s="116"/>
      <c r="B150" s="118"/>
      <c r="C150" s="77" t="s">
        <v>1307</v>
      </c>
      <c r="D150" s="114">
        <v>93</v>
      </c>
      <c r="E150" s="83" t="str">
        <f t="shared" si="9"/>
        <v>EA</v>
      </c>
      <c r="F150" s="104"/>
      <c r="G150" s="104">
        <f t="shared" si="8"/>
        <v>0</v>
      </c>
    </row>
    <row r="151" spans="1:7" ht="20.100000000000001" customHeight="1" x14ac:dyDescent="0.25">
      <c r="A151" s="116"/>
      <c r="B151" s="118"/>
      <c r="C151" s="77" t="s">
        <v>1308</v>
      </c>
      <c r="D151" s="114">
        <v>177</v>
      </c>
      <c r="E151" s="83" t="str">
        <f t="shared" si="9"/>
        <v>EA</v>
      </c>
      <c r="F151" s="104"/>
      <c r="G151" s="104">
        <f t="shared" si="8"/>
        <v>0</v>
      </c>
    </row>
    <row r="152" spans="1:7" ht="20.100000000000001" customHeight="1" x14ac:dyDescent="0.25">
      <c r="A152" s="116"/>
      <c r="B152" s="118"/>
      <c r="C152" s="77" t="s">
        <v>1309</v>
      </c>
      <c r="D152" s="114">
        <v>230</v>
      </c>
      <c r="E152" s="83" t="str">
        <f t="shared" si="9"/>
        <v>EA</v>
      </c>
      <c r="F152" s="104"/>
      <c r="G152" s="104">
        <f t="shared" si="8"/>
        <v>0</v>
      </c>
    </row>
    <row r="153" spans="1:7" ht="20.100000000000001" customHeight="1" x14ac:dyDescent="0.25">
      <c r="A153" s="116"/>
      <c r="B153" s="118"/>
      <c r="C153" s="77" t="s">
        <v>1310</v>
      </c>
      <c r="D153" s="114">
        <v>22</v>
      </c>
      <c r="E153" s="83" t="str">
        <f t="shared" si="9"/>
        <v>EA</v>
      </c>
      <c r="F153" s="104"/>
      <c r="G153" s="104">
        <f t="shared" si="8"/>
        <v>0</v>
      </c>
    </row>
    <row r="154" spans="1:7" ht="20.100000000000001" customHeight="1" x14ac:dyDescent="0.25">
      <c r="A154" s="116" t="s">
        <v>62</v>
      </c>
      <c r="B154" s="118" t="s">
        <v>1647</v>
      </c>
      <c r="C154" s="77" t="s">
        <v>1311</v>
      </c>
      <c r="D154" s="114">
        <v>6</v>
      </c>
      <c r="E154" s="83" t="str">
        <f t="shared" si="9"/>
        <v>EA</v>
      </c>
      <c r="F154" s="104"/>
      <c r="G154" s="104">
        <f t="shared" si="8"/>
        <v>0</v>
      </c>
    </row>
    <row r="155" spans="1:7" ht="20.100000000000001" customHeight="1" x14ac:dyDescent="0.25">
      <c r="A155" s="116"/>
      <c r="B155" s="118"/>
      <c r="C155" s="77" t="s">
        <v>1312</v>
      </c>
      <c r="D155" s="114">
        <v>1</v>
      </c>
      <c r="E155" s="83" t="str">
        <f t="shared" si="9"/>
        <v>EA</v>
      </c>
      <c r="F155" s="104"/>
      <c r="G155" s="104">
        <f t="shared" si="8"/>
        <v>0</v>
      </c>
    </row>
    <row r="156" spans="1:7" ht="20.100000000000001" customHeight="1" x14ac:dyDescent="0.25">
      <c r="A156" s="116"/>
      <c r="B156" s="118"/>
      <c r="C156" s="77" t="s">
        <v>1313</v>
      </c>
      <c r="D156" s="114">
        <v>1</v>
      </c>
      <c r="E156" s="83" t="str">
        <f t="shared" si="9"/>
        <v>EA</v>
      </c>
      <c r="F156" s="104"/>
      <c r="G156" s="104">
        <f t="shared" si="8"/>
        <v>0</v>
      </c>
    </row>
    <row r="157" spans="1:7" ht="20.100000000000001" customHeight="1" x14ac:dyDescent="0.25">
      <c r="A157" s="116"/>
      <c r="B157" s="118"/>
      <c r="C157" s="77" t="s">
        <v>1314</v>
      </c>
      <c r="D157" s="114">
        <v>1</v>
      </c>
      <c r="E157" s="83" t="str">
        <f t="shared" si="9"/>
        <v>EA</v>
      </c>
      <c r="F157" s="104"/>
      <c r="G157" s="104">
        <f t="shared" si="8"/>
        <v>0</v>
      </c>
    </row>
    <row r="158" spans="1:7" ht="20.100000000000001" customHeight="1" x14ac:dyDescent="0.25">
      <c r="A158" s="116"/>
      <c r="B158" s="118"/>
      <c r="C158" s="77" t="s">
        <v>1315</v>
      </c>
      <c r="D158" s="114">
        <v>1</v>
      </c>
      <c r="E158" s="83" t="str">
        <f t="shared" si="9"/>
        <v>EA</v>
      </c>
      <c r="F158" s="104"/>
      <c r="G158" s="104">
        <f t="shared" si="8"/>
        <v>0</v>
      </c>
    </row>
    <row r="159" spans="1:7" ht="20.100000000000001" customHeight="1" x14ac:dyDescent="0.25">
      <c r="A159" s="116"/>
      <c r="B159" s="118"/>
      <c r="C159" s="77" t="s">
        <v>1316</v>
      </c>
      <c r="D159" s="114">
        <v>27</v>
      </c>
      <c r="E159" s="83" t="s">
        <v>1053</v>
      </c>
      <c r="F159" s="104"/>
      <c r="G159" s="104">
        <f t="shared" si="8"/>
        <v>0</v>
      </c>
    </row>
    <row r="160" spans="1:7" ht="20.100000000000001" customHeight="1" x14ac:dyDescent="0.25">
      <c r="A160" s="116" t="s">
        <v>61</v>
      </c>
      <c r="B160" s="118" t="s">
        <v>1131</v>
      </c>
      <c r="C160" s="77" t="s">
        <v>1317</v>
      </c>
      <c r="D160" s="114">
        <v>25</v>
      </c>
      <c r="E160" s="83" t="str">
        <f t="shared" ref="E160:E166" si="10">IF(C160="C7","LB","EA")</f>
        <v>EA</v>
      </c>
      <c r="F160" s="104"/>
      <c r="G160" s="104">
        <f t="shared" si="8"/>
        <v>0</v>
      </c>
    </row>
    <row r="161" spans="1:7" ht="20.100000000000001" customHeight="1" x14ac:dyDescent="0.25">
      <c r="A161" s="116"/>
      <c r="B161" s="118"/>
      <c r="C161" s="77" t="s">
        <v>1318</v>
      </c>
      <c r="D161" s="114">
        <v>17</v>
      </c>
      <c r="E161" s="83" t="str">
        <f t="shared" si="10"/>
        <v>EA</v>
      </c>
      <c r="F161" s="104"/>
      <c r="G161" s="104">
        <f t="shared" si="8"/>
        <v>0</v>
      </c>
    </row>
    <row r="162" spans="1:7" ht="20.100000000000001" customHeight="1" x14ac:dyDescent="0.25">
      <c r="A162" s="116"/>
      <c r="B162" s="118"/>
      <c r="C162" s="77" t="s">
        <v>1319</v>
      </c>
      <c r="D162" s="114">
        <v>22</v>
      </c>
      <c r="E162" s="83" t="str">
        <f t="shared" si="10"/>
        <v>EA</v>
      </c>
      <c r="F162" s="104"/>
      <c r="G162" s="104">
        <f t="shared" si="8"/>
        <v>0</v>
      </c>
    </row>
    <row r="163" spans="1:7" ht="20.100000000000001" customHeight="1" x14ac:dyDescent="0.25">
      <c r="A163" s="116"/>
      <c r="B163" s="118"/>
      <c r="C163" s="77" t="s">
        <v>1320</v>
      </c>
      <c r="D163" s="114">
        <v>73</v>
      </c>
      <c r="E163" s="83" t="str">
        <f t="shared" si="10"/>
        <v>EA</v>
      </c>
      <c r="F163" s="104"/>
      <c r="G163" s="104">
        <f t="shared" si="8"/>
        <v>0</v>
      </c>
    </row>
    <row r="164" spans="1:7" ht="20.100000000000001" customHeight="1" x14ac:dyDescent="0.25">
      <c r="A164" s="116"/>
      <c r="B164" s="118"/>
      <c r="C164" s="77" t="s">
        <v>1321</v>
      </c>
      <c r="D164" s="114">
        <v>1</v>
      </c>
      <c r="E164" s="83" t="str">
        <f t="shared" si="10"/>
        <v>EA</v>
      </c>
      <c r="F164" s="104"/>
      <c r="G164" s="104">
        <f t="shared" si="8"/>
        <v>0</v>
      </c>
    </row>
    <row r="165" spans="1:7" ht="20.100000000000001" customHeight="1" x14ac:dyDescent="0.25">
      <c r="A165" s="116"/>
      <c r="B165" s="118"/>
      <c r="C165" s="77" t="s">
        <v>1322</v>
      </c>
      <c r="D165" s="114">
        <v>5</v>
      </c>
      <c r="E165" s="83" t="str">
        <f t="shared" si="10"/>
        <v>EA</v>
      </c>
      <c r="F165" s="104"/>
      <c r="G165" s="104">
        <f t="shared" si="8"/>
        <v>0</v>
      </c>
    </row>
    <row r="166" spans="1:7" ht="20.100000000000001" customHeight="1" x14ac:dyDescent="0.25">
      <c r="A166" s="116" t="s">
        <v>60</v>
      </c>
      <c r="B166" s="118" t="s">
        <v>1132</v>
      </c>
      <c r="C166" s="77" t="s">
        <v>1323</v>
      </c>
      <c r="D166" s="114">
        <v>5</v>
      </c>
      <c r="E166" s="83" t="str">
        <f t="shared" si="10"/>
        <v>EA</v>
      </c>
      <c r="F166" s="104"/>
      <c r="G166" s="104">
        <f t="shared" si="8"/>
        <v>0</v>
      </c>
    </row>
    <row r="167" spans="1:7" ht="45" customHeight="1" x14ac:dyDescent="0.25">
      <c r="A167" s="117"/>
      <c r="B167" s="119"/>
      <c r="C167" s="77" t="s">
        <v>1324</v>
      </c>
      <c r="D167" s="114">
        <v>5</v>
      </c>
      <c r="E167" s="83" t="str">
        <f>IF(C167="C7","LB","EA")</f>
        <v>EA</v>
      </c>
      <c r="F167" s="104"/>
      <c r="G167" s="104">
        <f t="shared" si="8"/>
        <v>0</v>
      </c>
    </row>
    <row r="168" spans="1:7" ht="20.100000000000001" customHeight="1" x14ac:dyDescent="0.25">
      <c r="A168" s="116" t="s">
        <v>59</v>
      </c>
      <c r="B168" s="118" t="s">
        <v>1133</v>
      </c>
      <c r="C168" s="77" t="s">
        <v>1325</v>
      </c>
      <c r="D168" s="114">
        <v>8</v>
      </c>
      <c r="E168" s="83" t="str">
        <f>IF(C168="C7","LB","EA")</f>
        <v>EA</v>
      </c>
      <c r="F168" s="104"/>
      <c r="G168" s="104">
        <f t="shared" si="8"/>
        <v>0</v>
      </c>
    </row>
    <row r="169" spans="1:7" ht="20.100000000000001" customHeight="1" x14ac:dyDescent="0.25">
      <c r="A169" s="117"/>
      <c r="B169" s="119"/>
      <c r="C169" s="77" t="s">
        <v>1326</v>
      </c>
      <c r="D169" s="114">
        <v>14</v>
      </c>
      <c r="E169" s="83" t="str">
        <f>IF(C169="C7","LB","EA")</f>
        <v>EA</v>
      </c>
      <c r="F169" s="104"/>
      <c r="G169" s="104">
        <f t="shared" si="8"/>
        <v>0</v>
      </c>
    </row>
    <row r="170" spans="1:7" ht="32.25" customHeight="1" x14ac:dyDescent="0.25">
      <c r="A170" s="117"/>
      <c r="B170" s="119"/>
      <c r="C170" s="77" t="s">
        <v>1327</v>
      </c>
      <c r="D170" s="114">
        <v>1</v>
      </c>
      <c r="E170" s="83" t="str">
        <f>IF(C170="C7","LB","EA")</f>
        <v>EA</v>
      </c>
      <c r="F170" s="104"/>
      <c r="G170" s="104">
        <f t="shared" si="8"/>
        <v>0</v>
      </c>
    </row>
    <row r="171" spans="1:7" ht="20.100000000000001" customHeight="1" x14ac:dyDescent="0.25">
      <c r="A171" s="116" t="s">
        <v>58</v>
      </c>
      <c r="B171" s="118" t="s">
        <v>1134</v>
      </c>
      <c r="C171" s="77" t="s">
        <v>1328</v>
      </c>
      <c r="D171" s="114">
        <v>20</v>
      </c>
      <c r="E171" s="83" t="str">
        <f t="shared" ref="E171:E177" si="11">IF(C171="C7","LB","EA")</f>
        <v>EA</v>
      </c>
      <c r="F171" s="104"/>
      <c r="G171" s="104">
        <f t="shared" si="8"/>
        <v>0</v>
      </c>
    </row>
    <row r="172" spans="1:7" ht="20.100000000000001" customHeight="1" x14ac:dyDescent="0.25">
      <c r="A172" s="117"/>
      <c r="B172" s="119"/>
      <c r="C172" s="77" t="s">
        <v>1329</v>
      </c>
      <c r="D172" s="114">
        <v>3</v>
      </c>
      <c r="E172" s="83" t="str">
        <f t="shared" si="11"/>
        <v>EA</v>
      </c>
      <c r="F172" s="104"/>
      <c r="G172" s="104">
        <f t="shared" si="8"/>
        <v>0</v>
      </c>
    </row>
    <row r="173" spans="1:7" ht="32.25" customHeight="1" x14ac:dyDescent="0.25">
      <c r="A173" s="117"/>
      <c r="B173" s="119"/>
      <c r="C173" s="77" t="s">
        <v>1529</v>
      </c>
      <c r="D173" s="114">
        <v>1</v>
      </c>
      <c r="E173" s="83" t="str">
        <f t="shared" si="11"/>
        <v>EA</v>
      </c>
      <c r="F173" s="104"/>
      <c r="G173" s="104">
        <f t="shared" si="8"/>
        <v>0</v>
      </c>
    </row>
    <row r="174" spans="1:7" ht="20.100000000000001" customHeight="1" x14ac:dyDescent="0.25">
      <c r="A174" s="116" t="s">
        <v>1099</v>
      </c>
      <c r="B174" s="118" t="s">
        <v>1135</v>
      </c>
      <c r="C174" s="77" t="s">
        <v>1330</v>
      </c>
      <c r="D174" s="114">
        <v>3</v>
      </c>
      <c r="E174" s="83" t="str">
        <f t="shared" si="11"/>
        <v>EA</v>
      </c>
      <c r="F174" s="104"/>
      <c r="G174" s="104">
        <f t="shared" si="8"/>
        <v>0</v>
      </c>
    </row>
    <row r="175" spans="1:7" ht="20.100000000000001" customHeight="1" x14ac:dyDescent="0.25">
      <c r="A175" s="117"/>
      <c r="B175" s="119"/>
      <c r="C175" s="77" t="s">
        <v>1331</v>
      </c>
      <c r="D175" s="114">
        <v>29</v>
      </c>
      <c r="E175" s="83" t="str">
        <f t="shared" si="11"/>
        <v>EA</v>
      </c>
      <c r="F175" s="104"/>
      <c r="G175" s="104">
        <f t="shared" si="8"/>
        <v>0</v>
      </c>
    </row>
    <row r="176" spans="1:7" ht="20.100000000000001" customHeight="1" x14ac:dyDescent="0.25">
      <c r="A176" s="117"/>
      <c r="B176" s="119"/>
      <c r="C176" s="77" t="s">
        <v>1332</v>
      </c>
      <c r="D176" s="114">
        <v>34</v>
      </c>
      <c r="E176" s="83" t="str">
        <f t="shared" si="11"/>
        <v>EA</v>
      </c>
      <c r="F176" s="104"/>
      <c r="G176" s="104">
        <f t="shared" si="8"/>
        <v>0</v>
      </c>
    </row>
    <row r="177" spans="1:7" ht="20.100000000000001" customHeight="1" x14ac:dyDescent="0.25">
      <c r="A177" s="117"/>
      <c r="B177" s="119"/>
      <c r="C177" s="77" t="s">
        <v>1333</v>
      </c>
      <c r="D177" s="114">
        <v>1</v>
      </c>
      <c r="E177" s="83" t="str">
        <f t="shared" si="11"/>
        <v>EA</v>
      </c>
      <c r="F177" s="104"/>
      <c r="G177" s="104">
        <f t="shared" si="8"/>
        <v>0</v>
      </c>
    </row>
    <row r="178" spans="1:7" ht="20.100000000000001" customHeight="1" x14ac:dyDescent="0.25">
      <c r="A178" s="116" t="s">
        <v>57</v>
      </c>
      <c r="B178" s="118" t="s">
        <v>1598</v>
      </c>
      <c r="C178" s="77" t="s">
        <v>1334</v>
      </c>
      <c r="D178" s="114">
        <v>9</v>
      </c>
      <c r="E178" s="83" t="str">
        <f t="shared" ref="E178:E179" si="12">IF(C178="C7","LB","EA")</f>
        <v>EA</v>
      </c>
      <c r="F178" s="104"/>
      <c r="G178" s="104">
        <f t="shared" si="8"/>
        <v>0</v>
      </c>
    </row>
    <row r="179" spans="1:7" ht="20.100000000000001" customHeight="1" x14ac:dyDescent="0.25">
      <c r="A179" s="117"/>
      <c r="B179" s="119"/>
      <c r="C179" s="77" t="s">
        <v>1335</v>
      </c>
      <c r="D179" s="114">
        <v>1</v>
      </c>
      <c r="E179" s="83" t="str">
        <f t="shared" si="12"/>
        <v>EA</v>
      </c>
      <c r="F179" s="104"/>
      <c r="G179" s="104">
        <f t="shared" si="8"/>
        <v>0</v>
      </c>
    </row>
    <row r="180" spans="1:7" ht="49.5" customHeight="1" x14ac:dyDescent="0.25">
      <c r="A180" s="117"/>
      <c r="B180" s="119"/>
      <c r="C180" s="77" t="s">
        <v>1336</v>
      </c>
      <c r="D180" s="114">
        <v>25</v>
      </c>
      <c r="E180" s="83" t="s">
        <v>1053</v>
      </c>
      <c r="F180" s="104"/>
      <c r="G180" s="104">
        <f t="shared" si="8"/>
        <v>0</v>
      </c>
    </row>
    <row r="181" spans="1:7" ht="20.100000000000001" customHeight="1" x14ac:dyDescent="0.25">
      <c r="A181" s="116" t="s">
        <v>56</v>
      </c>
      <c r="B181" s="118" t="s">
        <v>1648</v>
      </c>
      <c r="C181" s="77" t="s">
        <v>1337</v>
      </c>
      <c r="D181" s="114">
        <v>113</v>
      </c>
      <c r="E181" s="83" t="str">
        <f t="shared" ref="E181:E209" si="13">IF(C181="C7","LB","EA")</f>
        <v>EA</v>
      </c>
      <c r="F181" s="104"/>
      <c r="G181" s="104">
        <f t="shared" si="8"/>
        <v>0</v>
      </c>
    </row>
    <row r="182" spans="1:7" ht="20.100000000000001" customHeight="1" x14ac:dyDescent="0.25">
      <c r="A182" s="117"/>
      <c r="B182" s="119"/>
      <c r="C182" s="77" t="s">
        <v>1338</v>
      </c>
      <c r="D182" s="114">
        <v>8</v>
      </c>
      <c r="E182" s="83" t="str">
        <f t="shared" si="13"/>
        <v>EA</v>
      </c>
      <c r="F182" s="104"/>
      <c r="G182" s="104">
        <f t="shared" si="8"/>
        <v>0</v>
      </c>
    </row>
    <row r="183" spans="1:7" ht="20.100000000000001" customHeight="1" x14ac:dyDescent="0.25">
      <c r="A183" s="117"/>
      <c r="B183" s="119"/>
      <c r="C183" s="77" t="s">
        <v>1339</v>
      </c>
      <c r="D183" s="114">
        <v>12</v>
      </c>
      <c r="E183" s="83" t="str">
        <f t="shared" si="13"/>
        <v>EA</v>
      </c>
      <c r="F183" s="104"/>
      <c r="G183" s="104">
        <f t="shared" si="8"/>
        <v>0</v>
      </c>
    </row>
    <row r="184" spans="1:7" ht="20.100000000000001" customHeight="1" x14ac:dyDescent="0.25">
      <c r="A184" s="117"/>
      <c r="B184" s="119"/>
      <c r="C184" s="77" t="s">
        <v>1340</v>
      </c>
      <c r="D184" s="114">
        <v>12</v>
      </c>
      <c r="E184" s="83" t="str">
        <f t="shared" si="13"/>
        <v>EA</v>
      </c>
      <c r="F184" s="104"/>
      <c r="G184" s="104">
        <f t="shared" si="8"/>
        <v>0</v>
      </c>
    </row>
    <row r="185" spans="1:7" ht="70.5" customHeight="1" x14ac:dyDescent="0.25">
      <c r="A185" s="78" t="s">
        <v>55</v>
      </c>
      <c r="B185" s="76" t="s">
        <v>1649</v>
      </c>
      <c r="C185" s="77" t="s">
        <v>1341</v>
      </c>
      <c r="D185" s="114">
        <v>2</v>
      </c>
      <c r="E185" s="83" t="str">
        <f t="shared" si="13"/>
        <v>EA</v>
      </c>
      <c r="F185" s="104"/>
      <c r="G185" s="104">
        <f t="shared" si="8"/>
        <v>0</v>
      </c>
    </row>
    <row r="186" spans="1:7" ht="20.100000000000001" customHeight="1" x14ac:dyDescent="0.25">
      <c r="A186" s="116" t="s">
        <v>54</v>
      </c>
      <c r="B186" s="118" t="s">
        <v>1650</v>
      </c>
      <c r="C186" s="77" t="s">
        <v>1342</v>
      </c>
      <c r="D186" s="114">
        <v>193</v>
      </c>
      <c r="E186" s="83" t="str">
        <f t="shared" si="13"/>
        <v>EA</v>
      </c>
      <c r="F186" s="104"/>
      <c r="G186" s="104">
        <f t="shared" si="8"/>
        <v>0</v>
      </c>
    </row>
    <row r="187" spans="1:7" ht="20.100000000000001" customHeight="1" x14ac:dyDescent="0.25">
      <c r="A187" s="117"/>
      <c r="B187" s="119"/>
      <c r="C187" s="77" t="s">
        <v>1343</v>
      </c>
      <c r="D187" s="114">
        <v>18</v>
      </c>
      <c r="E187" s="83" t="str">
        <f t="shared" si="13"/>
        <v>EA</v>
      </c>
      <c r="F187" s="104"/>
      <c r="G187" s="104">
        <f t="shared" si="8"/>
        <v>0</v>
      </c>
    </row>
    <row r="188" spans="1:7" ht="20.100000000000001" customHeight="1" x14ac:dyDescent="0.25">
      <c r="A188" s="117"/>
      <c r="B188" s="119"/>
      <c r="C188" s="77" t="s">
        <v>1344</v>
      </c>
      <c r="D188" s="114">
        <v>35</v>
      </c>
      <c r="E188" s="83" t="str">
        <f t="shared" si="13"/>
        <v>EA</v>
      </c>
      <c r="F188" s="104"/>
      <c r="G188" s="104">
        <f t="shared" si="8"/>
        <v>0</v>
      </c>
    </row>
    <row r="189" spans="1:7" ht="20.100000000000001" customHeight="1" x14ac:dyDescent="0.25">
      <c r="A189" s="117"/>
      <c r="B189" s="119"/>
      <c r="C189" s="77" t="s">
        <v>1345</v>
      </c>
      <c r="D189" s="114">
        <v>36</v>
      </c>
      <c r="E189" s="83" t="str">
        <f t="shared" si="13"/>
        <v>EA</v>
      </c>
      <c r="F189" s="104"/>
      <c r="G189" s="104">
        <f t="shared" si="8"/>
        <v>0</v>
      </c>
    </row>
    <row r="190" spans="1:7" ht="20.100000000000001" customHeight="1" x14ac:dyDescent="0.25">
      <c r="A190" s="117"/>
      <c r="B190" s="119"/>
      <c r="C190" s="77" t="s">
        <v>1346</v>
      </c>
      <c r="D190" s="114">
        <v>2</v>
      </c>
      <c r="E190" s="83" t="str">
        <f t="shared" si="13"/>
        <v>EA</v>
      </c>
      <c r="F190" s="104"/>
      <c r="G190" s="104">
        <f t="shared" si="8"/>
        <v>0</v>
      </c>
    </row>
    <row r="191" spans="1:7" ht="20.100000000000001" customHeight="1" x14ac:dyDescent="0.25">
      <c r="A191" s="116" t="s">
        <v>53</v>
      </c>
      <c r="B191" s="118" t="s">
        <v>1651</v>
      </c>
      <c r="C191" s="77" t="s">
        <v>1347</v>
      </c>
      <c r="D191" s="114">
        <v>434</v>
      </c>
      <c r="E191" s="83" t="str">
        <f t="shared" si="13"/>
        <v>EA</v>
      </c>
      <c r="F191" s="104"/>
      <c r="G191" s="104">
        <f t="shared" si="8"/>
        <v>0</v>
      </c>
    </row>
    <row r="192" spans="1:7" ht="20.100000000000001" customHeight="1" x14ac:dyDescent="0.25">
      <c r="A192" s="117"/>
      <c r="B192" s="119"/>
      <c r="C192" s="77" t="s">
        <v>1348</v>
      </c>
      <c r="D192" s="114">
        <v>30</v>
      </c>
      <c r="E192" s="83" t="str">
        <f t="shared" si="13"/>
        <v>EA</v>
      </c>
      <c r="F192" s="104"/>
      <c r="G192" s="104">
        <f t="shared" si="8"/>
        <v>0</v>
      </c>
    </row>
    <row r="193" spans="1:7" ht="20.100000000000001" customHeight="1" x14ac:dyDescent="0.25">
      <c r="A193" s="117"/>
      <c r="B193" s="119"/>
      <c r="C193" s="77" t="s">
        <v>1349</v>
      </c>
      <c r="D193" s="114">
        <v>59</v>
      </c>
      <c r="E193" s="83" t="str">
        <f t="shared" si="13"/>
        <v>EA</v>
      </c>
      <c r="F193" s="104"/>
      <c r="G193" s="104">
        <f t="shared" si="8"/>
        <v>0</v>
      </c>
    </row>
    <row r="194" spans="1:7" ht="20.100000000000001" customHeight="1" x14ac:dyDescent="0.25">
      <c r="A194" s="117"/>
      <c r="B194" s="119"/>
      <c r="C194" s="77" t="s">
        <v>1350</v>
      </c>
      <c r="D194" s="114">
        <v>82</v>
      </c>
      <c r="E194" s="83" t="str">
        <f t="shared" si="13"/>
        <v>EA</v>
      </c>
      <c r="F194" s="104"/>
      <c r="G194" s="104">
        <f t="shared" si="8"/>
        <v>0</v>
      </c>
    </row>
    <row r="195" spans="1:7" ht="20.100000000000001" customHeight="1" x14ac:dyDescent="0.25">
      <c r="A195" s="117"/>
      <c r="B195" s="119"/>
      <c r="C195" s="77" t="s">
        <v>1351</v>
      </c>
      <c r="D195" s="114">
        <v>12</v>
      </c>
      <c r="E195" s="83" t="str">
        <f t="shared" si="13"/>
        <v>EA</v>
      </c>
      <c r="F195" s="104"/>
      <c r="G195" s="104">
        <f t="shared" si="8"/>
        <v>0</v>
      </c>
    </row>
    <row r="196" spans="1:7" ht="20.100000000000001" customHeight="1" x14ac:dyDescent="0.25">
      <c r="A196" s="116" t="s">
        <v>52</v>
      </c>
      <c r="B196" s="118" t="s">
        <v>1652</v>
      </c>
      <c r="C196" s="77" t="s">
        <v>1352</v>
      </c>
      <c r="D196" s="114">
        <v>22</v>
      </c>
      <c r="E196" s="83" t="str">
        <f t="shared" si="13"/>
        <v>EA</v>
      </c>
      <c r="F196" s="104"/>
      <c r="G196" s="104">
        <f t="shared" si="8"/>
        <v>0</v>
      </c>
    </row>
    <row r="197" spans="1:7" ht="20.100000000000001" customHeight="1" x14ac:dyDescent="0.25">
      <c r="A197" s="117"/>
      <c r="B197" s="119"/>
      <c r="C197" s="77" t="s">
        <v>1353</v>
      </c>
      <c r="D197" s="114">
        <v>6</v>
      </c>
      <c r="E197" s="83" t="str">
        <f t="shared" si="13"/>
        <v>EA</v>
      </c>
      <c r="F197" s="104"/>
      <c r="G197" s="104">
        <f t="shared" si="8"/>
        <v>0</v>
      </c>
    </row>
    <row r="198" spans="1:7" ht="20.100000000000001" customHeight="1" x14ac:dyDescent="0.25">
      <c r="A198" s="117"/>
      <c r="B198" s="119"/>
      <c r="C198" s="77" t="s">
        <v>1354</v>
      </c>
      <c r="D198" s="114">
        <v>2</v>
      </c>
      <c r="E198" s="83" t="str">
        <f t="shared" si="13"/>
        <v>EA</v>
      </c>
      <c r="F198" s="104"/>
      <c r="G198" s="104">
        <f t="shared" si="8"/>
        <v>0</v>
      </c>
    </row>
    <row r="199" spans="1:7" ht="20.100000000000001" customHeight="1" x14ac:dyDescent="0.25">
      <c r="A199" s="117"/>
      <c r="B199" s="119"/>
      <c r="C199" s="77" t="s">
        <v>1355</v>
      </c>
      <c r="D199" s="114">
        <v>2</v>
      </c>
      <c r="E199" s="83" t="str">
        <f t="shared" si="13"/>
        <v>EA</v>
      </c>
      <c r="F199" s="104"/>
      <c r="G199" s="104">
        <f t="shared" ref="G199:G262" si="14">F199*D199</f>
        <v>0</v>
      </c>
    </row>
    <row r="200" spans="1:7" ht="20.100000000000001" customHeight="1" x14ac:dyDescent="0.25">
      <c r="A200" s="116" t="s">
        <v>51</v>
      </c>
      <c r="B200" s="118" t="s">
        <v>1653</v>
      </c>
      <c r="C200" s="77" t="s">
        <v>1356</v>
      </c>
      <c r="D200" s="114">
        <v>2</v>
      </c>
      <c r="E200" s="83" t="str">
        <f t="shared" si="13"/>
        <v>EA</v>
      </c>
      <c r="F200" s="104"/>
      <c r="G200" s="104">
        <f t="shared" si="14"/>
        <v>0</v>
      </c>
    </row>
    <row r="201" spans="1:7" ht="47.25" customHeight="1" x14ac:dyDescent="0.25">
      <c r="A201" s="117"/>
      <c r="B201" s="119"/>
      <c r="C201" s="77" t="s">
        <v>1357</v>
      </c>
      <c r="D201" s="114">
        <v>1</v>
      </c>
      <c r="E201" s="83" t="str">
        <f t="shared" si="13"/>
        <v>EA</v>
      </c>
      <c r="F201" s="104"/>
      <c r="G201" s="104">
        <f t="shared" si="14"/>
        <v>0</v>
      </c>
    </row>
    <row r="202" spans="1:7" ht="20.100000000000001" customHeight="1" x14ac:dyDescent="0.25">
      <c r="A202" s="116" t="s">
        <v>50</v>
      </c>
      <c r="B202" s="118" t="s">
        <v>1654</v>
      </c>
      <c r="C202" s="77" t="s">
        <v>1358</v>
      </c>
      <c r="D202" s="114">
        <v>5</v>
      </c>
      <c r="E202" s="83" t="str">
        <f t="shared" si="13"/>
        <v>EA</v>
      </c>
      <c r="F202" s="104"/>
      <c r="G202" s="104">
        <f t="shared" si="14"/>
        <v>0</v>
      </c>
    </row>
    <row r="203" spans="1:7" ht="58.5" customHeight="1" x14ac:dyDescent="0.25">
      <c r="A203" s="117"/>
      <c r="B203" s="119"/>
      <c r="C203" s="77" t="s">
        <v>1359</v>
      </c>
      <c r="D203" s="114">
        <v>5</v>
      </c>
      <c r="E203" s="83" t="str">
        <f t="shared" si="13"/>
        <v>EA</v>
      </c>
      <c r="F203" s="104"/>
      <c r="G203" s="104">
        <f t="shared" si="14"/>
        <v>0</v>
      </c>
    </row>
    <row r="204" spans="1:7" ht="78.75" customHeight="1" x14ac:dyDescent="0.25">
      <c r="A204" s="78" t="s">
        <v>49</v>
      </c>
      <c r="B204" s="76" t="s">
        <v>1589</v>
      </c>
      <c r="C204" s="77" t="s">
        <v>1360</v>
      </c>
      <c r="D204" s="114">
        <v>2</v>
      </c>
      <c r="E204" s="83" t="str">
        <f>IF(C204="C7","LB","EA")</f>
        <v>EA</v>
      </c>
      <c r="F204" s="104"/>
      <c r="G204" s="104">
        <f t="shared" si="14"/>
        <v>0</v>
      </c>
    </row>
    <row r="205" spans="1:7" ht="20.100000000000001" customHeight="1" x14ac:dyDescent="0.25">
      <c r="A205" s="116" t="s">
        <v>48</v>
      </c>
      <c r="B205" s="118" t="s">
        <v>1590</v>
      </c>
      <c r="C205" s="77" t="s">
        <v>1361</v>
      </c>
      <c r="D205" s="114">
        <v>20</v>
      </c>
      <c r="E205" s="83" t="str">
        <f t="shared" si="13"/>
        <v>EA</v>
      </c>
      <c r="F205" s="104"/>
      <c r="G205" s="104">
        <f t="shared" si="14"/>
        <v>0</v>
      </c>
    </row>
    <row r="206" spans="1:7" ht="37.5" customHeight="1" x14ac:dyDescent="0.25">
      <c r="A206" s="117"/>
      <c r="B206" s="119"/>
      <c r="C206" s="77" t="s">
        <v>1362</v>
      </c>
      <c r="D206" s="114">
        <v>1</v>
      </c>
      <c r="E206" s="83" t="str">
        <f t="shared" si="13"/>
        <v>EA</v>
      </c>
      <c r="F206" s="104"/>
      <c r="G206" s="104">
        <f t="shared" si="14"/>
        <v>0</v>
      </c>
    </row>
    <row r="207" spans="1:7" ht="20.100000000000001" customHeight="1" x14ac:dyDescent="0.25">
      <c r="A207" s="116" t="s">
        <v>47</v>
      </c>
      <c r="B207" s="118" t="s">
        <v>1655</v>
      </c>
      <c r="C207" s="77" t="s">
        <v>1363</v>
      </c>
      <c r="D207" s="114">
        <v>11</v>
      </c>
      <c r="E207" s="83" t="str">
        <f t="shared" si="13"/>
        <v>EA</v>
      </c>
      <c r="F207" s="104"/>
      <c r="G207" s="104">
        <f t="shared" si="14"/>
        <v>0</v>
      </c>
    </row>
    <row r="208" spans="1:7" ht="29.25" customHeight="1" x14ac:dyDescent="0.25">
      <c r="A208" s="117"/>
      <c r="B208" s="119"/>
      <c r="C208" s="77" t="s">
        <v>1364</v>
      </c>
      <c r="D208" s="114">
        <v>2</v>
      </c>
      <c r="E208" s="83" t="str">
        <f t="shared" si="13"/>
        <v>EA</v>
      </c>
      <c r="F208" s="104"/>
      <c r="G208" s="104">
        <f t="shared" si="14"/>
        <v>0</v>
      </c>
    </row>
    <row r="209" spans="1:7" ht="20.100000000000001" customHeight="1" x14ac:dyDescent="0.25">
      <c r="A209" s="116" t="s">
        <v>46</v>
      </c>
      <c r="B209" s="118" t="s">
        <v>1656</v>
      </c>
      <c r="C209" s="77" t="s">
        <v>1365</v>
      </c>
      <c r="D209" s="114">
        <v>10</v>
      </c>
      <c r="E209" s="83" t="str">
        <f t="shared" si="13"/>
        <v>EA</v>
      </c>
      <c r="F209" s="104"/>
      <c r="G209" s="104">
        <f t="shared" si="14"/>
        <v>0</v>
      </c>
    </row>
    <row r="210" spans="1:7" ht="63" customHeight="1" x14ac:dyDescent="0.25">
      <c r="A210" s="117"/>
      <c r="B210" s="119"/>
      <c r="C210" s="77" t="s">
        <v>1366</v>
      </c>
      <c r="D210" s="114">
        <v>1</v>
      </c>
      <c r="E210" s="83" t="str">
        <f t="shared" ref="E210:E242" si="15">IF(C210="C7","LB","EA")</f>
        <v>EA</v>
      </c>
      <c r="F210" s="104"/>
      <c r="G210" s="104">
        <f t="shared" si="14"/>
        <v>0</v>
      </c>
    </row>
    <row r="211" spans="1:7" ht="20.100000000000001" customHeight="1" x14ac:dyDescent="0.25">
      <c r="A211" s="116" t="s">
        <v>45</v>
      </c>
      <c r="B211" s="118" t="s">
        <v>1657</v>
      </c>
      <c r="C211" s="77" t="s">
        <v>1367</v>
      </c>
      <c r="D211" s="114">
        <v>5</v>
      </c>
      <c r="E211" s="83" t="str">
        <f t="shared" si="15"/>
        <v>EA</v>
      </c>
      <c r="F211" s="104"/>
      <c r="G211" s="104">
        <f t="shared" si="14"/>
        <v>0</v>
      </c>
    </row>
    <row r="212" spans="1:7" ht="69.75" customHeight="1" x14ac:dyDescent="0.25">
      <c r="A212" s="117"/>
      <c r="B212" s="119"/>
      <c r="C212" s="77" t="s">
        <v>1368</v>
      </c>
      <c r="D212" s="114">
        <v>2</v>
      </c>
      <c r="E212" s="83" t="str">
        <f t="shared" si="15"/>
        <v>EA</v>
      </c>
      <c r="F212" s="104"/>
      <c r="G212" s="104">
        <f t="shared" si="14"/>
        <v>0</v>
      </c>
    </row>
    <row r="213" spans="1:7" ht="20.100000000000001" customHeight="1" x14ac:dyDescent="0.25">
      <c r="A213" s="116" t="s">
        <v>44</v>
      </c>
      <c r="B213" s="118" t="s">
        <v>1136</v>
      </c>
      <c r="C213" s="77" t="s">
        <v>1369</v>
      </c>
      <c r="D213" s="114">
        <v>52</v>
      </c>
      <c r="E213" s="83" t="str">
        <f t="shared" si="15"/>
        <v>EA</v>
      </c>
      <c r="F213" s="104"/>
      <c r="G213" s="104">
        <f t="shared" si="14"/>
        <v>0</v>
      </c>
    </row>
    <row r="214" spans="1:7" ht="20.100000000000001" customHeight="1" x14ac:dyDescent="0.25">
      <c r="A214" s="117"/>
      <c r="B214" s="119"/>
      <c r="C214" s="77" t="s">
        <v>1370</v>
      </c>
      <c r="D214" s="114">
        <v>11</v>
      </c>
      <c r="E214" s="83" t="str">
        <f t="shared" si="15"/>
        <v>EA</v>
      </c>
      <c r="F214" s="104"/>
      <c r="G214" s="104">
        <f t="shared" si="14"/>
        <v>0</v>
      </c>
    </row>
    <row r="215" spans="1:7" ht="20.100000000000001" customHeight="1" x14ac:dyDescent="0.25">
      <c r="A215" s="117"/>
      <c r="B215" s="119"/>
      <c r="C215" s="77" t="s">
        <v>1371</v>
      </c>
      <c r="D215" s="114">
        <v>16</v>
      </c>
      <c r="E215" s="83" t="str">
        <f t="shared" si="15"/>
        <v>EA</v>
      </c>
      <c r="F215" s="104"/>
      <c r="G215" s="104">
        <f t="shared" si="14"/>
        <v>0</v>
      </c>
    </row>
    <row r="216" spans="1:7" ht="20.100000000000001" customHeight="1" x14ac:dyDescent="0.25">
      <c r="A216" s="117"/>
      <c r="B216" s="119"/>
      <c r="C216" s="77" t="s">
        <v>1372</v>
      </c>
      <c r="D216" s="114">
        <v>37</v>
      </c>
      <c r="E216" s="83" t="str">
        <f t="shared" si="15"/>
        <v>EA</v>
      </c>
      <c r="F216" s="104"/>
      <c r="G216" s="104">
        <f t="shared" si="14"/>
        <v>0</v>
      </c>
    </row>
    <row r="217" spans="1:7" ht="20.100000000000001" customHeight="1" x14ac:dyDescent="0.25">
      <c r="A217" s="117"/>
      <c r="B217" s="119"/>
      <c r="C217" s="77" t="s">
        <v>1373</v>
      </c>
      <c r="D217" s="114">
        <v>1</v>
      </c>
      <c r="E217" s="83" t="str">
        <f t="shared" si="15"/>
        <v>EA</v>
      </c>
      <c r="F217" s="104"/>
      <c r="G217" s="104">
        <f t="shared" si="14"/>
        <v>0</v>
      </c>
    </row>
    <row r="218" spans="1:7" ht="20.100000000000001" customHeight="1" x14ac:dyDescent="0.25">
      <c r="A218" s="116" t="s">
        <v>43</v>
      </c>
      <c r="B218" s="118" t="s">
        <v>1527</v>
      </c>
      <c r="C218" s="77" t="s">
        <v>1374</v>
      </c>
      <c r="D218" s="114">
        <v>38</v>
      </c>
      <c r="E218" s="83" t="str">
        <f t="shared" si="15"/>
        <v>EA</v>
      </c>
      <c r="F218" s="104"/>
      <c r="G218" s="104">
        <f t="shared" si="14"/>
        <v>0</v>
      </c>
    </row>
    <row r="219" spans="1:7" ht="20.100000000000001" customHeight="1" x14ac:dyDescent="0.25">
      <c r="A219" s="117"/>
      <c r="B219" s="119"/>
      <c r="C219" s="77" t="s">
        <v>1375</v>
      </c>
      <c r="D219" s="114">
        <v>1</v>
      </c>
      <c r="E219" s="83" t="str">
        <f t="shared" si="15"/>
        <v>EA</v>
      </c>
      <c r="F219" s="104"/>
      <c r="G219" s="104">
        <f t="shared" si="14"/>
        <v>0</v>
      </c>
    </row>
    <row r="220" spans="1:7" ht="20.100000000000001" customHeight="1" x14ac:dyDescent="0.25">
      <c r="A220" s="117"/>
      <c r="B220" s="119"/>
      <c r="C220" s="77" t="s">
        <v>1376</v>
      </c>
      <c r="D220" s="114">
        <v>8</v>
      </c>
      <c r="E220" s="83" t="str">
        <f t="shared" si="15"/>
        <v>EA</v>
      </c>
      <c r="F220" s="104"/>
      <c r="G220" s="104">
        <f t="shared" si="14"/>
        <v>0</v>
      </c>
    </row>
    <row r="221" spans="1:7" ht="20.100000000000001" customHeight="1" x14ac:dyDescent="0.25">
      <c r="A221" s="117"/>
      <c r="B221" s="119"/>
      <c r="C221" s="77" t="s">
        <v>1377</v>
      </c>
      <c r="D221" s="114">
        <v>28</v>
      </c>
      <c r="E221" s="83" t="str">
        <f t="shared" si="15"/>
        <v>EA</v>
      </c>
      <c r="F221" s="104"/>
      <c r="G221" s="104">
        <f t="shared" si="14"/>
        <v>0</v>
      </c>
    </row>
    <row r="222" spans="1:7" ht="20.100000000000001" customHeight="1" x14ac:dyDescent="0.25">
      <c r="A222" s="117"/>
      <c r="B222" s="119"/>
      <c r="C222" s="77" t="s">
        <v>1378</v>
      </c>
      <c r="D222" s="114">
        <v>1</v>
      </c>
      <c r="E222" s="83" t="str">
        <f t="shared" si="15"/>
        <v>EA</v>
      </c>
      <c r="F222" s="104"/>
      <c r="G222" s="104">
        <f t="shared" si="14"/>
        <v>0</v>
      </c>
    </row>
    <row r="223" spans="1:7" ht="20.100000000000001" customHeight="1" x14ac:dyDescent="0.25">
      <c r="A223" s="117"/>
      <c r="B223" s="119"/>
      <c r="C223" s="77" t="s">
        <v>1379</v>
      </c>
      <c r="D223" s="114">
        <v>7</v>
      </c>
      <c r="E223" s="83" t="str">
        <f t="shared" si="15"/>
        <v>EA</v>
      </c>
      <c r="F223" s="104"/>
      <c r="G223" s="104">
        <f t="shared" si="14"/>
        <v>0</v>
      </c>
    </row>
    <row r="224" spans="1:7" ht="20.100000000000001" customHeight="1" x14ac:dyDescent="0.25">
      <c r="A224" s="116" t="s">
        <v>1098</v>
      </c>
      <c r="B224" s="118" t="s">
        <v>1137</v>
      </c>
      <c r="C224" s="77" t="s">
        <v>1380</v>
      </c>
      <c r="D224" s="114">
        <v>18</v>
      </c>
      <c r="E224" s="83" t="str">
        <f t="shared" si="15"/>
        <v>EA</v>
      </c>
      <c r="F224" s="104"/>
      <c r="G224" s="104">
        <f t="shared" si="14"/>
        <v>0</v>
      </c>
    </row>
    <row r="225" spans="1:7" ht="20.100000000000001" customHeight="1" x14ac:dyDescent="0.25">
      <c r="A225" s="117"/>
      <c r="B225" s="119"/>
      <c r="C225" s="77" t="s">
        <v>1381</v>
      </c>
      <c r="D225" s="114">
        <v>7</v>
      </c>
      <c r="E225" s="83" t="str">
        <f t="shared" si="15"/>
        <v>EA</v>
      </c>
      <c r="F225" s="104"/>
      <c r="G225" s="104">
        <f t="shared" si="14"/>
        <v>0</v>
      </c>
    </row>
    <row r="226" spans="1:7" ht="20.100000000000001" customHeight="1" x14ac:dyDescent="0.25">
      <c r="A226" s="117"/>
      <c r="B226" s="119"/>
      <c r="C226" s="77" t="s">
        <v>1382</v>
      </c>
      <c r="D226" s="114">
        <v>1</v>
      </c>
      <c r="E226" s="83" t="str">
        <f t="shared" si="15"/>
        <v>EA</v>
      </c>
      <c r="F226" s="104"/>
      <c r="G226" s="104">
        <f t="shared" si="14"/>
        <v>0</v>
      </c>
    </row>
    <row r="227" spans="1:7" ht="20.100000000000001" customHeight="1" x14ac:dyDescent="0.25">
      <c r="A227" s="117"/>
      <c r="B227" s="119"/>
      <c r="C227" s="77" t="s">
        <v>1383</v>
      </c>
      <c r="D227" s="114">
        <v>29</v>
      </c>
      <c r="E227" s="83" t="str">
        <f t="shared" si="15"/>
        <v>EA</v>
      </c>
      <c r="F227" s="104"/>
      <c r="G227" s="104">
        <f t="shared" si="14"/>
        <v>0</v>
      </c>
    </row>
    <row r="228" spans="1:7" ht="20.100000000000001" customHeight="1" x14ac:dyDescent="0.25">
      <c r="A228" s="117"/>
      <c r="B228" s="119"/>
      <c r="C228" s="77" t="s">
        <v>1384</v>
      </c>
      <c r="D228" s="114">
        <v>1</v>
      </c>
      <c r="E228" s="83" t="str">
        <f t="shared" si="15"/>
        <v>EA</v>
      </c>
      <c r="F228" s="104"/>
      <c r="G228" s="104">
        <f t="shared" si="14"/>
        <v>0</v>
      </c>
    </row>
    <row r="229" spans="1:7" ht="20.100000000000001" customHeight="1" x14ac:dyDescent="0.25">
      <c r="A229" s="117"/>
      <c r="B229" s="119"/>
      <c r="C229" s="77" t="s">
        <v>1385</v>
      </c>
      <c r="D229" s="114">
        <v>1</v>
      </c>
      <c r="E229" s="83" t="str">
        <f t="shared" si="15"/>
        <v>EA</v>
      </c>
      <c r="F229" s="104"/>
      <c r="G229" s="104">
        <f t="shared" si="14"/>
        <v>0</v>
      </c>
    </row>
    <row r="230" spans="1:7" ht="20.100000000000001" customHeight="1" x14ac:dyDescent="0.25">
      <c r="A230" s="117" t="s">
        <v>1587</v>
      </c>
      <c r="B230" s="119" t="s">
        <v>1591</v>
      </c>
      <c r="C230" s="77" t="s">
        <v>1583</v>
      </c>
      <c r="D230" s="114">
        <v>1</v>
      </c>
      <c r="E230" s="83" t="str">
        <f t="shared" si="15"/>
        <v>EA</v>
      </c>
      <c r="F230" s="104"/>
      <c r="G230" s="104">
        <f t="shared" si="14"/>
        <v>0</v>
      </c>
    </row>
    <row r="231" spans="1:7" ht="20.100000000000001" customHeight="1" x14ac:dyDescent="0.25">
      <c r="A231" s="117"/>
      <c r="B231" s="119"/>
      <c r="C231" s="77" t="s">
        <v>1584</v>
      </c>
      <c r="D231" s="114">
        <v>1</v>
      </c>
      <c r="E231" s="83" t="str">
        <f t="shared" si="15"/>
        <v>EA</v>
      </c>
      <c r="F231" s="104"/>
      <c r="G231" s="104">
        <f t="shared" si="14"/>
        <v>0</v>
      </c>
    </row>
    <row r="232" spans="1:7" ht="20.100000000000001" customHeight="1" x14ac:dyDescent="0.25">
      <c r="A232" s="117"/>
      <c r="B232" s="119"/>
      <c r="C232" s="77" t="s">
        <v>1586</v>
      </c>
      <c r="D232" s="114">
        <v>1</v>
      </c>
      <c r="E232" s="83" t="str">
        <f t="shared" si="15"/>
        <v>EA</v>
      </c>
      <c r="F232" s="104"/>
      <c r="G232" s="104">
        <f t="shared" si="14"/>
        <v>0</v>
      </c>
    </row>
    <row r="233" spans="1:7" ht="20.100000000000001" customHeight="1" x14ac:dyDescent="0.25">
      <c r="A233" s="117"/>
      <c r="B233" s="119"/>
      <c r="C233" s="77" t="s">
        <v>1585</v>
      </c>
      <c r="D233" s="114">
        <v>1</v>
      </c>
      <c r="E233" s="83" t="str">
        <f t="shared" si="15"/>
        <v>EA</v>
      </c>
      <c r="F233" s="104"/>
      <c r="G233" s="104">
        <f t="shared" si="14"/>
        <v>0</v>
      </c>
    </row>
    <row r="234" spans="1:7" ht="20.100000000000001" customHeight="1" x14ac:dyDescent="0.25">
      <c r="A234" s="116" t="s">
        <v>42</v>
      </c>
      <c r="B234" s="118" t="s">
        <v>1138</v>
      </c>
      <c r="C234" s="77" t="s">
        <v>1386</v>
      </c>
      <c r="D234" s="114">
        <v>1</v>
      </c>
      <c r="E234" s="83" t="str">
        <f t="shared" si="15"/>
        <v>EA</v>
      </c>
      <c r="F234" s="104"/>
      <c r="G234" s="104">
        <f t="shared" si="14"/>
        <v>0</v>
      </c>
    </row>
    <row r="235" spans="1:7" ht="20.100000000000001" customHeight="1" x14ac:dyDescent="0.25">
      <c r="A235" s="117"/>
      <c r="B235" s="119"/>
      <c r="C235" s="77" t="s">
        <v>1387</v>
      </c>
      <c r="D235" s="114">
        <v>4</v>
      </c>
      <c r="E235" s="83" t="str">
        <f t="shared" si="15"/>
        <v>EA</v>
      </c>
      <c r="F235" s="104"/>
      <c r="G235" s="104">
        <f t="shared" si="14"/>
        <v>0</v>
      </c>
    </row>
    <row r="236" spans="1:7" ht="53.25" customHeight="1" x14ac:dyDescent="0.25">
      <c r="A236" s="117"/>
      <c r="B236" s="119"/>
      <c r="C236" s="77" t="s">
        <v>1388</v>
      </c>
      <c r="D236" s="114">
        <v>2</v>
      </c>
      <c r="E236" s="83" t="str">
        <f t="shared" si="15"/>
        <v>EA</v>
      </c>
      <c r="F236" s="104"/>
      <c r="G236" s="104">
        <f t="shared" si="14"/>
        <v>0</v>
      </c>
    </row>
    <row r="237" spans="1:7" ht="20.100000000000001" customHeight="1" x14ac:dyDescent="0.25">
      <c r="A237" s="116" t="s">
        <v>41</v>
      </c>
      <c r="B237" s="118" t="s">
        <v>1236</v>
      </c>
      <c r="C237" s="77" t="s">
        <v>1390</v>
      </c>
      <c r="D237" s="114">
        <v>95</v>
      </c>
      <c r="E237" s="83" t="str">
        <f t="shared" si="15"/>
        <v>EA</v>
      </c>
      <c r="F237" s="104"/>
      <c r="G237" s="104">
        <f t="shared" si="14"/>
        <v>0</v>
      </c>
    </row>
    <row r="238" spans="1:7" ht="20.100000000000001" customHeight="1" x14ac:dyDescent="0.25">
      <c r="A238" s="117"/>
      <c r="B238" s="119"/>
      <c r="C238" s="77" t="s">
        <v>1389</v>
      </c>
      <c r="D238" s="114">
        <v>16</v>
      </c>
      <c r="E238" s="83" t="str">
        <f t="shared" si="15"/>
        <v>EA</v>
      </c>
      <c r="F238" s="104"/>
      <c r="G238" s="104">
        <f t="shared" si="14"/>
        <v>0</v>
      </c>
    </row>
    <row r="239" spans="1:7" ht="20.100000000000001" customHeight="1" x14ac:dyDescent="0.25">
      <c r="A239" s="117"/>
      <c r="B239" s="119"/>
      <c r="C239" s="77" t="s">
        <v>1391</v>
      </c>
      <c r="D239" s="114">
        <v>68</v>
      </c>
      <c r="E239" s="83" t="str">
        <f t="shared" si="15"/>
        <v>EA</v>
      </c>
      <c r="F239" s="104"/>
      <c r="G239" s="104">
        <f t="shared" si="14"/>
        <v>0</v>
      </c>
    </row>
    <row r="240" spans="1:7" ht="20.100000000000001" customHeight="1" x14ac:dyDescent="0.25">
      <c r="A240" s="117"/>
      <c r="B240" s="119"/>
      <c r="C240" s="77" t="s">
        <v>1392</v>
      </c>
      <c r="D240" s="114">
        <v>530</v>
      </c>
      <c r="E240" s="83" t="str">
        <f t="shared" si="15"/>
        <v>EA</v>
      </c>
      <c r="F240" s="104"/>
      <c r="G240" s="104">
        <f t="shared" si="14"/>
        <v>0</v>
      </c>
    </row>
    <row r="241" spans="1:7" ht="20.100000000000001" customHeight="1" x14ac:dyDescent="0.25">
      <c r="A241" s="117"/>
      <c r="B241" s="119"/>
      <c r="C241" s="77" t="s">
        <v>1393</v>
      </c>
      <c r="D241" s="114">
        <v>1</v>
      </c>
      <c r="E241" s="83" t="str">
        <f t="shared" si="15"/>
        <v>EA</v>
      </c>
      <c r="F241" s="104"/>
      <c r="G241" s="104">
        <f t="shared" si="14"/>
        <v>0</v>
      </c>
    </row>
    <row r="242" spans="1:7" ht="20.100000000000001" customHeight="1" x14ac:dyDescent="0.25">
      <c r="A242" s="117"/>
      <c r="B242" s="119"/>
      <c r="C242" s="77" t="s">
        <v>1394</v>
      </c>
      <c r="D242" s="114">
        <v>80</v>
      </c>
      <c r="E242" s="83" t="str">
        <f t="shared" si="15"/>
        <v>EA</v>
      </c>
      <c r="F242" s="104"/>
      <c r="G242" s="104">
        <f t="shared" si="14"/>
        <v>0</v>
      </c>
    </row>
    <row r="243" spans="1:7" ht="20.100000000000001" customHeight="1" x14ac:dyDescent="0.25">
      <c r="A243" s="117"/>
      <c r="B243" s="119"/>
      <c r="C243" s="77" t="s">
        <v>1395</v>
      </c>
      <c r="D243" s="114">
        <v>6680</v>
      </c>
      <c r="E243" s="83" t="s">
        <v>1053</v>
      </c>
      <c r="F243" s="104"/>
      <c r="G243" s="104">
        <f t="shared" si="14"/>
        <v>0</v>
      </c>
    </row>
    <row r="244" spans="1:7" ht="20.100000000000001" customHeight="1" x14ac:dyDescent="0.25">
      <c r="A244" s="117"/>
      <c r="B244" s="119"/>
      <c r="C244" s="77" t="s">
        <v>1396</v>
      </c>
      <c r="D244" s="114">
        <v>25950</v>
      </c>
      <c r="E244" s="83" t="s">
        <v>1053</v>
      </c>
      <c r="F244" s="104"/>
      <c r="G244" s="104">
        <f t="shared" si="14"/>
        <v>0</v>
      </c>
    </row>
    <row r="245" spans="1:7" ht="20.100000000000001" customHeight="1" x14ac:dyDescent="0.25">
      <c r="A245" s="116" t="s">
        <v>40</v>
      </c>
      <c r="B245" s="118" t="s">
        <v>1139</v>
      </c>
      <c r="C245" s="77" t="s">
        <v>1397</v>
      </c>
      <c r="D245" s="114">
        <v>5</v>
      </c>
      <c r="E245" s="83" t="str">
        <f t="shared" ref="E245:E273" si="16">IF(C245="C7","LB","EA")</f>
        <v>EA</v>
      </c>
      <c r="F245" s="104"/>
      <c r="G245" s="104">
        <f t="shared" si="14"/>
        <v>0</v>
      </c>
    </row>
    <row r="246" spans="1:7" ht="20.100000000000001" customHeight="1" x14ac:dyDescent="0.25">
      <c r="A246" s="117"/>
      <c r="B246" s="119"/>
      <c r="C246" s="77" t="s">
        <v>1398</v>
      </c>
      <c r="D246" s="114">
        <v>2</v>
      </c>
      <c r="E246" s="83" t="str">
        <f t="shared" si="16"/>
        <v>EA</v>
      </c>
      <c r="F246" s="104"/>
      <c r="G246" s="104">
        <f t="shared" si="14"/>
        <v>0</v>
      </c>
    </row>
    <row r="247" spans="1:7" ht="20.100000000000001" customHeight="1" x14ac:dyDescent="0.25">
      <c r="A247" s="117"/>
      <c r="B247" s="119"/>
      <c r="C247" s="77" t="s">
        <v>1399</v>
      </c>
      <c r="D247" s="114">
        <v>7</v>
      </c>
      <c r="E247" s="83" t="str">
        <f t="shared" si="16"/>
        <v>EA</v>
      </c>
      <c r="F247" s="104"/>
      <c r="G247" s="104">
        <f t="shared" si="14"/>
        <v>0</v>
      </c>
    </row>
    <row r="248" spans="1:7" ht="20.100000000000001" customHeight="1" x14ac:dyDescent="0.25">
      <c r="A248" s="117"/>
      <c r="B248" s="119"/>
      <c r="C248" s="77" t="s">
        <v>1400</v>
      </c>
      <c r="D248" s="114">
        <v>11</v>
      </c>
      <c r="E248" s="83" t="str">
        <f t="shared" si="16"/>
        <v>EA</v>
      </c>
      <c r="F248" s="104"/>
      <c r="G248" s="104">
        <f t="shared" si="14"/>
        <v>0</v>
      </c>
    </row>
    <row r="249" spans="1:7" ht="20.100000000000001" customHeight="1" x14ac:dyDescent="0.25">
      <c r="A249" s="117"/>
      <c r="B249" s="119"/>
      <c r="C249" s="77" t="s">
        <v>1401</v>
      </c>
      <c r="D249" s="114">
        <v>2</v>
      </c>
      <c r="E249" s="83" t="str">
        <f t="shared" si="16"/>
        <v>EA</v>
      </c>
      <c r="F249" s="104"/>
      <c r="G249" s="104">
        <f t="shared" si="14"/>
        <v>0</v>
      </c>
    </row>
    <row r="250" spans="1:7" ht="20.100000000000001" customHeight="1" x14ac:dyDescent="0.25">
      <c r="A250" s="116" t="s">
        <v>39</v>
      </c>
      <c r="B250" s="118" t="s">
        <v>1140</v>
      </c>
      <c r="C250" s="77" t="s">
        <v>1402</v>
      </c>
      <c r="D250" s="114">
        <v>83</v>
      </c>
      <c r="E250" s="83" t="str">
        <f t="shared" si="16"/>
        <v>EA</v>
      </c>
      <c r="F250" s="104"/>
      <c r="G250" s="104">
        <f t="shared" si="14"/>
        <v>0</v>
      </c>
    </row>
    <row r="251" spans="1:7" ht="20.100000000000001" customHeight="1" x14ac:dyDescent="0.25">
      <c r="A251" s="117"/>
      <c r="B251" s="119"/>
      <c r="C251" s="77" t="s">
        <v>1403</v>
      </c>
      <c r="D251" s="114">
        <v>23</v>
      </c>
      <c r="E251" s="83" t="str">
        <f t="shared" si="16"/>
        <v>EA</v>
      </c>
      <c r="F251" s="104"/>
      <c r="G251" s="104">
        <f t="shared" si="14"/>
        <v>0</v>
      </c>
    </row>
    <row r="252" spans="1:7" ht="20.100000000000001" customHeight="1" x14ac:dyDescent="0.25">
      <c r="A252" s="117"/>
      <c r="B252" s="119"/>
      <c r="C252" s="77" t="s">
        <v>1404</v>
      </c>
      <c r="D252" s="114">
        <v>30</v>
      </c>
      <c r="E252" s="83" t="str">
        <f t="shared" si="16"/>
        <v>EA</v>
      </c>
      <c r="F252" s="104"/>
      <c r="G252" s="104">
        <f t="shared" si="14"/>
        <v>0</v>
      </c>
    </row>
    <row r="253" spans="1:7" ht="20.100000000000001" customHeight="1" x14ac:dyDescent="0.25">
      <c r="A253" s="117"/>
      <c r="B253" s="119"/>
      <c r="C253" s="77" t="s">
        <v>1405</v>
      </c>
      <c r="D253" s="114">
        <v>108</v>
      </c>
      <c r="E253" s="83" t="str">
        <f t="shared" si="16"/>
        <v>EA</v>
      </c>
      <c r="F253" s="104"/>
      <c r="G253" s="104">
        <f t="shared" si="14"/>
        <v>0</v>
      </c>
    </row>
    <row r="254" spans="1:7" ht="20.100000000000001" customHeight="1" x14ac:dyDescent="0.25">
      <c r="A254" s="117"/>
      <c r="B254" s="119"/>
      <c r="C254" s="77" t="s">
        <v>1406</v>
      </c>
      <c r="D254" s="114">
        <v>1</v>
      </c>
      <c r="E254" s="83" t="str">
        <f t="shared" si="16"/>
        <v>EA</v>
      </c>
      <c r="F254" s="104"/>
      <c r="G254" s="104">
        <f t="shared" si="14"/>
        <v>0</v>
      </c>
    </row>
    <row r="255" spans="1:7" ht="20.100000000000001" customHeight="1" x14ac:dyDescent="0.25">
      <c r="A255" s="117"/>
      <c r="B255" s="119"/>
      <c r="C255" s="77" t="s">
        <v>1407</v>
      </c>
      <c r="D255" s="114">
        <v>2</v>
      </c>
      <c r="E255" s="83" t="str">
        <f t="shared" si="16"/>
        <v>EA</v>
      </c>
      <c r="F255" s="104"/>
      <c r="G255" s="104">
        <f t="shared" si="14"/>
        <v>0</v>
      </c>
    </row>
    <row r="256" spans="1:7" ht="20.100000000000001" customHeight="1" x14ac:dyDescent="0.25">
      <c r="A256" s="117"/>
      <c r="B256" s="119"/>
      <c r="C256" s="77" t="s">
        <v>1408</v>
      </c>
      <c r="D256" s="114">
        <v>1</v>
      </c>
      <c r="E256" s="83" t="str">
        <f t="shared" si="16"/>
        <v>EA</v>
      </c>
      <c r="F256" s="104"/>
      <c r="G256" s="104">
        <f t="shared" si="14"/>
        <v>0</v>
      </c>
    </row>
    <row r="257" spans="1:7" ht="20.100000000000001" customHeight="1" x14ac:dyDescent="0.25">
      <c r="A257" s="117"/>
      <c r="B257" s="119"/>
      <c r="C257" s="77" t="s">
        <v>1409</v>
      </c>
      <c r="D257" s="114">
        <v>1</v>
      </c>
      <c r="E257" s="83" t="str">
        <f t="shared" si="16"/>
        <v>EA</v>
      </c>
      <c r="F257" s="104"/>
      <c r="G257" s="104">
        <f t="shared" si="14"/>
        <v>0</v>
      </c>
    </row>
    <row r="258" spans="1:7" ht="20.100000000000001" customHeight="1" x14ac:dyDescent="0.25">
      <c r="A258" s="117"/>
      <c r="B258" s="119"/>
      <c r="C258" s="77" t="s">
        <v>1410</v>
      </c>
      <c r="D258" s="114">
        <v>1500</v>
      </c>
      <c r="E258" s="83" t="s">
        <v>1238</v>
      </c>
      <c r="F258" s="104"/>
      <c r="G258" s="104">
        <f t="shared" si="14"/>
        <v>0</v>
      </c>
    </row>
    <row r="259" spans="1:7" ht="20.100000000000001" customHeight="1" x14ac:dyDescent="0.25">
      <c r="A259" s="116" t="s">
        <v>38</v>
      </c>
      <c r="B259" s="118" t="s">
        <v>1141</v>
      </c>
      <c r="C259" s="77" t="s">
        <v>1411</v>
      </c>
      <c r="D259" s="114">
        <v>16</v>
      </c>
      <c r="E259" s="83" t="str">
        <f t="shared" si="16"/>
        <v>EA</v>
      </c>
      <c r="F259" s="104"/>
      <c r="G259" s="104">
        <f t="shared" si="14"/>
        <v>0</v>
      </c>
    </row>
    <row r="260" spans="1:7" ht="20.100000000000001" customHeight="1" x14ac:dyDescent="0.25">
      <c r="A260" s="117"/>
      <c r="B260" s="119"/>
      <c r="C260" s="77" t="s">
        <v>1412</v>
      </c>
      <c r="D260" s="114">
        <v>3</v>
      </c>
      <c r="E260" s="83" t="str">
        <f t="shared" si="16"/>
        <v>EA</v>
      </c>
      <c r="F260" s="104"/>
      <c r="G260" s="104">
        <f t="shared" si="14"/>
        <v>0</v>
      </c>
    </row>
    <row r="261" spans="1:7" ht="20.100000000000001" customHeight="1" x14ac:dyDescent="0.25">
      <c r="A261" s="117"/>
      <c r="B261" s="119"/>
      <c r="C261" s="77" t="s">
        <v>1413</v>
      </c>
      <c r="D261" s="114">
        <v>25</v>
      </c>
      <c r="E261" s="83" t="str">
        <f t="shared" si="16"/>
        <v>EA</v>
      </c>
      <c r="F261" s="104"/>
      <c r="G261" s="104">
        <f t="shared" si="14"/>
        <v>0</v>
      </c>
    </row>
    <row r="262" spans="1:7" ht="20.100000000000001" customHeight="1" x14ac:dyDescent="0.25">
      <c r="A262" s="117"/>
      <c r="B262" s="119"/>
      <c r="C262" s="77" t="s">
        <v>1414</v>
      </c>
      <c r="D262" s="114">
        <v>55</v>
      </c>
      <c r="E262" s="83" t="str">
        <f t="shared" si="16"/>
        <v>EA</v>
      </c>
      <c r="F262" s="104"/>
      <c r="G262" s="104">
        <f t="shared" si="14"/>
        <v>0</v>
      </c>
    </row>
    <row r="263" spans="1:7" ht="20.100000000000001" customHeight="1" x14ac:dyDescent="0.25">
      <c r="A263" s="117"/>
      <c r="B263" s="119"/>
      <c r="C263" s="77" t="s">
        <v>1415</v>
      </c>
      <c r="D263" s="114">
        <v>1</v>
      </c>
      <c r="E263" s="83" t="str">
        <f t="shared" si="16"/>
        <v>EA</v>
      </c>
      <c r="F263" s="104"/>
      <c r="G263" s="104">
        <f t="shared" ref="G263:G326" si="17">F263*D263</f>
        <v>0</v>
      </c>
    </row>
    <row r="264" spans="1:7" ht="20.100000000000001" customHeight="1" x14ac:dyDescent="0.25">
      <c r="A264" s="116" t="s">
        <v>37</v>
      </c>
      <c r="B264" s="118" t="s">
        <v>1142</v>
      </c>
      <c r="C264" s="77" t="s">
        <v>1416</v>
      </c>
      <c r="D264" s="114">
        <v>18</v>
      </c>
      <c r="E264" s="83" t="str">
        <f t="shared" si="16"/>
        <v>EA</v>
      </c>
      <c r="F264" s="104"/>
      <c r="G264" s="104">
        <f t="shared" si="17"/>
        <v>0</v>
      </c>
    </row>
    <row r="265" spans="1:7" ht="20.100000000000001" customHeight="1" x14ac:dyDescent="0.25">
      <c r="A265" s="117"/>
      <c r="B265" s="119"/>
      <c r="C265" s="77" t="s">
        <v>1417</v>
      </c>
      <c r="D265" s="114">
        <v>3</v>
      </c>
      <c r="E265" s="83" t="str">
        <f t="shared" si="16"/>
        <v>EA</v>
      </c>
      <c r="F265" s="104"/>
      <c r="G265" s="104">
        <f t="shared" si="17"/>
        <v>0</v>
      </c>
    </row>
    <row r="266" spans="1:7" ht="20.100000000000001" customHeight="1" x14ac:dyDescent="0.25">
      <c r="A266" s="117"/>
      <c r="B266" s="119"/>
      <c r="C266" s="77" t="s">
        <v>1418</v>
      </c>
      <c r="D266" s="114">
        <v>8</v>
      </c>
      <c r="E266" s="83" t="str">
        <f t="shared" si="16"/>
        <v>EA</v>
      </c>
      <c r="F266" s="104"/>
      <c r="G266" s="104">
        <f t="shared" si="17"/>
        <v>0</v>
      </c>
    </row>
    <row r="267" spans="1:7" ht="20.100000000000001" customHeight="1" x14ac:dyDescent="0.25">
      <c r="A267" s="117"/>
      <c r="B267" s="119"/>
      <c r="C267" s="77" t="s">
        <v>1419</v>
      </c>
      <c r="D267" s="114">
        <v>102</v>
      </c>
      <c r="E267" s="83" t="str">
        <f t="shared" si="16"/>
        <v>EA</v>
      </c>
      <c r="F267" s="104"/>
      <c r="G267" s="104">
        <f t="shared" si="17"/>
        <v>0</v>
      </c>
    </row>
    <row r="268" spans="1:7" ht="20.100000000000001" customHeight="1" x14ac:dyDescent="0.25">
      <c r="A268" s="117"/>
      <c r="B268" s="119"/>
      <c r="C268" s="77" t="s">
        <v>1420</v>
      </c>
      <c r="D268" s="114">
        <v>1</v>
      </c>
      <c r="E268" s="83" t="str">
        <f t="shared" si="16"/>
        <v>EA</v>
      </c>
      <c r="F268" s="104"/>
      <c r="G268" s="104">
        <f t="shared" si="17"/>
        <v>0</v>
      </c>
    </row>
    <row r="269" spans="1:7" ht="20.100000000000001" customHeight="1" x14ac:dyDescent="0.25">
      <c r="A269" s="117"/>
      <c r="B269" s="119"/>
      <c r="C269" s="77" t="s">
        <v>1421</v>
      </c>
      <c r="D269" s="114">
        <v>1</v>
      </c>
      <c r="E269" s="83" t="str">
        <f t="shared" si="16"/>
        <v>EA</v>
      </c>
      <c r="F269" s="104"/>
      <c r="G269" s="104">
        <f t="shared" si="17"/>
        <v>0</v>
      </c>
    </row>
    <row r="270" spans="1:7" ht="20.100000000000001" customHeight="1" x14ac:dyDescent="0.25">
      <c r="A270" s="117"/>
      <c r="B270" s="119"/>
      <c r="C270" s="77" t="s">
        <v>1422</v>
      </c>
      <c r="D270" s="114">
        <v>12</v>
      </c>
      <c r="E270" s="83" t="str">
        <f t="shared" si="16"/>
        <v>EA</v>
      </c>
      <c r="F270" s="104"/>
      <c r="G270" s="104">
        <f t="shared" si="17"/>
        <v>0</v>
      </c>
    </row>
    <row r="271" spans="1:7" ht="20.100000000000001" customHeight="1" x14ac:dyDescent="0.25">
      <c r="A271" s="117"/>
      <c r="B271" s="119"/>
      <c r="C271" s="77" t="s">
        <v>1423</v>
      </c>
      <c r="D271" s="114">
        <v>1500</v>
      </c>
      <c r="E271" s="83" t="s">
        <v>1238</v>
      </c>
      <c r="F271" s="104"/>
      <c r="G271" s="104">
        <f t="shared" si="17"/>
        <v>0</v>
      </c>
    </row>
    <row r="272" spans="1:7" ht="20.100000000000001" customHeight="1" x14ac:dyDescent="0.25">
      <c r="A272" s="117"/>
      <c r="B272" s="119"/>
      <c r="C272" s="77" t="s">
        <v>1424</v>
      </c>
      <c r="D272" s="114">
        <v>1040</v>
      </c>
      <c r="E272" s="83" t="s">
        <v>1239</v>
      </c>
      <c r="F272" s="104"/>
      <c r="G272" s="104">
        <f t="shared" si="17"/>
        <v>0</v>
      </c>
    </row>
    <row r="273" spans="1:7" ht="69" customHeight="1" x14ac:dyDescent="0.25">
      <c r="A273" s="78" t="s">
        <v>36</v>
      </c>
      <c r="B273" s="76" t="s">
        <v>1143</v>
      </c>
      <c r="C273" s="77" t="s">
        <v>1425</v>
      </c>
      <c r="D273" s="114">
        <v>18</v>
      </c>
      <c r="E273" s="83" t="str">
        <f t="shared" si="16"/>
        <v>EA</v>
      </c>
      <c r="F273" s="104"/>
      <c r="G273" s="104">
        <f t="shared" si="17"/>
        <v>0</v>
      </c>
    </row>
    <row r="274" spans="1:7" ht="100.5" customHeight="1" x14ac:dyDescent="0.25">
      <c r="A274" s="78" t="s">
        <v>35</v>
      </c>
      <c r="B274" s="76" t="s">
        <v>1144</v>
      </c>
      <c r="C274" s="77" t="s">
        <v>1426</v>
      </c>
      <c r="D274" s="114">
        <v>250</v>
      </c>
      <c r="E274" s="83" t="s">
        <v>1053</v>
      </c>
      <c r="F274" s="104"/>
      <c r="G274" s="104">
        <f t="shared" si="17"/>
        <v>0</v>
      </c>
    </row>
    <row r="275" spans="1:7" ht="78.75" x14ac:dyDescent="0.25">
      <c r="A275" s="78" t="s">
        <v>34</v>
      </c>
      <c r="B275" s="76" t="s">
        <v>1145</v>
      </c>
      <c r="C275" s="77" t="s">
        <v>1427</v>
      </c>
      <c r="D275" s="114">
        <v>250</v>
      </c>
      <c r="E275" s="83" t="s">
        <v>1054</v>
      </c>
      <c r="F275" s="104"/>
      <c r="G275" s="104">
        <f t="shared" si="17"/>
        <v>0</v>
      </c>
    </row>
    <row r="276" spans="1:7" ht="63" x14ac:dyDescent="0.25">
      <c r="A276" s="78" t="s">
        <v>33</v>
      </c>
      <c r="B276" s="76" t="s">
        <v>1146</v>
      </c>
      <c r="C276" s="77" t="s">
        <v>1428</v>
      </c>
      <c r="D276" s="114">
        <v>25</v>
      </c>
      <c r="E276" s="83" t="s">
        <v>1054</v>
      </c>
      <c r="F276" s="104"/>
      <c r="G276" s="104">
        <f t="shared" si="17"/>
        <v>0</v>
      </c>
    </row>
    <row r="277" spans="1:7" s="79" customFormat="1" ht="63" x14ac:dyDescent="0.25">
      <c r="A277" s="78" t="s">
        <v>32</v>
      </c>
      <c r="B277" s="76" t="s">
        <v>1147</v>
      </c>
      <c r="C277" s="77" t="s">
        <v>1429</v>
      </c>
      <c r="D277" s="114">
        <v>25</v>
      </c>
      <c r="E277" s="83" t="s">
        <v>1054</v>
      </c>
      <c r="F277" s="104"/>
      <c r="G277" s="104">
        <f t="shared" si="17"/>
        <v>0</v>
      </c>
    </row>
    <row r="278" spans="1:7" ht="63" x14ac:dyDescent="0.25">
      <c r="A278" s="78" t="s">
        <v>31</v>
      </c>
      <c r="B278" s="76" t="s">
        <v>1148</v>
      </c>
      <c r="C278" s="77" t="s">
        <v>1430</v>
      </c>
      <c r="D278" s="114">
        <v>25</v>
      </c>
      <c r="E278" s="83" t="s">
        <v>1054</v>
      </c>
      <c r="F278" s="104"/>
      <c r="G278" s="104">
        <f t="shared" si="17"/>
        <v>0</v>
      </c>
    </row>
    <row r="279" spans="1:7" ht="47.25" x14ac:dyDescent="0.25">
      <c r="A279" s="78" t="s">
        <v>30</v>
      </c>
      <c r="B279" s="76" t="s">
        <v>1149</v>
      </c>
      <c r="C279" s="77" t="s">
        <v>1431</v>
      </c>
      <c r="D279" s="114">
        <v>25</v>
      </c>
      <c r="E279" s="83" t="s">
        <v>1054</v>
      </c>
      <c r="F279" s="104"/>
      <c r="G279" s="104">
        <f t="shared" si="17"/>
        <v>0</v>
      </c>
    </row>
    <row r="280" spans="1:7" ht="78.75" x14ac:dyDescent="0.25">
      <c r="A280" s="78" t="s">
        <v>29</v>
      </c>
      <c r="B280" s="76" t="s">
        <v>1150</v>
      </c>
      <c r="C280" s="77" t="s">
        <v>1432</v>
      </c>
      <c r="D280" s="114">
        <v>25</v>
      </c>
      <c r="E280" s="83" t="s">
        <v>1054</v>
      </c>
      <c r="F280" s="104"/>
      <c r="G280" s="104">
        <f t="shared" si="17"/>
        <v>0</v>
      </c>
    </row>
    <row r="281" spans="1:7" ht="78.75" x14ac:dyDescent="0.25">
      <c r="A281" s="78" t="s">
        <v>28</v>
      </c>
      <c r="B281" s="76" t="s">
        <v>1151</v>
      </c>
      <c r="C281" s="77" t="s">
        <v>1433</v>
      </c>
      <c r="D281" s="114">
        <v>340</v>
      </c>
      <c r="E281" s="83" t="s">
        <v>1054</v>
      </c>
      <c r="F281" s="104"/>
      <c r="G281" s="104">
        <f t="shared" si="17"/>
        <v>0</v>
      </c>
    </row>
    <row r="282" spans="1:7" ht="78.75" x14ac:dyDescent="0.25">
      <c r="A282" s="78" t="s">
        <v>1092</v>
      </c>
      <c r="B282" s="76" t="s">
        <v>1152</v>
      </c>
      <c r="C282" s="77" t="s">
        <v>1434</v>
      </c>
      <c r="D282" s="114">
        <v>10</v>
      </c>
      <c r="E282" s="83" t="s">
        <v>1054</v>
      </c>
      <c r="F282" s="104"/>
      <c r="G282" s="104">
        <f t="shared" si="17"/>
        <v>0</v>
      </c>
    </row>
    <row r="283" spans="1:7" ht="94.5" x14ac:dyDescent="0.25">
      <c r="A283" s="78" t="s">
        <v>1093</v>
      </c>
      <c r="B283" s="76" t="s">
        <v>1153</v>
      </c>
      <c r="C283" s="77" t="s">
        <v>1435</v>
      </c>
      <c r="D283" s="114">
        <v>40</v>
      </c>
      <c r="E283" s="83" t="s">
        <v>1054</v>
      </c>
      <c r="F283" s="104"/>
      <c r="G283" s="104">
        <f t="shared" si="17"/>
        <v>0</v>
      </c>
    </row>
    <row r="284" spans="1:7" ht="99.75" customHeight="1" x14ac:dyDescent="0.25">
      <c r="A284" s="78" t="s">
        <v>1094</v>
      </c>
      <c r="B284" s="76" t="s">
        <v>1154</v>
      </c>
      <c r="C284" s="77" t="s">
        <v>1436</v>
      </c>
      <c r="D284" s="114">
        <v>100</v>
      </c>
      <c r="E284" s="83" t="s">
        <v>1054</v>
      </c>
      <c r="F284" s="104"/>
      <c r="G284" s="104">
        <f t="shared" si="17"/>
        <v>0</v>
      </c>
    </row>
    <row r="285" spans="1:7" ht="94.5" x14ac:dyDescent="0.25">
      <c r="A285" s="78" t="s">
        <v>1095</v>
      </c>
      <c r="B285" s="76" t="s">
        <v>1155</v>
      </c>
      <c r="C285" s="77" t="s">
        <v>1437</v>
      </c>
      <c r="D285" s="114">
        <v>100</v>
      </c>
      <c r="E285" s="83" t="s">
        <v>1054</v>
      </c>
      <c r="F285" s="104"/>
      <c r="G285" s="104">
        <f t="shared" si="17"/>
        <v>0</v>
      </c>
    </row>
    <row r="286" spans="1:7" s="108" customFormat="1" ht="20.100000000000001" customHeight="1" x14ac:dyDescent="0.25">
      <c r="A286" s="120" t="s">
        <v>1044</v>
      </c>
      <c r="B286" s="118" t="s">
        <v>1658</v>
      </c>
      <c r="C286" s="77" t="s">
        <v>1438</v>
      </c>
      <c r="D286" s="106">
        <v>7</v>
      </c>
      <c r="E286" s="107" t="s">
        <v>1051</v>
      </c>
      <c r="F286" s="104"/>
      <c r="G286" s="104">
        <f t="shared" si="17"/>
        <v>0</v>
      </c>
    </row>
    <row r="287" spans="1:7" s="108" customFormat="1" ht="20.100000000000001" customHeight="1" x14ac:dyDescent="0.25">
      <c r="A287" s="120"/>
      <c r="B287" s="118"/>
      <c r="C287" s="77" t="s">
        <v>1593</v>
      </c>
      <c r="D287" s="106">
        <v>5</v>
      </c>
      <c r="E287" s="107" t="s">
        <v>1051</v>
      </c>
      <c r="F287" s="104"/>
      <c r="G287" s="104">
        <f t="shared" si="17"/>
        <v>0</v>
      </c>
    </row>
    <row r="288" spans="1:7" s="108" customFormat="1" ht="20.100000000000001" customHeight="1" x14ac:dyDescent="0.25">
      <c r="A288" s="120"/>
      <c r="B288" s="118"/>
      <c r="C288" s="77" t="s">
        <v>1439</v>
      </c>
      <c r="D288" s="106">
        <v>5</v>
      </c>
      <c r="E288" s="107" t="s">
        <v>1051</v>
      </c>
      <c r="F288" s="104"/>
      <c r="G288" s="104">
        <f t="shared" si="17"/>
        <v>0</v>
      </c>
    </row>
    <row r="289" spans="1:7" s="108" customFormat="1" ht="22.5" customHeight="1" x14ac:dyDescent="0.25">
      <c r="A289" s="120"/>
      <c r="B289" s="118"/>
      <c r="C289" s="77" t="s">
        <v>1440</v>
      </c>
      <c r="D289" s="106">
        <v>5000</v>
      </c>
      <c r="E289" s="107" t="s">
        <v>1238</v>
      </c>
      <c r="F289" s="104"/>
      <c r="G289" s="104">
        <f t="shared" si="17"/>
        <v>0</v>
      </c>
    </row>
    <row r="290" spans="1:7" s="108" customFormat="1" ht="39.950000000000003" customHeight="1" x14ac:dyDescent="0.25">
      <c r="A290" s="120" t="s">
        <v>1045</v>
      </c>
      <c r="B290" s="118" t="s">
        <v>1659</v>
      </c>
      <c r="C290" s="77" t="s">
        <v>1441</v>
      </c>
      <c r="D290" s="106">
        <v>5</v>
      </c>
      <c r="E290" s="107" t="s">
        <v>1051</v>
      </c>
      <c r="F290" s="104"/>
      <c r="G290" s="104">
        <f t="shared" si="17"/>
        <v>0</v>
      </c>
    </row>
    <row r="291" spans="1:7" s="108" customFormat="1" ht="56.25" customHeight="1" x14ac:dyDescent="0.25">
      <c r="A291" s="120"/>
      <c r="B291" s="118"/>
      <c r="C291" s="77" t="s">
        <v>1442</v>
      </c>
      <c r="D291" s="106">
        <v>2</v>
      </c>
      <c r="E291" s="107" t="s">
        <v>1051</v>
      </c>
      <c r="F291" s="104"/>
      <c r="G291" s="104">
        <f t="shared" si="17"/>
        <v>0</v>
      </c>
    </row>
    <row r="292" spans="1:7" s="108" customFormat="1" ht="21.6" customHeight="1" x14ac:dyDescent="0.25">
      <c r="A292" s="120" t="s">
        <v>1046</v>
      </c>
      <c r="B292" s="118" t="s">
        <v>1660</v>
      </c>
      <c r="C292" s="77" t="s">
        <v>1443</v>
      </c>
      <c r="D292" s="106">
        <v>5</v>
      </c>
      <c r="E292" s="107" t="s">
        <v>1051</v>
      </c>
      <c r="F292" s="104"/>
      <c r="G292" s="104">
        <f t="shared" si="17"/>
        <v>0</v>
      </c>
    </row>
    <row r="293" spans="1:7" s="108" customFormat="1" ht="21.6" customHeight="1" x14ac:dyDescent="0.25">
      <c r="A293" s="120"/>
      <c r="B293" s="118"/>
      <c r="C293" s="77" t="s">
        <v>1444</v>
      </c>
      <c r="D293" s="106">
        <v>5</v>
      </c>
      <c r="E293" s="107" t="s">
        <v>1051</v>
      </c>
      <c r="F293" s="104"/>
      <c r="G293" s="104">
        <f t="shared" si="17"/>
        <v>0</v>
      </c>
    </row>
    <row r="294" spans="1:7" s="108" customFormat="1" ht="21.6" customHeight="1" x14ac:dyDescent="0.25">
      <c r="A294" s="120"/>
      <c r="B294" s="118"/>
      <c r="C294" s="77" t="s">
        <v>1445</v>
      </c>
      <c r="D294" s="106">
        <v>5</v>
      </c>
      <c r="E294" s="107" t="s">
        <v>1051</v>
      </c>
      <c r="F294" s="104"/>
      <c r="G294" s="104">
        <f t="shared" si="17"/>
        <v>0</v>
      </c>
    </row>
    <row r="295" spans="1:7" s="108" customFormat="1" ht="36" customHeight="1" x14ac:dyDescent="0.25">
      <c r="A295" s="120"/>
      <c r="B295" s="118"/>
      <c r="C295" s="77" t="s">
        <v>1446</v>
      </c>
      <c r="D295" s="106">
        <v>5</v>
      </c>
      <c r="E295" s="107" t="s">
        <v>1051</v>
      </c>
      <c r="F295" s="104"/>
      <c r="G295" s="104">
        <f t="shared" si="17"/>
        <v>0</v>
      </c>
    </row>
    <row r="296" spans="1:7" ht="20.100000000000001" customHeight="1" x14ac:dyDescent="0.25">
      <c r="A296" s="116" t="s">
        <v>1100</v>
      </c>
      <c r="B296" s="118" t="s">
        <v>1661</v>
      </c>
      <c r="C296" s="77" t="s">
        <v>1447</v>
      </c>
      <c r="D296" s="114">
        <v>1</v>
      </c>
      <c r="E296" s="83" t="str">
        <f t="shared" ref="E296:E329" si="18">IF(C296="C7","LB","EA")</f>
        <v>EA</v>
      </c>
      <c r="F296" s="104"/>
      <c r="G296" s="104">
        <f t="shared" si="17"/>
        <v>0</v>
      </c>
    </row>
    <row r="297" spans="1:7" ht="20.100000000000001" customHeight="1" x14ac:dyDescent="0.25">
      <c r="A297" s="117"/>
      <c r="B297" s="119"/>
      <c r="C297" s="77" t="s">
        <v>1448</v>
      </c>
      <c r="D297" s="114">
        <v>1</v>
      </c>
      <c r="E297" s="83" t="str">
        <f t="shared" si="18"/>
        <v>EA</v>
      </c>
      <c r="F297" s="104"/>
      <c r="G297" s="104">
        <f t="shared" si="17"/>
        <v>0</v>
      </c>
    </row>
    <row r="298" spans="1:7" ht="118.5" customHeight="1" x14ac:dyDescent="0.25">
      <c r="A298" s="117"/>
      <c r="B298" s="119"/>
      <c r="C298" s="77" t="s">
        <v>1449</v>
      </c>
      <c r="D298" s="114">
        <v>1</v>
      </c>
      <c r="E298" s="83" t="str">
        <f t="shared" si="18"/>
        <v>EA</v>
      </c>
      <c r="F298" s="104"/>
      <c r="G298" s="104">
        <f t="shared" si="17"/>
        <v>0</v>
      </c>
    </row>
    <row r="299" spans="1:7" ht="20.100000000000001" customHeight="1" x14ac:dyDescent="0.25">
      <c r="A299" s="116" t="s">
        <v>1101</v>
      </c>
      <c r="B299" s="118" t="s">
        <v>1156</v>
      </c>
      <c r="C299" s="77" t="s">
        <v>1450</v>
      </c>
      <c r="D299" s="114">
        <v>1</v>
      </c>
      <c r="E299" s="83" t="str">
        <f t="shared" si="18"/>
        <v>EA</v>
      </c>
      <c r="F299" s="104"/>
      <c r="G299" s="104">
        <f t="shared" si="17"/>
        <v>0</v>
      </c>
    </row>
    <row r="300" spans="1:7" ht="20.100000000000001" customHeight="1" x14ac:dyDescent="0.25">
      <c r="A300" s="117"/>
      <c r="B300" s="119"/>
      <c r="C300" s="77" t="s">
        <v>1451</v>
      </c>
      <c r="D300" s="114">
        <v>1</v>
      </c>
      <c r="E300" s="83" t="str">
        <f t="shared" si="18"/>
        <v>EA</v>
      </c>
      <c r="F300" s="104"/>
      <c r="G300" s="104">
        <f t="shared" si="17"/>
        <v>0</v>
      </c>
    </row>
    <row r="301" spans="1:7" ht="20.100000000000001" customHeight="1" x14ac:dyDescent="0.25">
      <c r="A301" s="117"/>
      <c r="B301" s="119"/>
      <c r="C301" s="77" t="s">
        <v>1452</v>
      </c>
      <c r="D301" s="114">
        <v>1</v>
      </c>
      <c r="E301" s="83" t="str">
        <f t="shared" si="18"/>
        <v>EA</v>
      </c>
      <c r="F301" s="104"/>
      <c r="G301" s="104">
        <f t="shared" si="17"/>
        <v>0</v>
      </c>
    </row>
    <row r="302" spans="1:7" ht="20.100000000000001" customHeight="1" x14ac:dyDescent="0.25">
      <c r="A302" s="117"/>
      <c r="B302" s="119"/>
      <c r="C302" s="77" t="s">
        <v>1453</v>
      </c>
      <c r="D302" s="114">
        <v>1</v>
      </c>
      <c r="E302" s="83" t="str">
        <f t="shared" si="18"/>
        <v>EA</v>
      </c>
      <c r="F302" s="104"/>
      <c r="G302" s="104">
        <f t="shared" si="17"/>
        <v>0</v>
      </c>
    </row>
    <row r="303" spans="1:7" ht="20.100000000000001" customHeight="1" x14ac:dyDescent="0.25">
      <c r="A303" s="117"/>
      <c r="B303" s="119"/>
      <c r="C303" s="77" t="s">
        <v>1454</v>
      </c>
      <c r="D303" s="114">
        <v>1</v>
      </c>
      <c r="E303" s="83" t="str">
        <f t="shared" si="18"/>
        <v>EA</v>
      </c>
      <c r="F303" s="104"/>
      <c r="G303" s="104">
        <f t="shared" si="17"/>
        <v>0</v>
      </c>
    </row>
    <row r="304" spans="1:7" ht="20.100000000000001" customHeight="1" x14ac:dyDescent="0.25">
      <c r="A304" s="117"/>
      <c r="B304" s="119"/>
      <c r="C304" s="77" t="s">
        <v>1455</v>
      </c>
      <c r="D304" s="114">
        <v>1</v>
      </c>
      <c r="E304" s="83" t="str">
        <f t="shared" si="18"/>
        <v>EA</v>
      </c>
      <c r="F304" s="104"/>
      <c r="G304" s="104">
        <f t="shared" si="17"/>
        <v>0</v>
      </c>
    </row>
    <row r="305" spans="1:7" ht="20.100000000000001" customHeight="1" x14ac:dyDescent="0.25">
      <c r="A305" s="117"/>
      <c r="B305" s="119"/>
      <c r="C305" s="77" t="s">
        <v>1456</v>
      </c>
      <c r="D305" s="114">
        <v>1</v>
      </c>
      <c r="E305" s="83" t="str">
        <f t="shared" si="18"/>
        <v>EA</v>
      </c>
      <c r="F305" s="104"/>
      <c r="G305" s="104">
        <f t="shared" si="17"/>
        <v>0</v>
      </c>
    </row>
    <row r="306" spans="1:7" ht="20.100000000000001" customHeight="1" x14ac:dyDescent="0.25">
      <c r="A306" s="117"/>
      <c r="B306" s="119"/>
      <c r="C306" s="77" t="s">
        <v>1457</v>
      </c>
      <c r="D306" s="114">
        <v>1</v>
      </c>
      <c r="E306" s="83" t="str">
        <f t="shared" si="18"/>
        <v>EA</v>
      </c>
      <c r="F306" s="104"/>
      <c r="G306" s="104">
        <f t="shared" si="17"/>
        <v>0</v>
      </c>
    </row>
    <row r="307" spans="1:7" ht="20.100000000000001" customHeight="1" x14ac:dyDescent="0.25">
      <c r="A307" s="117"/>
      <c r="B307" s="119"/>
      <c r="C307" s="77" t="s">
        <v>1458</v>
      </c>
      <c r="D307" s="114">
        <v>1</v>
      </c>
      <c r="E307" s="83" t="str">
        <f t="shared" si="18"/>
        <v>EA</v>
      </c>
      <c r="F307" s="104"/>
      <c r="G307" s="104">
        <f t="shared" si="17"/>
        <v>0</v>
      </c>
    </row>
    <row r="308" spans="1:7" ht="48.75" customHeight="1" x14ac:dyDescent="0.25">
      <c r="A308" s="78" t="s">
        <v>27</v>
      </c>
      <c r="B308" s="76" t="s">
        <v>1157</v>
      </c>
      <c r="C308" s="77" t="s">
        <v>1459</v>
      </c>
      <c r="D308" s="114">
        <v>27000</v>
      </c>
      <c r="E308" s="83" t="s">
        <v>1053</v>
      </c>
      <c r="F308" s="104"/>
      <c r="G308" s="104">
        <f t="shared" si="17"/>
        <v>0</v>
      </c>
    </row>
    <row r="309" spans="1:7" ht="20.100000000000001" customHeight="1" x14ac:dyDescent="0.25">
      <c r="A309" s="116" t="s">
        <v>26</v>
      </c>
      <c r="B309" s="118" t="s">
        <v>1158</v>
      </c>
      <c r="C309" s="77" t="s">
        <v>1460</v>
      </c>
      <c r="D309" s="114">
        <v>17</v>
      </c>
      <c r="E309" s="83" t="str">
        <f t="shared" si="18"/>
        <v>EA</v>
      </c>
      <c r="F309" s="104"/>
      <c r="G309" s="104">
        <f t="shared" si="17"/>
        <v>0</v>
      </c>
    </row>
    <row r="310" spans="1:7" ht="20.100000000000001" customHeight="1" x14ac:dyDescent="0.25">
      <c r="A310" s="117"/>
      <c r="B310" s="119"/>
      <c r="C310" s="77" t="s">
        <v>1461</v>
      </c>
      <c r="D310" s="114">
        <v>3</v>
      </c>
      <c r="E310" s="83" t="str">
        <f t="shared" si="18"/>
        <v>EA</v>
      </c>
      <c r="F310" s="104"/>
      <c r="G310" s="104">
        <f t="shared" si="17"/>
        <v>0</v>
      </c>
    </row>
    <row r="311" spans="1:7" ht="20.100000000000001" customHeight="1" x14ac:dyDescent="0.25">
      <c r="A311" s="117"/>
      <c r="B311" s="119"/>
      <c r="C311" s="77" t="s">
        <v>1462</v>
      </c>
      <c r="D311" s="114">
        <v>11</v>
      </c>
      <c r="E311" s="83" t="str">
        <f t="shared" si="18"/>
        <v>EA</v>
      </c>
      <c r="F311" s="104"/>
      <c r="G311" s="104">
        <f t="shared" si="17"/>
        <v>0</v>
      </c>
    </row>
    <row r="312" spans="1:7" ht="20.100000000000001" customHeight="1" x14ac:dyDescent="0.25">
      <c r="A312" s="117"/>
      <c r="B312" s="119"/>
      <c r="C312" s="77" t="s">
        <v>1463</v>
      </c>
      <c r="D312" s="114">
        <v>2</v>
      </c>
      <c r="E312" s="83" t="str">
        <f t="shared" si="18"/>
        <v>EA</v>
      </c>
      <c r="F312" s="104"/>
      <c r="G312" s="104">
        <f t="shared" si="17"/>
        <v>0</v>
      </c>
    </row>
    <row r="313" spans="1:7" ht="54.95" customHeight="1" x14ac:dyDescent="0.25">
      <c r="A313" s="78" t="s">
        <v>25</v>
      </c>
      <c r="B313" s="76" t="s">
        <v>1159</v>
      </c>
      <c r="C313" s="77" t="s">
        <v>1464</v>
      </c>
      <c r="D313" s="114">
        <v>30</v>
      </c>
      <c r="E313" s="83" t="s">
        <v>1053</v>
      </c>
      <c r="F313" s="104"/>
      <c r="G313" s="104">
        <f t="shared" si="17"/>
        <v>0</v>
      </c>
    </row>
    <row r="314" spans="1:7" ht="54.95" customHeight="1" x14ac:dyDescent="0.25">
      <c r="A314" s="78" t="s">
        <v>24</v>
      </c>
      <c r="B314" s="76" t="s">
        <v>1160</v>
      </c>
      <c r="C314" s="77" t="s">
        <v>1465</v>
      </c>
      <c r="D314" s="114">
        <v>165</v>
      </c>
      <c r="E314" s="83" t="s">
        <v>1053</v>
      </c>
      <c r="F314" s="104"/>
      <c r="G314" s="104">
        <f t="shared" si="17"/>
        <v>0</v>
      </c>
    </row>
    <row r="315" spans="1:7" ht="54.95" customHeight="1" x14ac:dyDescent="0.25">
      <c r="A315" s="78" t="s">
        <v>23</v>
      </c>
      <c r="B315" s="76" t="s">
        <v>1161</v>
      </c>
      <c r="C315" s="77" t="s">
        <v>1466</v>
      </c>
      <c r="D315" s="114">
        <v>870</v>
      </c>
      <c r="E315" s="83" t="s">
        <v>1053</v>
      </c>
      <c r="F315" s="104"/>
      <c r="G315" s="104">
        <f t="shared" si="17"/>
        <v>0</v>
      </c>
    </row>
    <row r="316" spans="1:7" ht="54.95" customHeight="1" x14ac:dyDescent="0.25">
      <c r="A316" s="78" t="s">
        <v>22</v>
      </c>
      <c r="B316" s="76" t="s">
        <v>1162</v>
      </c>
      <c r="C316" s="77" t="s">
        <v>1467</v>
      </c>
      <c r="D316" s="114">
        <v>300</v>
      </c>
      <c r="E316" s="83" t="s">
        <v>1053</v>
      </c>
      <c r="F316" s="104"/>
      <c r="G316" s="104">
        <f t="shared" si="17"/>
        <v>0</v>
      </c>
    </row>
    <row r="317" spans="1:7" ht="20.100000000000001" customHeight="1" x14ac:dyDescent="0.25">
      <c r="A317" s="116" t="s">
        <v>21</v>
      </c>
      <c r="B317" s="118" t="s">
        <v>1163</v>
      </c>
      <c r="C317" s="77" t="s">
        <v>1468</v>
      </c>
      <c r="D317" s="114">
        <v>20</v>
      </c>
      <c r="E317" s="83" t="str">
        <f t="shared" si="18"/>
        <v>EA</v>
      </c>
      <c r="F317" s="104"/>
      <c r="G317" s="104">
        <f t="shared" si="17"/>
        <v>0</v>
      </c>
    </row>
    <row r="318" spans="1:7" ht="35.25" customHeight="1" x14ac:dyDescent="0.25">
      <c r="A318" s="117"/>
      <c r="B318" s="119"/>
      <c r="C318" s="77" t="s">
        <v>1469</v>
      </c>
      <c r="D318" s="114">
        <v>2</v>
      </c>
      <c r="E318" s="83" t="str">
        <f t="shared" si="18"/>
        <v>EA</v>
      </c>
      <c r="F318" s="104"/>
      <c r="G318" s="104">
        <f t="shared" si="17"/>
        <v>0</v>
      </c>
    </row>
    <row r="319" spans="1:7" ht="46.5" customHeight="1" x14ac:dyDescent="0.25">
      <c r="A319" s="78" t="s">
        <v>20</v>
      </c>
      <c r="B319" s="76" t="s">
        <v>1164</v>
      </c>
      <c r="C319" s="77" t="s">
        <v>1470</v>
      </c>
      <c r="D319" s="114">
        <v>3</v>
      </c>
      <c r="E319" s="83" t="str">
        <f t="shared" si="18"/>
        <v>EA</v>
      </c>
      <c r="F319" s="104"/>
      <c r="G319" s="104">
        <f t="shared" si="17"/>
        <v>0</v>
      </c>
    </row>
    <row r="320" spans="1:7" ht="20.100000000000001" customHeight="1" x14ac:dyDescent="0.25">
      <c r="A320" s="116" t="s">
        <v>19</v>
      </c>
      <c r="B320" s="118" t="s">
        <v>1662</v>
      </c>
      <c r="C320" s="77" t="s">
        <v>1472</v>
      </c>
      <c r="D320" s="114">
        <v>37</v>
      </c>
      <c r="E320" s="83" t="str">
        <f t="shared" si="18"/>
        <v>EA</v>
      </c>
      <c r="F320" s="104"/>
      <c r="G320" s="104">
        <f t="shared" si="17"/>
        <v>0</v>
      </c>
    </row>
    <row r="321" spans="1:7" ht="20.100000000000001" customHeight="1" x14ac:dyDescent="0.25">
      <c r="A321" s="117"/>
      <c r="B321" s="119"/>
      <c r="C321" s="77" t="s">
        <v>1473</v>
      </c>
      <c r="D321" s="114">
        <v>5</v>
      </c>
      <c r="E321" s="83" t="str">
        <f t="shared" si="18"/>
        <v>EA</v>
      </c>
      <c r="F321" s="104"/>
      <c r="G321" s="104">
        <f t="shared" si="17"/>
        <v>0</v>
      </c>
    </row>
    <row r="322" spans="1:7" ht="20.100000000000001" customHeight="1" x14ac:dyDescent="0.25">
      <c r="A322" s="117"/>
      <c r="B322" s="119"/>
      <c r="C322" s="77" t="s">
        <v>1474</v>
      </c>
      <c r="D322" s="114">
        <v>20</v>
      </c>
      <c r="E322" s="83" t="str">
        <f t="shared" si="18"/>
        <v>EA</v>
      </c>
      <c r="F322" s="104"/>
      <c r="G322" s="104">
        <f t="shared" si="17"/>
        <v>0</v>
      </c>
    </row>
    <row r="323" spans="1:7" ht="20.100000000000001" customHeight="1" x14ac:dyDescent="0.25">
      <c r="A323" s="117"/>
      <c r="B323" s="119"/>
      <c r="C323" s="77" t="s">
        <v>1475</v>
      </c>
      <c r="D323" s="114">
        <v>130</v>
      </c>
      <c r="E323" s="83" t="str">
        <f t="shared" si="18"/>
        <v>EA</v>
      </c>
      <c r="F323" s="104"/>
      <c r="G323" s="104">
        <f t="shared" si="17"/>
        <v>0</v>
      </c>
    </row>
    <row r="324" spans="1:7" ht="20.100000000000001" customHeight="1" x14ac:dyDescent="0.25">
      <c r="A324" s="117"/>
      <c r="B324" s="119"/>
      <c r="C324" s="77" t="s">
        <v>1471</v>
      </c>
      <c r="D324" s="114">
        <v>1</v>
      </c>
      <c r="E324" s="83" t="str">
        <f t="shared" si="18"/>
        <v>EA</v>
      </c>
      <c r="F324" s="104"/>
      <c r="G324" s="104">
        <f t="shared" si="17"/>
        <v>0</v>
      </c>
    </row>
    <row r="325" spans="1:7" ht="20.100000000000001" customHeight="1" x14ac:dyDescent="0.25">
      <c r="A325" s="116" t="s">
        <v>18</v>
      </c>
      <c r="B325" s="118" t="s">
        <v>1663</v>
      </c>
      <c r="C325" s="77" t="s">
        <v>1476</v>
      </c>
      <c r="D325" s="114">
        <v>50</v>
      </c>
      <c r="E325" s="83" t="str">
        <f t="shared" si="18"/>
        <v>EA</v>
      </c>
      <c r="F325" s="104"/>
      <c r="G325" s="104">
        <f t="shared" si="17"/>
        <v>0</v>
      </c>
    </row>
    <row r="326" spans="1:7" ht="20.100000000000001" customHeight="1" x14ac:dyDescent="0.25">
      <c r="A326" s="117"/>
      <c r="B326" s="119"/>
      <c r="C326" s="77" t="s">
        <v>1477</v>
      </c>
      <c r="D326" s="114">
        <v>50</v>
      </c>
      <c r="E326" s="83" t="str">
        <f t="shared" si="18"/>
        <v>EA</v>
      </c>
      <c r="F326" s="104"/>
      <c r="G326" s="104">
        <f t="shared" si="17"/>
        <v>0</v>
      </c>
    </row>
    <row r="327" spans="1:7" ht="20.100000000000001" customHeight="1" x14ac:dyDescent="0.25">
      <c r="A327" s="117"/>
      <c r="B327" s="119"/>
      <c r="C327" s="77" t="s">
        <v>1478</v>
      </c>
      <c r="D327" s="114">
        <v>1</v>
      </c>
      <c r="E327" s="83" t="str">
        <f t="shared" si="18"/>
        <v>EA</v>
      </c>
      <c r="F327" s="104"/>
      <c r="G327" s="104">
        <f t="shared" ref="G327:G376" si="19">F327*D327</f>
        <v>0</v>
      </c>
    </row>
    <row r="328" spans="1:7" ht="41.25" customHeight="1" x14ac:dyDescent="0.25">
      <c r="A328" s="117"/>
      <c r="B328" s="119"/>
      <c r="C328" s="77" t="s">
        <v>1479</v>
      </c>
      <c r="D328" s="114">
        <v>5</v>
      </c>
      <c r="E328" s="83" t="str">
        <f t="shared" si="18"/>
        <v>EA</v>
      </c>
      <c r="F328" s="104"/>
      <c r="G328" s="104">
        <f t="shared" si="19"/>
        <v>0</v>
      </c>
    </row>
    <row r="329" spans="1:7" ht="20.100000000000001" customHeight="1" x14ac:dyDescent="0.25">
      <c r="A329" s="116" t="s">
        <v>17</v>
      </c>
      <c r="B329" s="118" t="s">
        <v>1664</v>
      </c>
      <c r="C329" s="77" t="s">
        <v>1480</v>
      </c>
      <c r="D329" s="114">
        <v>50</v>
      </c>
      <c r="E329" s="83" t="str">
        <f t="shared" si="18"/>
        <v>EA</v>
      </c>
      <c r="F329" s="104"/>
      <c r="G329" s="104">
        <f t="shared" si="19"/>
        <v>0</v>
      </c>
    </row>
    <row r="330" spans="1:7" ht="20.100000000000001" customHeight="1" x14ac:dyDescent="0.25">
      <c r="A330" s="117"/>
      <c r="B330" s="119"/>
      <c r="C330" s="77" t="s">
        <v>1481</v>
      </c>
      <c r="D330" s="114">
        <v>50</v>
      </c>
      <c r="E330" s="83" t="str">
        <f t="shared" ref="E330:E337" si="20">IF(C330="C7","LB","EA")</f>
        <v>EA</v>
      </c>
      <c r="F330" s="104"/>
      <c r="G330" s="104">
        <f t="shared" si="19"/>
        <v>0</v>
      </c>
    </row>
    <row r="331" spans="1:7" ht="20.100000000000001" customHeight="1" x14ac:dyDescent="0.25">
      <c r="A331" s="117"/>
      <c r="B331" s="119"/>
      <c r="C331" s="77" t="s">
        <v>1482</v>
      </c>
      <c r="D331" s="114">
        <v>1</v>
      </c>
      <c r="E331" s="83" t="str">
        <f t="shared" si="20"/>
        <v>EA</v>
      </c>
      <c r="F331" s="104"/>
      <c r="G331" s="104">
        <f t="shared" si="19"/>
        <v>0</v>
      </c>
    </row>
    <row r="332" spans="1:7" ht="40.5" customHeight="1" x14ac:dyDescent="0.25">
      <c r="A332" s="117"/>
      <c r="B332" s="119"/>
      <c r="C332" s="77" t="s">
        <v>1483</v>
      </c>
      <c r="D332" s="114">
        <v>5</v>
      </c>
      <c r="E332" s="83" t="str">
        <f t="shared" si="20"/>
        <v>EA</v>
      </c>
      <c r="F332" s="104"/>
      <c r="G332" s="104">
        <f t="shared" si="19"/>
        <v>0</v>
      </c>
    </row>
    <row r="333" spans="1:7" ht="20.100000000000001" customHeight="1" x14ac:dyDescent="0.25">
      <c r="A333" s="116" t="s">
        <v>16</v>
      </c>
      <c r="B333" s="118" t="s">
        <v>1165</v>
      </c>
      <c r="C333" s="77" t="s">
        <v>1484</v>
      </c>
      <c r="D333" s="114">
        <v>4</v>
      </c>
      <c r="E333" s="83" t="str">
        <f t="shared" si="20"/>
        <v>EA</v>
      </c>
      <c r="F333" s="104"/>
      <c r="G333" s="104">
        <f t="shared" si="19"/>
        <v>0</v>
      </c>
    </row>
    <row r="334" spans="1:7" ht="20.100000000000001" customHeight="1" x14ac:dyDescent="0.25">
      <c r="A334" s="117"/>
      <c r="B334" s="119"/>
      <c r="C334" s="77" t="s">
        <v>1485</v>
      </c>
      <c r="D334" s="114">
        <v>2</v>
      </c>
      <c r="E334" s="83" t="str">
        <f t="shared" si="20"/>
        <v>EA</v>
      </c>
      <c r="F334" s="104"/>
      <c r="G334" s="104">
        <f t="shared" si="19"/>
        <v>0</v>
      </c>
    </row>
    <row r="335" spans="1:7" ht="20.100000000000001" customHeight="1" x14ac:dyDescent="0.25">
      <c r="A335" s="117"/>
      <c r="B335" s="119"/>
      <c r="C335" s="77" t="s">
        <v>1486</v>
      </c>
      <c r="D335" s="114">
        <v>8</v>
      </c>
      <c r="E335" s="83" t="str">
        <f t="shared" si="20"/>
        <v>EA</v>
      </c>
      <c r="F335" s="104"/>
      <c r="G335" s="104">
        <f t="shared" si="19"/>
        <v>0</v>
      </c>
    </row>
    <row r="336" spans="1:7" ht="20.100000000000001" customHeight="1" x14ac:dyDescent="0.25">
      <c r="A336" s="117"/>
      <c r="B336" s="119"/>
      <c r="C336" s="77" t="s">
        <v>1487</v>
      </c>
      <c r="D336" s="114">
        <v>170</v>
      </c>
      <c r="E336" s="83" t="str">
        <f t="shared" si="20"/>
        <v>EA</v>
      </c>
      <c r="F336" s="104"/>
      <c r="G336" s="104">
        <f t="shared" si="19"/>
        <v>0</v>
      </c>
    </row>
    <row r="337" spans="1:7" ht="20.100000000000001" customHeight="1" x14ac:dyDescent="0.25">
      <c r="A337" s="117"/>
      <c r="B337" s="119"/>
      <c r="C337" s="77" t="s">
        <v>1488</v>
      </c>
      <c r="D337" s="114">
        <v>1</v>
      </c>
      <c r="E337" s="83" t="str">
        <f t="shared" si="20"/>
        <v>EA</v>
      </c>
      <c r="F337" s="104"/>
      <c r="G337" s="104">
        <f t="shared" si="19"/>
        <v>0</v>
      </c>
    </row>
    <row r="338" spans="1:7" ht="81.75" customHeight="1" x14ac:dyDescent="0.25">
      <c r="A338" s="78" t="s">
        <v>1083</v>
      </c>
      <c r="B338" s="76" t="s">
        <v>1166</v>
      </c>
      <c r="C338" s="77" t="s">
        <v>1489</v>
      </c>
      <c r="D338" s="114">
        <v>25</v>
      </c>
      <c r="E338" s="83" t="s">
        <v>1053</v>
      </c>
      <c r="F338" s="104"/>
      <c r="G338" s="104">
        <f t="shared" si="19"/>
        <v>0</v>
      </c>
    </row>
    <row r="339" spans="1:7" ht="54" customHeight="1" x14ac:dyDescent="0.25">
      <c r="A339" s="78" t="s">
        <v>15</v>
      </c>
      <c r="B339" s="76" t="s">
        <v>1167</v>
      </c>
      <c r="C339" s="77" t="s">
        <v>1490</v>
      </c>
      <c r="D339" s="114">
        <v>25</v>
      </c>
      <c r="E339" s="83" t="s">
        <v>1053</v>
      </c>
      <c r="F339" s="104"/>
      <c r="G339" s="104">
        <f t="shared" si="19"/>
        <v>0</v>
      </c>
    </row>
    <row r="340" spans="1:7" ht="47.25" x14ac:dyDescent="0.25">
      <c r="A340" s="78" t="s">
        <v>14</v>
      </c>
      <c r="B340" s="76" t="s">
        <v>1168</v>
      </c>
      <c r="C340" s="77" t="s">
        <v>1491</v>
      </c>
      <c r="D340" s="114">
        <v>1</v>
      </c>
      <c r="E340" s="83" t="str">
        <f t="shared" ref="E340:E347" si="21">IF(C340="C7","LB","EA")</f>
        <v>EA</v>
      </c>
      <c r="F340" s="104"/>
      <c r="G340" s="104">
        <f t="shared" si="19"/>
        <v>0</v>
      </c>
    </row>
    <row r="341" spans="1:7" ht="20.100000000000001" customHeight="1" x14ac:dyDescent="0.25">
      <c r="A341" s="116" t="s">
        <v>13</v>
      </c>
      <c r="B341" s="118" t="s">
        <v>1169</v>
      </c>
      <c r="C341" s="77" t="s">
        <v>1492</v>
      </c>
      <c r="D341" s="114">
        <v>6</v>
      </c>
      <c r="E341" s="83" t="str">
        <f t="shared" si="21"/>
        <v>EA</v>
      </c>
      <c r="F341" s="104"/>
      <c r="G341" s="104">
        <f t="shared" si="19"/>
        <v>0</v>
      </c>
    </row>
    <row r="342" spans="1:7" ht="20.100000000000001" customHeight="1" x14ac:dyDescent="0.25">
      <c r="A342" s="117"/>
      <c r="B342" s="119"/>
      <c r="C342" s="77" t="s">
        <v>1493</v>
      </c>
      <c r="D342" s="114">
        <v>1</v>
      </c>
      <c r="E342" s="83" t="str">
        <f t="shared" si="21"/>
        <v>EA</v>
      </c>
      <c r="F342" s="104"/>
      <c r="G342" s="104">
        <f t="shared" si="19"/>
        <v>0</v>
      </c>
    </row>
    <row r="343" spans="1:7" ht="20.100000000000001" customHeight="1" x14ac:dyDescent="0.25">
      <c r="A343" s="117"/>
      <c r="B343" s="119"/>
      <c r="C343" s="77" t="s">
        <v>1494</v>
      </c>
      <c r="D343" s="114">
        <v>1</v>
      </c>
      <c r="E343" s="83" t="str">
        <f t="shared" si="21"/>
        <v>EA</v>
      </c>
      <c r="F343" s="104"/>
      <c r="G343" s="104">
        <f t="shared" si="19"/>
        <v>0</v>
      </c>
    </row>
    <row r="344" spans="1:7" ht="20.100000000000001" customHeight="1" x14ac:dyDescent="0.25">
      <c r="A344" s="117"/>
      <c r="B344" s="119"/>
      <c r="C344" s="77" t="s">
        <v>1495</v>
      </c>
      <c r="D344" s="114">
        <v>1</v>
      </c>
      <c r="E344" s="83" t="str">
        <f t="shared" si="21"/>
        <v>EA</v>
      </c>
      <c r="F344" s="104"/>
      <c r="G344" s="104">
        <f t="shared" si="19"/>
        <v>0</v>
      </c>
    </row>
    <row r="345" spans="1:7" ht="20.100000000000001" customHeight="1" x14ac:dyDescent="0.25">
      <c r="A345" s="117"/>
      <c r="B345" s="119"/>
      <c r="C345" s="77" t="s">
        <v>1496</v>
      </c>
      <c r="D345" s="114">
        <v>1</v>
      </c>
      <c r="E345" s="83" t="str">
        <f t="shared" si="21"/>
        <v>EA</v>
      </c>
      <c r="F345" s="104"/>
      <c r="G345" s="104">
        <f t="shared" si="19"/>
        <v>0</v>
      </c>
    </row>
    <row r="346" spans="1:7" ht="20.100000000000001" customHeight="1" x14ac:dyDescent="0.25">
      <c r="A346" s="116" t="s">
        <v>12</v>
      </c>
      <c r="B346" s="118" t="s">
        <v>1170</v>
      </c>
      <c r="C346" s="77" t="s">
        <v>1497</v>
      </c>
      <c r="D346" s="114">
        <v>1</v>
      </c>
      <c r="E346" s="83" t="str">
        <f t="shared" si="21"/>
        <v>EA</v>
      </c>
      <c r="F346" s="104"/>
      <c r="G346" s="104">
        <f t="shared" si="19"/>
        <v>0</v>
      </c>
    </row>
    <row r="347" spans="1:7" ht="54" customHeight="1" x14ac:dyDescent="0.25">
      <c r="A347" s="117"/>
      <c r="B347" s="119"/>
      <c r="C347" s="77" t="s">
        <v>1498</v>
      </c>
      <c r="D347" s="114">
        <v>1</v>
      </c>
      <c r="E347" s="83" t="str">
        <f t="shared" si="21"/>
        <v>EA</v>
      </c>
      <c r="F347" s="104"/>
      <c r="G347" s="104">
        <f t="shared" si="19"/>
        <v>0</v>
      </c>
    </row>
    <row r="348" spans="1:7" ht="93.75" customHeight="1" x14ac:dyDescent="0.25">
      <c r="A348" s="78" t="s">
        <v>11</v>
      </c>
      <c r="B348" s="76" t="s">
        <v>1171</v>
      </c>
      <c r="C348" s="77" t="s">
        <v>1499</v>
      </c>
      <c r="D348" s="114">
        <v>2</v>
      </c>
      <c r="E348" s="83" t="str">
        <f>IF(C348="C7","LB","EA")</f>
        <v>EA</v>
      </c>
      <c r="F348" s="104"/>
      <c r="G348" s="104">
        <f t="shared" si="19"/>
        <v>0</v>
      </c>
    </row>
    <row r="349" spans="1:7" x14ac:dyDescent="0.25">
      <c r="A349" s="116" t="s">
        <v>10</v>
      </c>
      <c r="B349" s="118" t="s">
        <v>1172</v>
      </c>
      <c r="C349" s="77" t="s">
        <v>1500</v>
      </c>
      <c r="D349" s="114">
        <v>2</v>
      </c>
      <c r="E349" s="83" t="str">
        <f t="shared" ref="E349:E350" si="22">IF(C349="C7","LB","EA")</f>
        <v>EA</v>
      </c>
      <c r="F349" s="104"/>
      <c r="G349" s="104">
        <f t="shared" si="19"/>
        <v>0</v>
      </c>
    </row>
    <row r="350" spans="1:7" ht="51" customHeight="1" x14ac:dyDescent="0.25">
      <c r="A350" s="117"/>
      <c r="B350" s="119"/>
      <c r="C350" s="77" t="s">
        <v>1501</v>
      </c>
      <c r="D350" s="114">
        <v>4</v>
      </c>
      <c r="E350" s="83" t="str">
        <f t="shared" si="22"/>
        <v>EA</v>
      </c>
      <c r="F350" s="104"/>
      <c r="G350" s="104">
        <f t="shared" si="19"/>
        <v>0</v>
      </c>
    </row>
    <row r="351" spans="1:7" ht="87" customHeight="1" x14ac:dyDescent="0.25">
      <c r="A351" s="78" t="s">
        <v>9</v>
      </c>
      <c r="B351" s="76" t="s">
        <v>1173</v>
      </c>
      <c r="C351" s="77" t="s">
        <v>1592</v>
      </c>
      <c r="D351" s="114">
        <v>150</v>
      </c>
      <c r="E351" s="83" t="s">
        <v>1053</v>
      </c>
      <c r="F351" s="104"/>
      <c r="G351" s="104">
        <f t="shared" si="19"/>
        <v>0</v>
      </c>
    </row>
    <row r="352" spans="1:7" ht="20.100000000000001" customHeight="1" x14ac:dyDescent="0.25">
      <c r="A352" s="116" t="s">
        <v>8</v>
      </c>
      <c r="B352" s="118" t="s">
        <v>1174</v>
      </c>
      <c r="C352" s="77" t="s">
        <v>1502</v>
      </c>
      <c r="D352" s="114">
        <v>29</v>
      </c>
      <c r="E352" s="83" t="str">
        <f t="shared" ref="E352:E355" si="23">IF(C352="C7","LB","EA")</f>
        <v>EA</v>
      </c>
      <c r="F352" s="104"/>
      <c r="G352" s="104">
        <f t="shared" si="19"/>
        <v>0</v>
      </c>
    </row>
    <row r="353" spans="1:7" ht="20.100000000000001" customHeight="1" x14ac:dyDescent="0.25">
      <c r="A353" s="117"/>
      <c r="B353" s="119"/>
      <c r="C353" s="77" t="s">
        <v>1503</v>
      </c>
      <c r="D353" s="114">
        <v>5</v>
      </c>
      <c r="E353" s="83" t="str">
        <f t="shared" si="23"/>
        <v>EA</v>
      </c>
      <c r="F353" s="104"/>
      <c r="G353" s="104">
        <f t="shared" si="19"/>
        <v>0</v>
      </c>
    </row>
    <row r="354" spans="1:7" ht="20.100000000000001" customHeight="1" x14ac:dyDescent="0.25">
      <c r="A354" s="117"/>
      <c r="B354" s="119"/>
      <c r="C354" s="77" t="s">
        <v>1504</v>
      </c>
      <c r="D354" s="114">
        <v>58</v>
      </c>
      <c r="E354" s="83" t="str">
        <f t="shared" si="23"/>
        <v>EA</v>
      </c>
      <c r="F354" s="104"/>
      <c r="G354" s="104">
        <f t="shared" si="19"/>
        <v>0</v>
      </c>
    </row>
    <row r="355" spans="1:7" ht="20.100000000000001" customHeight="1" x14ac:dyDescent="0.25">
      <c r="A355" s="117"/>
      <c r="B355" s="119"/>
      <c r="C355" s="77" t="s">
        <v>1505</v>
      </c>
      <c r="D355" s="114">
        <v>119</v>
      </c>
      <c r="E355" s="83" t="str">
        <f t="shared" si="23"/>
        <v>EA</v>
      </c>
      <c r="F355" s="104"/>
      <c r="G355" s="104">
        <f t="shared" si="19"/>
        <v>0</v>
      </c>
    </row>
    <row r="356" spans="1:7" ht="20.100000000000001" customHeight="1" x14ac:dyDescent="0.25">
      <c r="A356" s="116" t="s">
        <v>7</v>
      </c>
      <c r="B356" s="118" t="s">
        <v>1175</v>
      </c>
      <c r="C356" s="77" t="s">
        <v>1506</v>
      </c>
      <c r="D356" s="114">
        <v>8</v>
      </c>
      <c r="E356" s="83" t="str">
        <f t="shared" ref="E356:E366" si="24">IF(C356="C7","LB","EA")</f>
        <v>EA</v>
      </c>
      <c r="F356" s="104"/>
      <c r="G356" s="104">
        <f t="shared" si="19"/>
        <v>0</v>
      </c>
    </row>
    <row r="357" spans="1:7" ht="20.100000000000001" customHeight="1" x14ac:dyDescent="0.25">
      <c r="A357" s="117"/>
      <c r="B357" s="119"/>
      <c r="C357" s="77" t="s">
        <v>1507</v>
      </c>
      <c r="D357" s="114">
        <v>3</v>
      </c>
      <c r="E357" s="83" t="str">
        <f t="shared" si="24"/>
        <v>EA</v>
      </c>
      <c r="F357" s="104"/>
      <c r="G357" s="104">
        <f t="shared" si="19"/>
        <v>0</v>
      </c>
    </row>
    <row r="358" spans="1:7" ht="20.100000000000001" customHeight="1" x14ac:dyDescent="0.25">
      <c r="A358" s="117"/>
      <c r="B358" s="119"/>
      <c r="C358" s="77" t="s">
        <v>1508</v>
      </c>
      <c r="D358" s="114">
        <v>8</v>
      </c>
      <c r="E358" s="83" t="str">
        <f t="shared" si="24"/>
        <v>EA</v>
      </c>
      <c r="F358" s="104"/>
      <c r="G358" s="104">
        <f t="shared" si="19"/>
        <v>0</v>
      </c>
    </row>
    <row r="359" spans="1:7" ht="40.5" customHeight="1" x14ac:dyDescent="0.25">
      <c r="A359" s="117"/>
      <c r="B359" s="119"/>
      <c r="C359" s="77" t="s">
        <v>1509</v>
      </c>
      <c r="D359" s="114">
        <v>18</v>
      </c>
      <c r="E359" s="83" t="str">
        <f t="shared" si="24"/>
        <v>EA</v>
      </c>
      <c r="F359" s="104"/>
      <c r="G359" s="104">
        <f t="shared" si="19"/>
        <v>0</v>
      </c>
    </row>
    <row r="360" spans="1:7" ht="20.100000000000001" customHeight="1" x14ac:dyDescent="0.25">
      <c r="A360" s="116" t="s">
        <v>6</v>
      </c>
      <c r="B360" s="118" t="s">
        <v>1176</v>
      </c>
      <c r="C360" s="77" t="s">
        <v>1510</v>
      </c>
      <c r="D360" s="114">
        <v>1</v>
      </c>
      <c r="E360" s="83" t="str">
        <f t="shared" si="24"/>
        <v>EA</v>
      </c>
      <c r="F360" s="104"/>
      <c r="G360" s="104">
        <f t="shared" si="19"/>
        <v>0</v>
      </c>
    </row>
    <row r="361" spans="1:7" ht="20.100000000000001" customHeight="1" x14ac:dyDescent="0.25">
      <c r="A361" s="117"/>
      <c r="B361" s="119"/>
      <c r="C361" s="77" t="s">
        <v>1511</v>
      </c>
      <c r="D361" s="114">
        <v>3</v>
      </c>
      <c r="E361" s="83" t="str">
        <f t="shared" si="24"/>
        <v>EA</v>
      </c>
      <c r="F361" s="104"/>
      <c r="G361" s="104">
        <f t="shared" si="19"/>
        <v>0</v>
      </c>
    </row>
    <row r="362" spans="1:7" ht="29.25" customHeight="1" x14ac:dyDescent="0.25">
      <c r="A362" s="117"/>
      <c r="B362" s="119"/>
      <c r="C362" s="77" t="s">
        <v>1512</v>
      </c>
      <c r="D362" s="114">
        <v>10</v>
      </c>
      <c r="E362" s="83" t="str">
        <f t="shared" si="24"/>
        <v>EA</v>
      </c>
      <c r="F362" s="104"/>
      <c r="G362" s="104">
        <f t="shared" si="19"/>
        <v>0</v>
      </c>
    </row>
    <row r="363" spans="1:7" ht="20.100000000000001" customHeight="1" x14ac:dyDescent="0.25">
      <c r="A363" s="116" t="s">
        <v>5</v>
      </c>
      <c r="B363" s="118" t="s">
        <v>1177</v>
      </c>
      <c r="C363" s="77" t="s">
        <v>1513</v>
      </c>
      <c r="D363" s="114">
        <v>23</v>
      </c>
      <c r="E363" s="83" t="str">
        <f>IF(C363="C7","LB","EA")</f>
        <v>EA</v>
      </c>
      <c r="F363" s="104"/>
      <c r="G363" s="104">
        <f t="shared" si="19"/>
        <v>0</v>
      </c>
    </row>
    <row r="364" spans="1:7" ht="44.25" customHeight="1" x14ac:dyDescent="0.25">
      <c r="A364" s="117"/>
      <c r="B364" s="119"/>
      <c r="C364" s="77" t="s">
        <v>1514</v>
      </c>
      <c r="D364" s="114">
        <v>1</v>
      </c>
      <c r="E364" s="83" t="str">
        <f>IF(C364="C7","LB","EA")</f>
        <v>EA</v>
      </c>
      <c r="F364" s="104"/>
      <c r="G364" s="104">
        <f t="shared" si="19"/>
        <v>0</v>
      </c>
    </row>
    <row r="365" spans="1:7" ht="20.100000000000001" customHeight="1" x14ac:dyDescent="0.25">
      <c r="A365" s="116" t="s">
        <v>4</v>
      </c>
      <c r="B365" s="118" t="s">
        <v>1178</v>
      </c>
      <c r="C365" s="77" t="s">
        <v>1515</v>
      </c>
      <c r="D365" s="114">
        <v>8</v>
      </c>
      <c r="E365" s="83" t="str">
        <f t="shared" si="24"/>
        <v>EA</v>
      </c>
      <c r="F365" s="104"/>
      <c r="G365" s="104">
        <f t="shared" si="19"/>
        <v>0</v>
      </c>
    </row>
    <row r="366" spans="1:7" ht="20.100000000000001" customHeight="1" x14ac:dyDescent="0.25">
      <c r="A366" s="117"/>
      <c r="B366" s="119"/>
      <c r="C366" s="77" t="s">
        <v>1516</v>
      </c>
      <c r="D366" s="114">
        <v>3</v>
      </c>
      <c r="E366" s="83" t="str">
        <f t="shared" si="24"/>
        <v>EA</v>
      </c>
      <c r="F366" s="104"/>
      <c r="G366" s="104">
        <f t="shared" si="19"/>
        <v>0</v>
      </c>
    </row>
    <row r="367" spans="1:7" ht="20.100000000000001" customHeight="1" x14ac:dyDescent="0.25">
      <c r="A367" s="117"/>
      <c r="B367" s="119"/>
      <c r="C367" s="77" t="s">
        <v>1517</v>
      </c>
      <c r="D367" s="114">
        <v>14</v>
      </c>
      <c r="E367" s="83" t="str">
        <f t="shared" ref="E367:E371" si="25">IF(C367="C7","LB","EA")</f>
        <v>EA</v>
      </c>
      <c r="F367" s="104"/>
      <c r="G367" s="104">
        <f t="shared" si="19"/>
        <v>0</v>
      </c>
    </row>
    <row r="368" spans="1:7" ht="20.100000000000001" customHeight="1" x14ac:dyDescent="0.25">
      <c r="A368" s="117"/>
      <c r="B368" s="119"/>
      <c r="C368" s="77" t="s">
        <v>1518</v>
      </c>
      <c r="D368" s="114">
        <v>53</v>
      </c>
      <c r="E368" s="83" t="str">
        <f t="shared" si="25"/>
        <v>EA</v>
      </c>
      <c r="F368" s="104"/>
      <c r="G368" s="104">
        <f t="shared" si="19"/>
        <v>0</v>
      </c>
    </row>
    <row r="369" spans="1:7" ht="20.100000000000001" customHeight="1" x14ac:dyDescent="0.25">
      <c r="A369" s="116" t="s">
        <v>3</v>
      </c>
      <c r="B369" s="118" t="s">
        <v>1179</v>
      </c>
      <c r="C369" s="77" t="s">
        <v>1519</v>
      </c>
      <c r="D369" s="114">
        <v>46</v>
      </c>
      <c r="E369" s="83" t="str">
        <f t="shared" si="25"/>
        <v>EA</v>
      </c>
      <c r="F369" s="104"/>
      <c r="G369" s="104">
        <f t="shared" si="19"/>
        <v>0</v>
      </c>
    </row>
    <row r="370" spans="1:7" ht="20.100000000000001" customHeight="1" x14ac:dyDescent="0.25">
      <c r="A370" s="116"/>
      <c r="B370" s="118"/>
      <c r="C370" s="77" t="s">
        <v>1520</v>
      </c>
      <c r="D370" s="114">
        <v>14</v>
      </c>
      <c r="E370" s="83" t="str">
        <f t="shared" si="25"/>
        <v>EA</v>
      </c>
      <c r="F370" s="104"/>
      <c r="G370" s="104">
        <f t="shared" si="19"/>
        <v>0</v>
      </c>
    </row>
    <row r="371" spans="1:7" ht="25.5" customHeight="1" x14ac:dyDescent="0.25">
      <c r="A371" s="116"/>
      <c r="B371" s="118"/>
      <c r="C371" s="77" t="s">
        <v>1521</v>
      </c>
      <c r="D371" s="114">
        <v>277</v>
      </c>
      <c r="E371" s="83" t="str">
        <f t="shared" si="25"/>
        <v>EA</v>
      </c>
      <c r="F371" s="104"/>
      <c r="G371" s="104">
        <f t="shared" si="19"/>
        <v>0</v>
      </c>
    </row>
    <row r="372" spans="1:7" ht="20.100000000000001" customHeight="1" x14ac:dyDescent="0.25">
      <c r="A372" s="116" t="s">
        <v>2</v>
      </c>
      <c r="B372" s="118" t="s">
        <v>1231</v>
      </c>
      <c r="C372" s="77" t="s">
        <v>1522</v>
      </c>
      <c r="D372" s="114">
        <v>1</v>
      </c>
      <c r="E372" s="83" t="str">
        <f>IF(C372="C7","LB","EA")</f>
        <v>EA</v>
      </c>
      <c r="F372" s="104"/>
      <c r="G372" s="104">
        <f t="shared" si="19"/>
        <v>0</v>
      </c>
    </row>
    <row r="373" spans="1:7" ht="48.75" customHeight="1" x14ac:dyDescent="0.25">
      <c r="A373" s="117"/>
      <c r="B373" s="119"/>
      <c r="C373" s="77" t="s">
        <v>1523</v>
      </c>
      <c r="D373" s="114">
        <v>71</v>
      </c>
      <c r="E373" s="83" t="str">
        <f>IF(C373="C7","LB","EA")</f>
        <v>EA</v>
      </c>
      <c r="F373" s="104"/>
      <c r="G373" s="104">
        <f t="shared" si="19"/>
        <v>0</v>
      </c>
    </row>
    <row r="374" spans="1:7" ht="20.100000000000001" customHeight="1" x14ac:dyDescent="0.25">
      <c r="A374" s="116" t="s">
        <v>1</v>
      </c>
      <c r="B374" s="118" t="s">
        <v>1180</v>
      </c>
      <c r="C374" s="77" t="s">
        <v>1524</v>
      </c>
      <c r="D374" s="114">
        <v>1</v>
      </c>
      <c r="E374" s="83" t="str">
        <f t="shared" ref="E374:E375" si="26">IF(C374="C7","LB","EA")</f>
        <v>EA</v>
      </c>
      <c r="F374" s="104"/>
      <c r="G374" s="104">
        <f t="shared" si="19"/>
        <v>0</v>
      </c>
    </row>
    <row r="375" spans="1:7" ht="61.5" customHeight="1" x14ac:dyDescent="0.25">
      <c r="A375" s="117"/>
      <c r="B375" s="119"/>
      <c r="C375" s="77" t="s">
        <v>1525</v>
      </c>
      <c r="D375" s="114">
        <v>5</v>
      </c>
      <c r="E375" s="83" t="str">
        <f t="shared" si="26"/>
        <v>EA</v>
      </c>
      <c r="F375" s="104"/>
      <c r="G375" s="104">
        <f t="shared" si="19"/>
        <v>0</v>
      </c>
    </row>
    <row r="376" spans="1:7" ht="65.099999999999994" customHeight="1" x14ac:dyDescent="0.25">
      <c r="A376" s="78" t="s">
        <v>0</v>
      </c>
      <c r="B376" s="76" t="s">
        <v>1181</v>
      </c>
      <c r="C376" s="77" t="s">
        <v>1526</v>
      </c>
      <c r="D376" s="114">
        <v>1</v>
      </c>
      <c r="E376" s="83" t="str">
        <f>IF(C376="C7","LB","EA")</f>
        <v>EA</v>
      </c>
      <c r="F376" s="104"/>
      <c r="G376" s="104">
        <f t="shared" si="19"/>
        <v>0</v>
      </c>
    </row>
    <row r="378" spans="1:7" ht="19.5" thickBot="1" x14ac:dyDescent="0.35">
      <c r="F378" s="112" t="s">
        <v>1667</v>
      </c>
      <c r="G378" s="112">
        <f>SUM(G6:G376)</f>
        <v>0</v>
      </c>
    </row>
    <row r="379" spans="1:7" ht="16.5" thickTop="1" x14ac:dyDescent="0.25"/>
  </sheetData>
  <mergeCells count="123">
    <mergeCell ref="B181:B184"/>
    <mergeCell ref="A181:A184"/>
    <mergeCell ref="B166:B167"/>
    <mergeCell ref="A166:A167"/>
    <mergeCell ref="A104:A106"/>
    <mergeCell ref="B104:B106"/>
    <mergeCell ref="B133:B136"/>
    <mergeCell ref="A133:A136"/>
    <mergeCell ref="B137:B140"/>
    <mergeCell ref="A137:A140"/>
    <mergeCell ref="B127:B131"/>
    <mergeCell ref="A127:A131"/>
    <mergeCell ref="B124:B126"/>
    <mergeCell ref="A124:A126"/>
    <mergeCell ref="B174:B177"/>
    <mergeCell ref="A174:A177"/>
    <mergeCell ref="B171:B173"/>
    <mergeCell ref="A171:A173"/>
    <mergeCell ref="B178:B180"/>
    <mergeCell ref="A178:A180"/>
    <mergeCell ref="B154:B159"/>
    <mergeCell ref="A154:A159"/>
    <mergeCell ref="B145:B148"/>
    <mergeCell ref="B202:B203"/>
    <mergeCell ref="A202:A203"/>
    <mergeCell ref="B200:B201"/>
    <mergeCell ref="A200:A201"/>
    <mergeCell ref="B196:B199"/>
    <mergeCell ref="A196:A199"/>
    <mergeCell ref="B191:B195"/>
    <mergeCell ref="A191:A195"/>
    <mergeCell ref="B186:B190"/>
    <mergeCell ref="A186:A190"/>
    <mergeCell ref="B205:B206"/>
    <mergeCell ref="A205:A206"/>
    <mergeCell ref="B224:B229"/>
    <mergeCell ref="A224:A229"/>
    <mergeCell ref="B218:B223"/>
    <mergeCell ref="A218:A223"/>
    <mergeCell ref="B213:B217"/>
    <mergeCell ref="A213:A217"/>
    <mergeCell ref="B211:B212"/>
    <mergeCell ref="A211:A212"/>
    <mergeCell ref="B209:B210"/>
    <mergeCell ref="A209:A210"/>
    <mergeCell ref="B207:B208"/>
    <mergeCell ref="B245:B249"/>
    <mergeCell ref="A245:A249"/>
    <mergeCell ref="B237:B244"/>
    <mergeCell ref="A237:A244"/>
    <mergeCell ref="B234:B236"/>
    <mergeCell ref="A234:A236"/>
    <mergeCell ref="A207:A208"/>
    <mergeCell ref="A230:A233"/>
    <mergeCell ref="B230:B233"/>
    <mergeCell ref="B290:B291"/>
    <mergeCell ref="B264:B272"/>
    <mergeCell ref="A264:A272"/>
    <mergeCell ref="B259:B263"/>
    <mergeCell ref="A259:A263"/>
    <mergeCell ref="A299:A307"/>
    <mergeCell ref="B296:B298"/>
    <mergeCell ref="A296:A298"/>
    <mergeCell ref="B250:B258"/>
    <mergeCell ref="A250:A258"/>
    <mergeCell ref="A320:A324"/>
    <mergeCell ref="B317:B318"/>
    <mergeCell ref="A317:A318"/>
    <mergeCell ref="B374:B375"/>
    <mergeCell ref="A374:A375"/>
    <mergeCell ref="A107:A108"/>
    <mergeCell ref="B107:B108"/>
    <mergeCell ref="B110:B111"/>
    <mergeCell ref="A110:A111"/>
    <mergeCell ref="B119:B123"/>
    <mergeCell ref="A119:A123"/>
    <mergeCell ref="B114:B118"/>
    <mergeCell ref="A114:A118"/>
    <mergeCell ref="B112:B113"/>
    <mergeCell ref="A112:A113"/>
    <mergeCell ref="B160:B165"/>
    <mergeCell ref="A160:A165"/>
    <mergeCell ref="B369:B371"/>
    <mergeCell ref="A369:A371"/>
    <mergeCell ref="B149:B153"/>
    <mergeCell ref="A149:A153"/>
    <mergeCell ref="A286:A289"/>
    <mergeCell ref="B286:B289"/>
    <mergeCell ref="A290:A291"/>
    <mergeCell ref="B365:B368"/>
    <mergeCell ref="A365:A368"/>
    <mergeCell ref="B363:B364"/>
    <mergeCell ref="A363:A364"/>
    <mergeCell ref="B372:B373"/>
    <mergeCell ref="A372:A373"/>
    <mergeCell ref="B360:B362"/>
    <mergeCell ref="A360:A362"/>
    <mergeCell ref="B356:B359"/>
    <mergeCell ref="A356:A359"/>
    <mergeCell ref="A2:G2"/>
    <mergeCell ref="B352:B355"/>
    <mergeCell ref="A352:A355"/>
    <mergeCell ref="B333:B337"/>
    <mergeCell ref="B329:B332"/>
    <mergeCell ref="A329:A332"/>
    <mergeCell ref="A333:A337"/>
    <mergeCell ref="A292:A295"/>
    <mergeCell ref="B292:B295"/>
    <mergeCell ref="B309:B312"/>
    <mergeCell ref="A309:A312"/>
    <mergeCell ref="B299:B307"/>
    <mergeCell ref="B346:B347"/>
    <mergeCell ref="A346:A347"/>
    <mergeCell ref="B341:B345"/>
    <mergeCell ref="A341:A345"/>
    <mergeCell ref="B349:B350"/>
    <mergeCell ref="A349:A350"/>
    <mergeCell ref="A145:A148"/>
    <mergeCell ref="B168:B170"/>
    <mergeCell ref="A168:A170"/>
    <mergeCell ref="B325:B328"/>
    <mergeCell ref="A325:A328"/>
    <mergeCell ref="B320:B324"/>
  </mergeCells>
  <phoneticPr fontId="20" type="noConversion"/>
  <pageMargins left="0.7" right="0.2" top="0.5" bottom="0.5" header="0.3" footer="0.3"/>
  <pageSetup scale="85"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9"/>
  <sheetViews>
    <sheetView showGridLines="0" workbookViewId="0">
      <selection activeCell="O1" sqref="O1"/>
    </sheetView>
  </sheetViews>
  <sheetFormatPr defaultRowHeight="15" x14ac:dyDescent="0.25"/>
  <cols>
    <col min="1" max="6" width="15.7109375" customWidth="1"/>
  </cols>
  <sheetData>
    <row r="1" spans="1:6" ht="15.75" x14ac:dyDescent="0.25">
      <c r="A1" s="132" t="s">
        <v>1069</v>
      </c>
      <c r="B1" s="132"/>
      <c r="C1" s="132"/>
      <c r="D1" s="132"/>
      <c r="E1" s="132"/>
      <c r="F1" s="1"/>
    </row>
    <row r="2" spans="1:6" ht="15.75" x14ac:dyDescent="0.25">
      <c r="A2" s="133" t="s">
        <v>1047</v>
      </c>
      <c r="B2" s="133"/>
      <c r="C2" s="133"/>
      <c r="D2" s="133"/>
      <c r="E2" s="133"/>
    </row>
    <row r="3" spans="1:6" ht="16.5" thickBot="1" x14ac:dyDescent="0.3">
      <c r="A3" s="64" t="s">
        <v>1065</v>
      </c>
      <c r="B3" s="65" t="s">
        <v>101</v>
      </c>
      <c r="C3" s="66" t="s">
        <v>102</v>
      </c>
      <c r="D3" s="66" t="s">
        <v>103</v>
      </c>
      <c r="E3" s="67" t="s">
        <v>104</v>
      </c>
    </row>
    <row r="4" spans="1:6" ht="31.5" x14ac:dyDescent="0.25">
      <c r="A4" s="63" t="s">
        <v>1088</v>
      </c>
      <c r="B4" s="58" t="s">
        <v>1050</v>
      </c>
      <c r="C4" s="58" t="s">
        <v>1061</v>
      </c>
      <c r="D4" s="58" t="s">
        <v>1062</v>
      </c>
      <c r="E4" s="59" t="s">
        <v>1063</v>
      </c>
    </row>
    <row r="5" spans="1:6" ht="16.5" thickBot="1" x14ac:dyDescent="0.3">
      <c r="A5" s="38" t="s">
        <v>1060</v>
      </c>
      <c r="B5" s="30" t="s">
        <v>1051</v>
      </c>
      <c r="C5" s="31" t="s">
        <v>1051</v>
      </c>
      <c r="D5" s="31" t="s">
        <v>1051</v>
      </c>
      <c r="E5" s="32" t="s">
        <v>1051</v>
      </c>
    </row>
    <row r="6" spans="1:6" ht="16.5" thickBot="1" x14ac:dyDescent="0.3">
      <c r="A6" s="39" t="s">
        <v>1065</v>
      </c>
      <c r="B6" s="55" t="s">
        <v>105</v>
      </c>
      <c r="C6" s="56" t="s">
        <v>106</v>
      </c>
      <c r="D6" s="56" t="s">
        <v>107</v>
      </c>
      <c r="E6" s="57" t="s">
        <v>1035</v>
      </c>
    </row>
    <row r="7" spans="1:6" ht="31.5" x14ac:dyDescent="0.25">
      <c r="A7" s="63" t="s">
        <v>1088</v>
      </c>
      <c r="B7" s="58" t="s">
        <v>1052</v>
      </c>
      <c r="C7" s="27" t="s">
        <v>108</v>
      </c>
      <c r="D7" s="27" t="s">
        <v>109</v>
      </c>
      <c r="E7" s="28" t="s">
        <v>1036</v>
      </c>
    </row>
    <row r="8" spans="1:6" ht="16.5" thickBot="1" x14ac:dyDescent="0.3">
      <c r="A8" s="38" t="s">
        <v>1060</v>
      </c>
      <c r="B8" s="30" t="s">
        <v>1051</v>
      </c>
      <c r="C8" s="31" t="s">
        <v>1051</v>
      </c>
      <c r="D8" s="22" t="s">
        <v>1053</v>
      </c>
      <c r="E8" s="23" t="s">
        <v>1054</v>
      </c>
    </row>
    <row r="9" spans="1:6" ht="15.75" thickBot="1" x14ac:dyDescent="0.3">
      <c r="A9" s="2"/>
      <c r="B9" s="2"/>
      <c r="C9" s="2"/>
      <c r="D9" s="2"/>
      <c r="E9" s="2"/>
      <c r="F9" s="1"/>
    </row>
    <row r="10" spans="1:6" ht="16.5" thickBot="1" x14ac:dyDescent="0.3">
      <c r="A10" s="126" t="s">
        <v>1080</v>
      </c>
      <c r="B10" s="127"/>
      <c r="C10" s="127"/>
      <c r="D10" s="128"/>
      <c r="E10" s="1"/>
    </row>
    <row r="11" spans="1:6" ht="16.5" thickBot="1" x14ac:dyDescent="0.3">
      <c r="A11" s="39" t="s">
        <v>1065</v>
      </c>
      <c r="B11" s="55" t="s">
        <v>1038</v>
      </c>
      <c r="C11" s="56" t="s">
        <v>1039</v>
      </c>
      <c r="D11" s="57" t="s">
        <v>1040</v>
      </c>
      <c r="E11" s="1"/>
    </row>
    <row r="12" spans="1:6" ht="47.25" x14ac:dyDescent="0.25">
      <c r="A12" s="63" t="s">
        <v>1084</v>
      </c>
      <c r="B12" s="54" t="s">
        <v>1085</v>
      </c>
      <c r="C12" s="27" t="s">
        <v>1086</v>
      </c>
      <c r="D12" s="28" t="s">
        <v>1087</v>
      </c>
      <c r="E12" s="1"/>
    </row>
    <row r="13" spans="1:6" ht="16.5" thickBot="1" x14ac:dyDescent="0.3">
      <c r="A13" s="60" t="s">
        <v>1060</v>
      </c>
      <c r="B13" s="34" t="s">
        <v>1051</v>
      </c>
      <c r="C13" s="17" t="s">
        <v>1051</v>
      </c>
      <c r="D13" s="18" t="s">
        <v>1051</v>
      </c>
      <c r="E13" s="1"/>
    </row>
    <row r="14" spans="1:6" ht="15.75" thickBot="1" x14ac:dyDescent="0.3">
      <c r="A14" s="2"/>
      <c r="B14" s="2"/>
      <c r="C14" s="2"/>
      <c r="D14" s="2"/>
      <c r="E14" s="2"/>
      <c r="F14" s="1"/>
    </row>
    <row r="15" spans="1:6" ht="16.5" thickBot="1" x14ac:dyDescent="0.3">
      <c r="A15" s="134" t="s">
        <v>1059</v>
      </c>
      <c r="B15" s="135"/>
      <c r="C15" s="135"/>
      <c r="D15" s="135"/>
      <c r="E15" s="136"/>
    </row>
    <row r="16" spans="1:6" ht="16.5" thickBot="1" x14ac:dyDescent="0.3">
      <c r="A16" s="39" t="s">
        <v>1065</v>
      </c>
      <c r="B16" s="35" t="s">
        <v>110</v>
      </c>
      <c r="C16" s="36" t="s">
        <v>111</v>
      </c>
      <c r="D16" s="36" t="s">
        <v>112</v>
      </c>
      <c r="E16" s="37" t="s">
        <v>113</v>
      </c>
    </row>
    <row r="17" spans="1:6" ht="34.15" customHeight="1" x14ac:dyDescent="0.25">
      <c r="A17" s="137" t="s">
        <v>1064</v>
      </c>
      <c r="B17" s="139" t="s">
        <v>1074</v>
      </c>
      <c r="C17" s="140"/>
      <c r="D17" s="140"/>
      <c r="E17" s="141"/>
    </row>
    <row r="18" spans="1:6" ht="15.75" x14ac:dyDescent="0.25">
      <c r="A18" s="138"/>
      <c r="B18" s="45" t="s">
        <v>1058</v>
      </c>
      <c r="C18" s="19" t="s">
        <v>1055</v>
      </c>
      <c r="D18" s="19" t="s">
        <v>1056</v>
      </c>
      <c r="E18" s="20" t="s">
        <v>1057</v>
      </c>
    </row>
    <row r="19" spans="1:6" ht="15.75" x14ac:dyDescent="0.25">
      <c r="A19" s="41" t="s">
        <v>1060</v>
      </c>
      <c r="B19" s="45" t="s">
        <v>1053</v>
      </c>
      <c r="C19" s="19" t="s">
        <v>1053</v>
      </c>
      <c r="D19" s="19" t="s">
        <v>1053</v>
      </c>
      <c r="E19" s="20" t="s">
        <v>1053</v>
      </c>
    </row>
    <row r="20" spans="1:6" ht="16.5" thickBot="1" x14ac:dyDescent="0.3">
      <c r="A20" s="42" t="s">
        <v>116</v>
      </c>
      <c r="B20" s="122" t="s">
        <v>1070</v>
      </c>
      <c r="C20" s="123"/>
      <c r="D20" s="123"/>
      <c r="E20" s="124"/>
    </row>
    <row r="21" spans="1:6" ht="16.5" thickBot="1" x14ac:dyDescent="0.3">
      <c r="A21" s="39" t="s">
        <v>1065</v>
      </c>
      <c r="B21" s="40" t="s">
        <v>114</v>
      </c>
      <c r="C21" s="36" t="s">
        <v>115</v>
      </c>
      <c r="D21" s="36" t="s">
        <v>1037</v>
      </c>
      <c r="E21" s="37" t="s">
        <v>1075</v>
      </c>
      <c r="F21" s="37" t="s">
        <v>1089</v>
      </c>
    </row>
    <row r="22" spans="1:6" ht="79.900000000000006" customHeight="1" x14ac:dyDescent="0.25">
      <c r="A22" s="61" t="s">
        <v>1064</v>
      </c>
      <c r="B22" s="46" t="s">
        <v>1043</v>
      </c>
      <c r="C22" s="44" t="s">
        <v>1079</v>
      </c>
      <c r="D22" s="44" t="s">
        <v>1043</v>
      </c>
      <c r="E22" s="47" t="s">
        <v>1076</v>
      </c>
      <c r="F22" s="47" t="s">
        <v>1091</v>
      </c>
    </row>
    <row r="23" spans="1:6" ht="31.9" customHeight="1" x14ac:dyDescent="0.25">
      <c r="A23" s="43" t="s">
        <v>1060</v>
      </c>
      <c r="B23" s="45" t="s">
        <v>1048</v>
      </c>
      <c r="C23" s="19" t="s">
        <v>1068</v>
      </c>
      <c r="D23" s="19" t="s">
        <v>1049</v>
      </c>
      <c r="E23" s="20" t="s">
        <v>1077</v>
      </c>
      <c r="F23" s="20" t="s">
        <v>1090</v>
      </c>
    </row>
    <row r="24" spans="1:6" ht="31.9" customHeight="1" thickBot="1" x14ac:dyDescent="0.3">
      <c r="A24" s="62" t="s">
        <v>1081</v>
      </c>
      <c r="B24" s="48" t="s">
        <v>1071</v>
      </c>
      <c r="C24" s="24" t="s">
        <v>1072</v>
      </c>
      <c r="D24" s="24" t="s">
        <v>1073</v>
      </c>
      <c r="E24" s="25" t="s">
        <v>1078</v>
      </c>
      <c r="F24" s="25" t="s">
        <v>1096</v>
      </c>
    </row>
    <row r="25" spans="1:6" ht="16.5" thickBot="1" x14ac:dyDescent="0.3">
      <c r="A25" s="125"/>
      <c r="B25" s="125"/>
      <c r="C25" s="125"/>
      <c r="D25" s="125"/>
      <c r="E25" s="125"/>
      <c r="F25" s="1"/>
    </row>
    <row r="26" spans="1:6" ht="16.5" thickBot="1" x14ac:dyDescent="0.3">
      <c r="A26" s="126" t="s">
        <v>1097</v>
      </c>
      <c r="B26" s="127"/>
      <c r="C26" s="127"/>
      <c r="D26" s="127"/>
      <c r="E26" s="128"/>
      <c r="F26" s="1"/>
    </row>
    <row r="27" spans="1:6" ht="16.5" thickBot="1" x14ac:dyDescent="0.3">
      <c r="A27" s="39" t="s">
        <v>1065</v>
      </c>
      <c r="B27" s="40" t="s">
        <v>117</v>
      </c>
      <c r="C27" s="36" t="s">
        <v>118</v>
      </c>
      <c r="D27" s="36" t="s">
        <v>119</v>
      </c>
      <c r="E27" s="37" t="s">
        <v>120</v>
      </c>
      <c r="F27" s="1"/>
    </row>
    <row r="28" spans="1:6" ht="15.75" x14ac:dyDescent="0.25">
      <c r="A28" s="49" t="s">
        <v>1066</v>
      </c>
      <c r="B28" s="26" t="s">
        <v>121</v>
      </c>
      <c r="C28" s="27" t="s">
        <v>122</v>
      </c>
      <c r="D28" s="27" t="s">
        <v>123</v>
      </c>
      <c r="E28" s="28" t="s">
        <v>124</v>
      </c>
      <c r="F28" s="1"/>
    </row>
    <row r="29" spans="1:6" ht="15.75" x14ac:dyDescent="0.25">
      <c r="A29" s="41" t="s">
        <v>125</v>
      </c>
      <c r="B29" s="15" t="s">
        <v>126</v>
      </c>
      <c r="C29" s="14" t="s">
        <v>127</v>
      </c>
      <c r="D29" s="14" t="s">
        <v>128</v>
      </c>
      <c r="E29" s="29" t="s">
        <v>129</v>
      </c>
      <c r="F29" s="1"/>
    </row>
    <row r="30" spans="1:6" ht="16.5" thickBot="1" x14ac:dyDescent="0.3">
      <c r="A30" s="38" t="s">
        <v>1060</v>
      </c>
      <c r="B30" s="69" t="s">
        <v>1051</v>
      </c>
      <c r="C30" s="30" t="s">
        <v>1051</v>
      </c>
      <c r="D30" s="30" t="s">
        <v>1051</v>
      </c>
      <c r="E30" s="70" t="s">
        <v>1051</v>
      </c>
      <c r="F30" s="1"/>
    </row>
    <row r="31" spans="1:6" ht="16.5" thickBot="1" x14ac:dyDescent="0.3">
      <c r="A31" s="13"/>
      <c r="B31" s="13"/>
      <c r="C31" s="13"/>
      <c r="D31" s="13"/>
      <c r="E31" s="13"/>
      <c r="F31" s="1"/>
    </row>
    <row r="32" spans="1:6" ht="16.5" thickBot="1" x14ac:dyDescent="0.3">
      <c r="A32" s="129" t="s">
        <v>131</v>
      </c>
      <c r="B32" s="130"/>
      <c r="C32" s="130"/>
      <c r="D32" s="130"/>
      <c r="E32" s="131"/>
      <c r="F32" s="1"/>
    </row>
    <row r="33" spans="1:6" ht="16.5" thickBot="1" x14ac:dyDescent="0.3">
      <c r="A33" s="39" t="s">
        <v>1065</v>
      </c>
      <c r="B33" s="35" t="s">
        <v>117</v>
      </c>
      <c r="C33" s="36" t="s">
        <v>118</v>
      </c>
      <c r="D33" s="36" t="s">
        <v>119</v>
      </c>
      <c r="E33" s="37" t="s">
        <v>120</v>
      </c>
      <c r="F33" s="1"/>
    </row>
    <row r="34" spans="1:6" ht="15.75" x14ac:dyDescent="0.25">
      <c r="A34" s="50" t="s">
        <v>132</v>
      </c>
      <c r="B34" s="51"/>
      <c r="C34" s="52" t="s">
        <v>133</v>
      </c>
      <c r="D34" s="52" t="s">
        <v>134</v>
      </c>
      <c r="E34" s="53"/>
      <c r="F34" s="1"/>
    </row>
    <row r="35" spans="1:6" ht="15.75" x14ac:dyDescent="0.25">
      <c r="A35" s="41" t="s">
        <v>135</v>
      </c>
      <c r="B35" s="33"/>
      <c r="C35" s="14" t="s">
        <v>1067</v>
      </c>
      <c r="D35" s="14" t="s">
        <v>1067</v>
      </c>
      <c r="E35" s="16"/>
      <c r="F35" s="1"/>
    </row>
    <row r="36" spans="1:6" ht="16.5" thickBot="1" x14ac:dyDescent="0.3">
      <c r="A36" s="38" t="s">
        <v>1060</v>
      </c>
      <c r="B36" s="21"/>
      <c r="C36" s="31" t="s">
        <v>1051</v>
      </c>
      <c r="D36" s="31" t="s">
        <v>1051</v>
      </c>
      <c r="E36" s="23"/>
      <c r="F36" s="1"/>
    </row>
    <row r="37" spans="1:6" x14ac:dyDescent="0.25">
      <c r="A37" s="68" t="s">
        <v>130</v>
      </c>
      <c r="B37" s="68"/>
      <c r="C37" s="68"/>
      <c r="D37" s="68"/>
      <c r="E37" s="68"/>
      <c r="F37" s="71"/>
    </row>
    <row r="38" spans="1:6" x14ac:dyDescent="0.25">
      <c r="A38" s="3"/>
      <c r="B38" s="3"/>
      <c r="C38" s="3"/>
      <c r="D38" s="3"/>
      <c r="E38" s="3"/>
      <c r="F38" s="1"/>
    </row>
    <row r="39" spans="1:6" x14ac:dyDescent="0.25">
      <c r="A39" s="1"/>
      <c r="B39" s="1"/>
      <c r="C39" s="1"/>
      <c r="D39" s="1"/>
      <c r="E39" s="1"/>
      <c r="F39" s="1"/>
    </row>
  </sheetData>
  <mergeCells count="10">
    <mergeCell ref="B20:E20"/>
    <mergeCell ref="A25:E25"/>
    <mergeCell ref="A26:E26"/>
    <mergeCell ref="A32:E32"/>
    <mergeCell ref="A1:E1"/>
    <mergeCell ref="A2:E2"/>
    <mergeCell ref="A10:D10"/>
    <mergeCell ref="A15:E15"/>
    <mergeCell ref="A17:A18"/>
    <mergeCell ref="B17:E17"/>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902"/>
  <sheetViews>
    <sheetView zoomScale="130" zoomScaleNormal="130" workbookViewId="0">
      <pane ySplit="1" topLeftCell="A2" activePane="bottomLeft" state="frozen"/>
      <selection pane="bottomLeft"/>
    </sheetView>
  </sheetViews>
  <sheetFormatPr defaultRowHeight="15" x14ac:dyDescent="0.25"/>
  <cols>
    <col min="1" max="1" width="63.85546875" customWidth="1"/>
    <col min="2" max="2" width="16.28515625" customWidth="1"/>
  </cols>
  <sheetData>
    <row r="1" spans="1:2" ht="16.5" thickBot="1" x14ac:dyDescent="0.3">
      <c r="A1" s="4" t="s">
        <v>1082</v>
      </c>
      <c r="B1" s="5" t="s">
        <v>136</v>
      </c>
    </row>
    <row r="2" spans="1:2" ht="15.75" thickBot="1" x14ac:dyDescent="0.3">
      <c r="A2" s="6" t="s">
        <v>137</v>
      </c>
      <c r="B2" s="7" t="s">
        <v>76</v>
      </c>
    </row>
    <row r="3" spans="1:2" ht="15.75" thickBot="1" x14ac:dyDescent="0.3">
      <c r="A3" s="6" t="s">
        <v>138</v>
      </c>
      <c r="B3" s="7" t="s">
        <v>76</v>
      </c>
    </row>
    <row r="4" spans="1:2" ht="15.75" thickBot="1" x14ac:dyDescent="0.3">
      <c r="A4" s="6" t="s">
        <v>139</v>
      </c>
      <c r="B4" s="7" t="s">
        <v>76</v>
      </c>
    </row>
    <row r="5" spans="1:2" ht="15.75" thickBot="1" x14ac:dyDescent="0.3">
      <c r="A5" s="6" t="s">
        <v>140</v>
      </c>
      <c r="B5" s="7" t="s">
        <v>74</v>
      </c>
    </row>
    <row r="6" spans="1:2" ht="15.75" thickBot="1" x14ac:dyDescent="0.3">
      <c r="A6" s="6" t="s">
        <v>141</v>
      </c>
      <c r="B6" s="7" t="s">
        <v>74</v>
      </c>
    </row>
    <row r="7" spans="1:2" ht="15.75" thickBot="1" x14ac:dyDescent="0.3">
      <c r="A7" s="6" t="s">
        <v>1041</v>
      </c>
      <c r="B7" s="7" t="s">
        <v>69</v>
      </c>
    </row>
    <row r="8" spans="1:2" ht="15.75" thickBot="1" x14ac:dyDescent="0.3">
      <c r="A8" s="6" t="s">
        <v>1042</v>
      </c>
      <c r="B8" s="7" t="s">
        <v>68</v>
      </c>
    </row>
    <row r="9" spans="1:2" ht="15.75" thickBot="1" x14ac:dyDescent="0.3">
      <c r="A9" s="6" t="s">
        <v>142</v>
      </c>
      <c r="B9" s="7" t="s">
        <v>71</v>
      </c>
    </row>
    <row r="10" spans="1:2" ht="15.75" thickBot="1" x14ac:dyDescent="0.3">
      <c r="A10" s="6" t="s">
        <v>143</v>
      </c>
      <c r="B10" s="7" t="s">
        <v>74</v>
      </c>
    </row>
    <row r="11" spans="1:2" ht="15.75" thickBot="1" x14ac:dyDescent="0.3">
      <c r="A11" s="6" t="s">
        <v>144</v>
      </c>
      <c r="B11" s="7" t="s">
        <v>77</v>
      </c>
    </row>
    <row r="12" spans="1:2" ht="15.75" thickBot="1" x14ac:dyDescent="0.3">
      <c r="A12" s="6" t="s">
        <v>145</v>
      </c>
      <c r="B12" s="7" t="s">
        <v>72</v>
      </c>
    </row>
    <row r="13" spans="1:2" ht="15.75" thickBot="1" x14ac:dyDescent="0.3">
      <c r="A13" s="6" t="s">
        <v>146</v>
      </c>
      <c r="B13" s="7" t="s">
        <v>76</v>
      </c>
    </row>
    <row r="14" spans="1:2" ht="15.75" thickBot="1" x14ac:dyDescent="0.3">
      <c r="A14" s="6" t="s">
        <v>147</v>
      </c>
      <c r="B14" s="7" t="s">
        <v>72</v>
      </c>
    </row>
    <row r="15" spans="1:2" ht="15.75" thickBot="1" x14ac:dyDescent="0.3">
      <c r="A15" s="6" t="s">
        <v>148</v>
      </c>
      <c r="B15" s="7" t="s">
        <v>72</v>
      </c>
    </row>
    <row r="16" spans="1:2" ht="15.75" thickBot="1" x14ac:dyDescent="0.3">
      <c r="A16" s="6" t="s">
        <v>149</v>
      </c>
      <c r="B16" s="7" t="s">
        <v>72</v>
      </c>
    </row>
    <row r="17" spans="1:2" ht="15.75" thickBot="1" x14ac:dyDescent="0.3">
      <c r="A17" s="6" t="s">
        <v>150</v>
      </c>
      <c r="B17" s="7" t="s">
        <v>74</v>
      </c>
    </row>
    <row r="18" spans="1:2" ht="15.75" thickBot="1" x14ac:dyDescent="0.3">
      <c r="A18" s="6" t="s">
        <v>151</v>
      </c>
      <c r="B18" s="7" t="s">
        <v>76</v>
      </c>
    </row>
    <row r="19" spans="1:2" ht="15.75" thickBot="1" x14ac:dyDescent="0.3">
      <c r="A19" s="6" t="s">
        <v>152</v>
      </c>
      <c r="B19" s="7" t="s">
        <v>76</v>
      </c>
    </row>
    <row r="20" spans="1:2" ht="15.75" thickBot="1" x14ac:dyDescent="0.3">
      <c r="A20" s="6" t="s">
        <v>153</v>
      </c>
      <c r="B20" s="7" t="s">
        <v>74</v>
      </c>
    </row>
    <row r="21" spans="1:2" ht="15.75" thickBot="1" x14ac:dyDescent="0.3">
      <c r="A21" s="6" t="s">
        <v>154</v>
      </c>
      <c r="B21" s="7" t="s">
        <v>75</v>
      </c>
    </row>
    <row r="22" spans="1:2" ht="15.75" thickBot="1" x14ac:dyDescent="0.3">
      <c r="A22" s="6" t="s">
        <v>155</v>
      </c>
      <c r="B22" s="7" t="s">
        <v>75</v>
      </c>
    </row>
    <row r="23" spans="1:2" ht="15.75" thickBot="1" x14ac:dyDescent="0.3">
      <c r="A23" s="6" t="s">
        <v>156</v>
      </c>
      <c r="B23" s="7" t="s">
        <v>75</v>
      </c>
    </row>
    <row r="24" spans="1:2" ht="15.75" thickBot="1" x14ac:dyDescent="0.3">
      <c r="A24" s="6" t="s">
        <v>157</v>
      </c>
      <c r="B24" s="7" t="s">
        <v>74</v>
      </c>
    </row>
    <row r="25" spans="1:2" ht="15.75" thickBot="1" x14ac:dyDescent="0.3">
      <c r="A25" s="6" t="s">
        <v>158</v>
      </c>
      <c r="B25" s="7" t="s">
        <v>74</v>
      </c>
    </row>
    <row r="26" spans="1:2" ht="15.75" thickBot="1" x14ac:dyDescent="0.3">
      <c r="A26" s="6" t="s">
        <v>159</v>
      </c>
      <c r="B26" s="7" t="s">
        <v>71</v>
      </c>
    </row>
    <row r="27" spans="1:2" ht="15.75" thickBot="1" x14ac:dyDescent="0.3">
      <c r="A27" s="6" t="s">
        <v>160</v>
      </c>
      <c r="B27" s="7" t="s">
        <v>74</v>
      </c>
    </row>
    <row r="28" spans="1:2" ht="15.75" thickBot="1" x14ac:dyDescent="0.3">
      <c r="A28" s="6" t="s">
        <v>161</v>
      </c>
      <c r="B28" s="7" t="s">
        <v>74</v>
      </c>
    </row>
    <row r="29" spans="1:2" ht="15.75" thickBot="1" x14ac:dyDescent="0.3">
      <c r="A29" s="6" t="s">
        <v>162</v>
      </c>
      <c r="B29" s="7" t="s">
        <v>74</v>
      </c>
    </row>
    <row r="30" spans="1:2" ht="15.75" thickBot="1" x14ac:dyDescent="0.3">
      <c r="A30" s="6" t="s">
        <v>163</v>
      </c>
      <c r="B30" s="7" t="s">
        <v>74</v>
      </c>
    </row>
    <row r="31" spans="1:2" ht="15.75" thickBot="1" x14ac:dyDescent="0.3">
      <c r="A31" s="6" t="s">
        <v>164</v>
      </c>
      <c r="B31" s="7" t="s">
        <v>74</v>
      </c>
    </row>
    <row r="32" spans="1:2" ht="15.75" thickBot="1" x14ac:dyDescent="0.3">
      <c r="A32" s="6" t="s">
        <v>165</v>
      </c>
      <c r="B32" s="7" t="s">
        <v>77</v>
      </c>
    </row>
    <row r="33" spans="1:2" ht="15.75" thickBot="1" x14ac:dyDescent="0.3">
      <c r="A33" s="6" t="s">
        <v>166</v>
      </c>
      <c r="B33" s="7" t="s">
        <v>73</v>
      </c>
    </row>
    <row r="34" spans="1:2" ht="15.75" thickBot="1" x14ac:dyDescent="0.3">
      <c r="A34" s="6" t="s">
        <v>167</v>
      </c>
      <c r="B34" s="7" t="s">
        <v>72</v>
      </c>
    </row>
    <row r="35" spans="1:2" ht="15.75" thickBot="1" x14ac:dyDescent="0.3">
      <c r="A35" s="6" t="s">
        <v>168</v>
      </c>
      <c r="B35" s="7" t="s">
        <v>73</v>
      </c>
    </row>
    <row r="36" spans="1:2" ht="15.75" thickBot="1" x14ac:dyDescent="0.3">
      <c r="A36" s="6" t="s">
        <v>169</v>
      </c>
      <c r="B36" s="7" t="s">
        <v>73</v>
      </c>
    </row>
    <row r="37" spans="1:2" ht="15.75" thickBot="1" x14ac:dyDescent="0.3">
      <c r="A37" s="6" t="s">
        <v>170</v>
      </c>
      <c r="B37" s="7" t="s">
        <v>73</v>
      </c>
    </row>
    <row r="38" spans="1:2" ht="15.75" thickBot="1" x14ac:dyDescent="0.3">
      <c r="A38" s="6" t="s">
        <v>171</v>
      </c>
      <c r="B38" s="7" t="s">
        <v>73</v>
      </c>
    </row>
    <row r="39" spans="1:2" ht="15.75" thickBot="1" x14ac:dyDescent="0.3">
      <c r="A39" s="6" t="s">
        <v>172</v>
      </c>
      <c r="B39" s="7" t="s">
        <v>73</v>
      </c>
    </row>
    <row r="40" spans="1:2" ht="15.75" thickBot="1" x14ac:dyDescent="0.3">
      <c r="A40" s="6" t="s">
        <v>173</v>
      </c>
      <c r="B40" s="7" t="s">
        <v>74</v>
      </c>
    </row>
    <row r="41" spans="1:2" ht="15.75" thickBot="1" x14ac:dyDescent="0.3">
      <c r="A41" s="6" t="s">
        <v>174</v>
      </c>
      <c r="B41" s="7" t="s">
        <v>76</v>
      </c>
    </row>
    <row r="42" spans="1:2" ht="15.75" thickBot="1" x14ac:dyDescent="0.3">
      <c r="A42" s="6" t="s">
        <v>175</v>
      </c>
      <c r="B42" s="7" t="s">
        <v>72</v>
      </c>
    </row>
    <row r="43" spans="1:2" ht="15.75" thickBot="1" x14ac:dyDescent="0.3">
      <c r="A43" s="6" t="s">
        <v>176</v>
      </c>
      <c r="B43" s="7" t="s">
        <v>73</v>
      </c>
    </row>
    <row r="44" spans="1:2" ht="15.75" thickBot="1" x14ac:dyDescent="0.3">
      <c r="A44" s="6" t="s">
        <v>177</v>
      </c>
      <c r="B44" s="7" t="s">
        <v>72</v>
      </c>
    </row>
    <row r="45" spans="1:2" ht="15.75" thickBot="1" x14ac:dyDescent="0.3">
      <c r="A45" s="6" t="s">
        <v>178</v>
      </c>
      <c r="B45" s="7" t="s">
        <v>72</v>
      </c>
    </row>
    <row r="46" spans="1:2" ht="15.75" thickBot="1" x14ac:dyDescent="0.3">
      <c r="A46" s="6" t="s">
        <v>179</v>
      </c>
      <c r="B46" s="7" t="s">
        <v>72</v>
      </c>
    </row>
    <row r="47" spans="1:2" ht="15.75" thickBot="1" x14ac:dyDescent="0.3">
      <c r="A47" s="6" t="s">
        <v>180</v>
      </c>
      <c r="B47" s="7" t="s">
        <v>73</v>
      </c>
    </row>
    <row r="48" spans="1:2" ht="15.75" thickBot="1" x14ac:dyDescent="0.3">
      <c r="A48" s="6" t="s">
        <v>181</v>
      </c>
      <c r="B48" s="7" t="s">
        <v>71</v>
      </c>
    </row>
    <row r="49" spans="1:2" ht="15.75" thickBot="1" x14ac:dyDescent="0.3">
      <c r="A49" s="6" t="s">
        <v>182</v>
      </c>
      <c r="B49" s="7" t="s">
        <v>72</v>
      </c>
    </row>
    <row r="50" spans="1:2" ht="15.75" thickBot="1" x14ac:dyDescent="0.3">
      <c r="A50" s="6" t="s">
        <v>183</v>
      </c>
      <c r="B50" s="7" t="s">
        <v>77</v>
      </c>
    </row>
    <row r="51" spans="1:2" ht="15.75" thickBot="1" x14ac:dyDescent="0.3">
      <c r="A51" s="6" t="s">
        <v>184</v>
      </c>
      <c r="B51" s="7" t="s">
        <v>71</v>
      </c>
    </row>
    <row r="52" spans="1:2" ht="15.75" thickBot="1" x14ac:dyDescent="0.3">
      <c r="A52" s="6" t="s">
        <v>185</v>
      </c>
      <c r="B52" s="7" t="s">
        <v>72</v>
      </c>
    </row>
    <row r="53" spans="1:2" ht="15.75" thickBot="1" x14ac:dyDescent="0.3">
      <c r="A53" s="6" t="s">
        <v>186</v>
      </c>
      <c r="B53" s="7" t="s">
        <v>75</v>
      </c>
    </row>
    <row r="54" spans="1:2" ht="15.75" thickBot="1" x14ac:dyDescent="0.3">
      <c r="A54" s="6" t="s">
        <v>187</v>
      </c>
      <c r="B54" s="7" t="s">
        <v>75</v>
      </c>
    </row>
    <row r="55" spans="1:2" ht="15.75" thickBot="1" x14ac:dyDescent="0.3">
      <c r="A55" s="6" t="s">
        <v>188</v>
      </c>
      <c r="B55" s="7" t="s">
        <v>72</v>
      </c>
    </row>
    <row r="56" spans="1:2" ht="15.75" thickBot="1" x14ac:dyDescent="0.3">
      <c r="A56" s="6" t="s">
        <v>189</v>
      </c>
      <c r="B56" s="7" t="s">
        <v>75</v>
      </c>
    </row>
    <row r="57" spans="1:2" ht="15.75" thickBot="1" x14ac:dyDescent="0.3">
      <c r="A57" s="6" t="s">
        <v>190</v>
      </c>
      <c r="B57" s="7" t="s">
        <v>74</v>
      </c>
    </row>
    <row r="58" spans="1:2" ht="15.75" thickBot="1" x14ac:dyDescent="0.3">
      <c r="A58" s="6" t="s">
        <v>191</v>
      </c>
      <c r="B58" s="7" t="s">
        <v>71</v>
      </c>
    </row>
    <row r="59" spans="1:2" ht="15.75" thickBot="1" x14ac:dyDescent="0.3">
      <c r="A59" s="6" t="s">
        <v>192</v>
      </c>
      <c r="B59" s="7" t="s">
        <v>73</v>
      </c>
    </row>
    <row r="60" spans="1:2" ht="15.75" thickBot="1" x14ac:dyDescent="0.3">
      <c r="A60" s="6" t="s">
        <v>193</v>
      </c>
      <c r="B60" s="7" t="s">
        <v>71</v>
      </c>
    </row>
    <row r="61" spans="1:2" ht="15.75" thickBot="1" x14ac:dyDescent="0.3">
      <c r="A61" s="6" t="s">
        <v>194</v>
      </c>
      <c r="B61" s="7" t="s">
        <v>72</v>
      </c>
    </row>
    <row r="62" spans="1:2" ht="15.75" thickBot="1" x14ac:dyDescent="0.3">
      <c r="A62" s="6" t="s">
        <v>195</v>
      </c>
      <c r="B62" s="7" t="s">
        <v>72</v>
      </c>
    </row>
    <row r="63" spans="1:2" ht="15.75" thickBot="1" x14ac:dyDescent="0.3">
      <c r="A63" s="6" t="s">
        <v>196</v>
      </c>
      <c r="B63" s="7" t="s">
        <v>76</v>
      </c>
    </row>
    <row r="64" spans="1:2" ht="15.75" thickBot="1" x14ac:dyDescent="0.3">
      <c r="A64" s="6" t="s">
        <v>197</v>
      </c>
      <c r="B64" s="7" t="s">
        <v>74</v>
      </c>
    </row>
    <row r="65" spans="1:2" ht="15.75" thickBot="1" x14ac:dyDescent="0.3">
      <c r="A65" s="6" t="s">
        <v>198</v>
      </c>
      <c r="B65" s="7" t="s">
        <v>76</v>
      </c>
    </row>
    <row r="66" spans="1:2" ht="15.75" thickBot="1" x14ac:dyDescent="0.3">
      <c r="A66" s="6" t="s">
        <v>199</v>
      </c>
      <c r="B66" s="7" t="s">
        <v>74</v>
      </c>
    </row>
    <row r="67" spans="1:2" ht="15.75" thickBot="1" x14ac:dyDescent="0.3">
      <c r="A67" s="6" t="s">
        <v>200</v>
      </c>
      <c r="B67" s="7" t="s">
        <v>76</v>
      </c>
    </row>
    <row r="68" spans="1:2" ht="15.75" thickBot="1" x14ac:dyDescent="0.3">
      <c r="A68" s="6" t="s">
        <v>201</v>
      </c>
      <c r="B68" s="7" t="s">
        <v>76</v>
      </c>
    </row>
    <row r="69" spans="1:2" ht="15.75" thickBot="1" x14ac:dyDescent="0.3">
      <c r="A69" s="6" t="s">
        <v>202</v>
      </c>
      <c r="B69" s="7" t="s">
        <v>76</v>
      </c>
    </row>
    <row r="70" spans="1:2" ht="15.75" thickBot="1" x14ac:dyDescent="0.3">
      <c r="A70" s="6" t="s">
        <v>203</v>
      </c>
      <c r="B70" s="7" t="s">
        <v>76</v>
      </c>
    </row>
    <row r="71" spans="1:2" ht="15.75" thickBot="1" x14ac:dyDescent="0.3">
      <c r="A71" s="6" t="s">
        <v>204</v>
      </c>
      <c r="B71" s="7" t="s">
        <v>74</v>
      </c>
    </row>
    <row r="72" spans="1:2" ht="15.75" thickBot="1" x14ac:dyDescent="0.3">
      <c r="A72" s="6" t="s">
        <v>205</v>
      </c>
      <c r="B72" s="7" t="s">
        <v>76</v>
      </c>
    </row>
    <row r="73" spans="1:2" ht="15.75" thickBot="1" x14ac:dyDescent="0.3">
      <c r="A73" s="6" t="s">
        <v>206</v>
      </c>
      <c r="B73" s="7" t="s">
        <v>76</v>
      </c>
    </row>
    <row r="74" spans="1:2" ht="15.75" thickBot="1" x14ac:dyDescent="0.3">
      <c r="A74" s="6" t="s">
        <v>207</v>
      </c>
      <c r="B74" s="7" t="s">
        <v>76</v>
      </c>
    </row>
    <row r="75" spans="1:2" ht="15.75" thickBot="1" x14ac:dyDescent="0.3">
      <c r="A75" s="6" t="s">
        <v>208</v>
      </c>
      <c r="B75" s="7" t="s">
        <v>76</v>
      </c>
    </row>
    <row r="76" spans="1:2" ht="15.75" thickBot="1" x14ac:dyDescent="0.3">
      <c r="A76" s="6" t="s">
        <v>209</v>
      </c>
      <c r="B76" s="7" t="s">
        <v>76</v>
      </c>
    </row>
    <row r="77" spans="1:2" ht="15.75" thickBot="1" x14ac:dyDescent="0.3">
      <c r="A77" s="6" t="s">
        <v>210</v>
      </c>
      <c r="B77" s="7" t="s">
        <v>76</v>
      </c>
    </row>
    <row r="78" spans="1:2" ht="15.75" thickBot="1" x14ac:dyDescent="0.3">
      <c r="A78" s="6" t="s">
        <v>211</v>
      </c>
      <c r="B78" s="7" t="s">
        <v>73</v>
      </c>
    </row>
    <row r="79" spans="1:2" ht="15.75" thickBot="1" x14ac:dyDescent="0.3">
      <c r="A79" s="6" t="s">
        <v>212</v>
      </c>
      <c r="B79" s="7" t="s">
        <v>71</v>
      </c>
    </row>
    <row r="80" spans="1:2" ht="15.75" thickBot="1" x14ac:dyDescent="0.3">
      <c r="A80" s="6" t="s">
        <v>213</v>
      </c>
      <c r="B80" s="7" t="s">
        <v>76</v>
      </c>
    </row>
    <row r="81" spans="1:2" ht="15.75" thickBot="1" x14ac:dyDescent="0.3">
      <c r="A81" s="6" t="s">
        <v>214</v>
      </c>
      <c r="B81" s="7" t="s">
        <v>72</v>
      </c>
    </row>
    <row r="82" spans="1:2" ht="15.75" thickBot="1" x14ac:dyDescent="0.3">
      <c r="A82" s="6" t="s">
        <v>215</v>
      </c>
      <c r="B82" s="7" t="s">
        <v>72</v>
      </c>
    </row>
    <row r="83" spans="1:2" ht="15.75" thickBot="1" x14ac:dyDescent="0.3">
      <c r="A83" s="6" t="s">
        <v>216</v>
      </c>
      <c r="B83" s="7" t="s">
        <v>72</v>
      </c>
    </row>
    <row r="84" spans="1:2" ht="15.75" thickBot="1" x14ac:dyDescent="0.3">
      <c r="A84" s="6" t="s">
        <v>217</v>
      </c>
      <c r="B84" s="7" t="s">
        <v>72</v>
      </c>
    </row>
    <row r="85" spans="1:2" ht="15.75" thickBot="1" x14ac:dyDescent="0.3">
      <c r="A85" s="6" t="s">
        <v>218</v>
      </c>
      <c r="B85" s="7" t="s">
        <v>72</v>
      </c>
    </row>
    <row r="86" spans="1:2" ht="15.75" thickBot="1" x14ac:dyDescent="0.3">
      <c r="A86" s="6" t="s">
        <v>219</v>
      </c>
      <c r="B86" s="7" t="s">
        <v>72</v>
      </c>
    </row>
    <row r="87" spans="1:2" ht="15.75" thickBot="1" x14ac:dyDescent="0.3">
      <c r="A87" s="6" t="s">
        <v>220</v>
      </c>
      <c r="B87" s="7" t="s">
        <v>76</v>
      </c>
    </row>
    <row r="88" spans="1:2" ht="15.75" thickBot="1" x14ac:dyDescent="0.3">
      <c r="A88" s="6" t="s">
        <v>221</v>
      </c>
      <c r="B88" s="7" t="s">
        <v>76</v>
      </c>
    </row>
    <row r="89" spans="1:2" ht="15.75" thickBot="1" x14ac:dyDescent="0.3">
      <c r="A89" s="6" t="s">
        <v>222</v>
      </c>
      <c r="B89" s="7" t="s">
        <v>650</v>
      </c>
    </row>
    <row r="90" spans="1:2" ht="15.75" thickBot="1" x14ac:dyDescent="0.3">
      <c r="A90" s="6" t="s">
        <v>223</v>
      </c>
      <c r="B90" s="7" t="s">
        <v>73</v>
      </c>
    </row>
    <row r="91" spans="1:2" ht="15.75" thickBot="1" x14ac:dyDescent="0.3">
      <c r="A91" s="6" t="s">
        <v>224</v>
      </c>
      <c r="B91" s="7" t="s">
        <v>76</v>
      </c>
    </row>
    <row r="92" spans="1:2" ht="15.75" thickBot="1" x14ac:dyDescent="0.3">
      <c r="A92" s="6" t="s">
        <v>225</v>
      </c>
      <c r="B92" s="7" t="s">
        <v>73</v>
      </c>
    </row>
    <row r="93" spans="1:2" ht="15.75" thickBot="1" x14ac:dyDescent="0.3">
      <c r="A93" s="6" t="s">
        <v>226</v>
      </c>
      <c r="B93" s="7" t="s">
        <v>76</v>
      </c>
    </row>
    <row r="94" spans="1:2" ht="15.75" thickBot="1" x14ac:dyDescent="0.3">
      <c r="A94" s="6" t="s">
        <v>227</v>
      </c>
      <c r="B94" s="7" t="s">
        <v>76</v>
      </c>
    </row>
    <row r="95" spans="1:2" ht="15.75" thickBot="1" x14ac:dyDescent="0.3">
      <c r="A95" s="8" t="s">
        <v>228</v>
      </c>
      <c r="B95" s="7" t="s">
        <v>73</v>
      </c>
    </row>
    <row r="96" spans="1:2" ht="15.75" thickBot="1" x14ac:dyDescent="0.3">
      <c r="A96" s="6" t="s">
        <v>229</v>
      </c>
      <c r="B96" s="7" t="s">
        <v>73</v>
      </c>
    </row>
    <row r="97" spans="1:2" ht="15.75" thickBot="1" x14ac:dyDescent="0.3">
      <c r="A97" s="6" t="s">
        <v>230</v>
      </c>
      <c r="B97" s="7" t="s">
        <v>74</v>
      </c>
    </row>
    <row r="98" spans="1:2" ht="15.75" thickBot="1" x14ac:dyDescent="0.3">
      <c r="A98" s="6" t="s">
        <v>231</v>
      </c>
      <c r="B98" s="7" t="s">
        <v>73</v>
      </c>
    </row>
    <row r="99" spans="1:2" ht="15.75" thickBot="1" x14ac:dyDescent="0.3">
      <c r="A99" s="6" t="s">
        <v>232</v>
      </c>
      <c r="B99" s="7" t="s">
        <v>75</v>
      </c>
    </row>
    <row r="100" spans="1:2" ht="15.75" thickBot="1" x14ac:dyDescent="0.3">
      <c r="A100" s="6" t="s">
        <v>233</v>
      </c>
      <c r="B100" s="7" t="s">
        <v>72</v>
      </c>
    </row>
    <row r="101" spans="1:2" ht="15.75" thickBot="1" x14ac:dyDescent="0.3">
      <c r="A101" s="6" t="s">
        <v>234</v>
      </c>
      <c r="B101" s="7" t="s">
        <v>72</v>
      </c>
    </row>
    <row r="102" spans="1:2" ht="15.75" thickBot="1" x14ac:dyDescent="0.3">
      <c r="A102" s="6" t="s">
        <v>235</v>
      </c>
      <c r="B102" s="7" t="s">
        <v>72</v>
      </c>
    </row>
    <row r="103" spans="1:2" ht="15.75" thickBot="1" x14ac:dyDescent="0.3">
      <c r="A103" s="6" t="s">
        <v>236</v>
      </c>
      <c r="B103" s="7" t="s">
        <v>71</v>
      </c>
    </row>
    <row r="104" spans="1:2" ht="15.75" thickBot="1" x14ac:dyDescent="0.3">
      <c r="A104" s="6" t="s">
        <v>237</v>
      </c>
      <c r="B104" s="7" t="s">
        <v>76</v>
      </c>
    </row>
    <row r="105" spans="1:2" ht="15.75" thickBot="1" x14ac:dyDescent="0.3">
      <c r="A105" s="6" t="s">
        <v>238</v>
      </c>
      <c r="B105" s="7" t="s">
        <v>76</v>
      </c>
    </row>
    <row r="106" spans="1:2" ht="15.75" thickBot="1" x14ac:dyDescent="0.3">
      <c r="A106" s="6" t="s">
        <v>239</v>
      </c>
      <c r="B106" s="7" t="s">
        <v>76</v>
      </c>
    </row>
    <row r="107" spans="1:2" ht="15.75" thickBot="1" x14ac:dyDescent="0.3">
      <c r="A107" s="6" t="s">
        <v>240</v>
      </c>
      <c r="B107" s="7" t="s">
        <v>74</v>
      </c>
    </row>
    <row r="108" spans="1:2" ht="15.75" thickBot="1" x14ac:dyDescent="0.3">
      <c r="A108" s="6" t="s">
        <v>241</v>
      </c>
      <c r="B108" s="7" t="s">
        <v>76</v>
      </c>
    </row>
    <row r="109" spans="1:2" ht="15.75" thickBot="1" x14ac:dyDescent="0.3">
      <c r="A109" s="6" t="s">
        <v>242</v>
      </c>
      <c r="B109" s="7" t="s">
        <v>76</v>
      </c>
    </row>
    <row r="110" spans="1:2" ht="15.75" thickBot="1" x14ac:dyDescent="0.3">
      <c r="A110" s="6" t="s">
        <v>243</v>
      </c>
      <c r="B110" s="7" t="s">
        <v>76</v>
      </c>
    </row>
    <row r="111" spans="1:2" ht="15.75" thickBot="1" x14ac:dyDescent="0.3">
      <c r="A111" s="6" t="s">
        <v>244</v>
      </c>
      <c r="B111" s="7" t="s">
        <v>70</v>
      </c>
    </row>
    <row r="112" spans="1:2" ht="15.75" thickBot="1" x14ac:dyDescent="0.3">
      <c r="A112" s="6" t="s">
        <v>245</v>
      </c>
      <c r="B112" s="7" t="s">
        <v>76</v>
      </c>
    </row>
    <row r="113" spans="1:2" ht="15.75" thickBot="1" x14ac:dyDescent="0.3">
      <c r="A113" s="6" t="s">
        <v>246</v>
      </c>
      <c r="B113" s="7" t="s">
        <v>76</v>
      </c>
    </row>
    <row r="114" spans="1:2" ht="15.75" thickBot="1" x14ac:dyDescent="0.3">
      <c r="A114" s="6" t="s">
        <v>247</v>
      </c>
      <c r="B114" s="7" t="s">
        <v>76</v>
      </c>
    </row>
    <row r="115" spans="1:2" ht="15.75" thickBot="1" x14ac:dyDescent="0.3">
      <c r="A115" s="6" t="s">
        <v>248</v>
      </c>
      <c r="B115" s="7" t="s">
        <v>76</v>
      </c>
    </row>
    <row r="116" spans="1:2" ht="15.75" thickBot="1" x14ac:dyDescent="0.3">
      <c r="A116" s="6" t="s">
        <v>249</v>
      </c>
      <c r="B116" s="7" t="s">
        <v>76</v>
      </c>
    </row>
    <row r="117" spans="1:2" ht="15.75" thickBot="1" x14ac:dyDescent="0.3">
      <c r="A117" s="6" t="s">
        <v>250</v>
      </c>
      <c r="B117" s="7" t="s">
        <v>74</v>
      </c>
    </row>
    <row r="118" spans="1:2" ht="15.75" thickBot="1" x14ac:dyDescent="0.3">
      <c r="A118" s="6" t="s">
        <v>251</v>
      </c>
      <c r="B118" s="7" t="s">
        <v>74</v>
      </c>
    </row>
    <row r="119" spans="1:2" ht="15.75" thickBot="1" x14ac:dyDescent="0.3">
      <c r="A119" s="6" t="s">
        <v>252</v>
      </c>
      <c r="B119" s="7" t="s">
        <v>71</v>
      </c>
    </row>
    <row r="120" spans="1:2" ht="15.75" thickBot="1" x14ac:dyDescent="0.3">
      <c r="A120" s="6" t="s">
        <v>253</v>
      </c>
      <c r="B120" s="7" t="s">
        <v>76</v>
      </c>
    </row>
    <row r="121" spans="1:2" ht="15.75" thickBot="1" x14ac:dyDescent="0.3">
      <c r="A121" s="6" t="s">
        <v>254</v>
      </c>
      <c r="B121" s="7" t="s">
        <v>76</v>
      </c>
    </row>
    <row r="122" spans="1:2" ht="15.75" thickBot="1" x14ac:dyDescent="0.3">
      <c r="A122" s="6" t="s">
        <v>255</v>
      </c>
      <c r="B122" s="7" t="s">
        <v>74</v>
      </c>
    </row>
    <row r="123" spans="1:2" ht="15.75" thickBot="1" x14ac:dyDescent="0.3">
      <c r="A123" s="6" t="s">
        <v>256</v>
      </c>
      <c r="B123" s="7" t="s">
        <v>76</v>
      </c>
    </row>
    <row r="124" spans="1:2" ht="15.75" thickBot="1" x14ac:dyDescent="0.3">
      <c r="A124" s="6" t="s">
        <v>257</v>
      </c>
      <c r="B124" s="7" t="s">
        <v>76</v>
      </c>
    </row>
    <row r="125" spans="1:2" ht="15.75" thickBot="1" x14ac:dyDescent="0.3">
      <c r="A125" s="6" t="s">
        <v>258</v>
      </c>
      <c r="B125" s="7" t="s">
        <v>73</v>
      </c>
    </row>
    <row r="126" spans="1:2" ht="15.75" thickBot="1" x14ac:dyDescent="0.3">
      <c r="A126" s="6" t="s">
        <v>259</v>
      </c>
      <c r="B126" s="7" t="s">
        <v>74</v>
      </c>
    </row>
    <row r="127" spans="1:2" ht="15.75" thickBot="1" x14ac:dyDescent="0.3">
      <c r="A127" s="6" t="s">
        <v>260</v>
      </c>
      <c r="B127" s="7" t="s">
        <v>74</v>
      </c>
    </row>
    <row r="128" spans="1:2" ht="15.75" thickBot="1" x14ac:dyDescent="0.3">
      <c r="A128" s="6" t="s">
        <v>261</v>
      </c>
      <c r="B128" s="7" t="s">
        <v>74</v>
      </c>
    </row>
    <row r="129" spans="1:2" ht="15.75" thickBot="1" x14ac:dyDescent="0.3">
      <c r="A129" s="6" t="s">
        <v>262</v>
      </c>
      <c r="B129" s="7" t="s">
        <v>73</v>
      </c>
    </row>
    <row r="130" spans="1:2" ht="15.75" thickBot="1" x14ac:dyDescent="0.3">
      <c r="A130" s="6" t="s">
        <v>263</v>
      </c>
      <c r="B130" s="7" t="s">
        <v>71</v>
      </c>
    </row>
    <row r="131" spans="1:2" ht="15.75" thickBot="1" x14ac:dyDescent="0.3">
      <c r="A131" s="6" t="s">
        <v>264</v>
      </c>
      <c r="B131" s="7" t="s">
        <v>76</v>
      </c>
    </row>
    <row r="132" spans="1:2" ht="15.75" thickBot="1" x14ac:dyDescent="0.3">
      <c r="A132" s="6" t="s">
        <v>265</v>
      </c>
      <c r="B132" s="7" t="s">
        <v>76</v>
      </c>
    </row>
    <row r="133" spans="1:2" ht="15.75" thickBot="1" x14ac:dyDescent="0.3">
      <c r="A133" s="6" t="s">
        <v>266</v>
      </c>
      <c r="B133" s="7" t="s">
        <v>76</v>
      </c>
    </row>
    <row r="134" spans="1:2" ht="15.75" thickBot="1" x14ac:dyDescent="0.3">
      <c r="A134" s="6" t="s">
        <v>267</v>
      </c>
      <c r="B134" s="7" t="s">
        <v>71</v>
      </c>
    </row>
    <row r="135" spans="1:2" ht="15.75" thickBot="1" x14ac:dyDescent="0.3">
      <c r="A135" s="6" t="s">
        <v>268</v>
      </c>
      <c r="B135" s="7" t="s">
        <v>76</v>
      </c>
    </row>
    <row r="136" spans="1:2" ht="15.75" thickBot="1" x14ac:dyDescent="0.3">
      <c r="A136" s="6" t="s">
        <v>269</v>
      </c>
      <c r="B136" s="7" t="s">
        <v>76</v>
      </c>
    </row>
    <row r="137" spans="1:2" ht="15.75" thickBot="1" x14ac:dyDescent="0.3">
      <c r="A137" s="6" t="s">
        <v>270</v>
      </c>
      <c r="B137" s="7" t="s">
        <v>73</v>
      </c>
    </row>
    <row r="138" spans="1:2" ht="15.75" thickBot="1" x14ac:dyDescent="0.3">
      <c r="A138" s="6" t="s">
        <v>271</v>
      </c>
      <c r="B138" s="7" t="s">
        <v>76</v>
      </c>
    </row>
    <row r="139" spans="1:2" ht="15.75" thickBot="1" x14ac:dyDescent="0.3">
      <c r="A139" s="6" t="s">
        <v>272</v>
      </c>
      <c r="B139" s="7" t="s">
        <v>75</v>
      </c>
    </row>
    <row r="140" spans="1:2" ht="15.75" thickBot="1" x14ac:dyDescent="0.3">
      <c r="A140" s="6" t="s">
        <v>273</v>
      </c>
      <c r="B140" s="7" t="s">
        <v>75</v>
      </c>
    </row>
    <row r="141" spans="1:2" ht="15.75" thickBot="1" x14ac:dyDescent="0.3">
      <c r="A141" s="6" t="s">
        <v>274</v>
      </c>
      <c r="B141" s="7" t="s">
        <v>76</v>
      </c>
    </row>
    <row r="142" spans="1:2" ht="15.75" thickBot="1" x14ac:dyDescent="0.3">
      <c r="A142" s="6" t="s">
        <v>275</v>
      </c>
      <c r="B142" s="7" t="s">
        <v>76</v>
      </c>
    </row>
    <row r="143" spans="1:2" ht="15.75" thickBot="1" x14ac:dyDescent="0.3">
      <c r="A143" s="6" t="s">
        <v>276</v>
      </c>
      <c r="B143" s="7" t="s">
        <v>76</v>
      </c>
    </row>
    <row r="144" spans="1:2" ht="15.75" thickBot="1" x14ac:dyDescent="0.3">
      <c r="A144" s="6" t="s">
        <v>277</v>
      </c>
      <c r="B144" s="7" t="s">
        <v>71</v>
      </c>
    </row>
    <row r="145" spans="1:2" ht="15.75" thickBot="1" x14ac:dyDescent="0.3">
      <c r="A145" s="6" t="s">
        <v>278</v>
      </c>
      <c r="B145" s="7" t="s">
        <v>72</v>
      </c>
    </row>
    <row r="146" spans="1:2" ht="15.75" thickBot="1" x14ac:dyDescent="0.3">
      <c r="A146" s="6" t="s">
        <v>279</v>
      </c>
      <c r="B146" s="7" t="s">
        <v>73</v>
      </c>
    </row>
    <row r="147" spans="1:2" ht="15.75" thickBot="1" x14ac:dyDescent="0.3">
      <c r="A147" s="6" t="s">
        <v>280</v>
      </c>
      <c r="B147" s="7" t="s">
        <v>71</v>
      </c>
    </row>
    <row r="148" spans="1:2" ht="15.75" thickBot="1" x14ac:dyDescent="0.3">
      <c r="A148" s="6" t="s">
        <v>281</v>
      </c>
      <c r="B148" s="7" t="s">
        <v>76</v>
      </c>
    </row>
    <row r="149" spans="1:2" ht="15.75" thickBot="1" x14ac:dyDescent="0.3">
      <c r="A149" s="6" t="s">
        <v>282</v>
      </c>
      <c r="B149" s="7" t="s">
        <v>76</v>
      </c>
    </row>
    <row r="150" spans="1:2" ht="15.75" thickBot="1" x14ac:dyDescent="0.3">
      <c r="A150" s="6" t="s">
        <v>283</v>
      </c>
      <c r="B150" s="7" t="s">
        <v>72</v>
      </c>
    </row>
    <row r="151" spans="1:2" ht="15.75" thickBot="1" x14ac:dyDescent="0.3">
      <c r="A151" s="6" t="s">
        <v>284</v>
      </c>
      <c r="B151" s="7" t="s">
        <v>71</v>
      </c>
    </row>
    <row r="152" spans="1:2" ht="15.75" thickBot="1" x14ac:dyDescent="0.3">
      <c r="A152" s="6" t="s">
        <v>285</v>
      </c>
      <c r="B152" s="7" t="s">
        <v>76</v>
      </c>
    </row>
    <row r="153" spans="1:2" ht="15.75" thickBot="1" x14ac:dyDescent="0.3">
      <c r="A153" s="6" t="s">
        <v>286</v>
      </c>
      <c r="B153" s="7" t="s">
        <v>76</v>
      </c>
    </row>
    <row r="154" spans="1:2" ht="15.75" thickBot="1" x14ac:dyDescent="0.3">
      <c r="A154" s="6" t="s">
        <v>287</v>
      </c>
      <c r="B154" s="7" t="s">
        <v>72</v>
      </c>
    </row>
    <row r="155" spans="1:2" ht="15.75" thickBot="1" x14ac:dyDescent="0.3">
      <c r="A155" s="6" t="s">
        <v>288</v>
      </c>
      <c r="B155" s="7" t="s">
        <v>71</v>
      </c>
    </row>
    <row r="156" spans="1:2" ht="15.75" thickBot="1" x14ac:dyDescent="0.3">
      <c r="A156" s="6" t="s">
        <v>289</v>
      </c>
      <c r="B156" s="7" t="s">
        <v>76</v>
      </c>
    </row>
    <row r="157" spans="1:2" ht="15.75" thickBot="1" x14ac:dyDescent="0.3">
      <c r="A157" s="6" t="s">
        <v>290</v>
      </c>
      <c r="B157" s="7" t="s">
        <v>74</v>
      </c>
    </row>
    <row r="158" spans="1:2" ht="15.75" thickBot="1" x14ac:dyDescent="0.3">
      <c r="A158" s="6" t="s">
        <v>291</v>
      </c>
      <c r="B158" s="7" t="s">
        <v>76</v>
      </c>
    </row>
    <row r="159" spans="1:2" ht="15.75" thickBot="1" x14ac:dyDescent="0.3">
      <c r="A159" s="6" t="s">
        <v>292</v>
      </c>
      <c r="B159" s="7" t="s">
        <v>76</v>
      </c>
    </row>
    <row r="160" spans="1:2" ht="15.75" thickBot="1" x14ac:dyDescent="0.3">
      <c r="A160" s="6" t="s">
        <v>293</v>
      </c>
      <c r="B160" s="7" t="s">
        <v>76</v>
      </c>
    </row>
    <row r="161" spans="1:2" ht="15.75" thickBot="1" x14ac:dyDescent="0.3">
      <c r="A161" s="8" t="s">
        <v>294</v>
      </c>
      <c r="B161" s="7" t="s">
        <v>74</v>
      </c>
    </row>
    <row r="162" spans="1:2" ht="15.75" thickBot="1" x14ac:dyDescent="0.3">
      <c r="A162" s="6" t="s">
        <v>295</v>
      </c>
      <c r="B162" s="7" t="s">
        <v>75</v>
      </c>
    </row>
    <row r="163" spans="1:2" ht="15.75" thickBot="1" x14ac:dyDescent="0.3">
      <c r="A163" s="6" t="s">
        <v>296</v>
      </c>
      <c r="B163" s="7" t="s">
        <v>75</v>
      </c>
    </row>
    <row r="164" spans="1:2" ht="15.75" thickBot="1" x14ac:dyDescent="0.3">
      <c r="A164" s="6" t="s">
        <v>297</v>
      </c>
      <c r="B164" s="7" t="s">
        <v>71</v>
      </c>
    </row>
    <row r="165" spans="1:2" ht="15.75" thickBot="1" x14ac:dyDescent="0.3">
      <c r="A165" s="6" t="s">
        <v>298</v>
      </c>
      <c r="B165" s="7" t="s">
        <v>75</v>
      </c>
    </row>
    <row r="166" spans="1:2" ht="15.75" thickBot="1" x14ac:dyDescent="0.3">
      <c r="A166" s="6" t="s">
        <v>299</v>
      </c>
      <c r="B166" s="7" t="s">
        <v>72</v>
      </c>
    </row>
    <row r="167" spans="1:2" ht="15.75" thickBot="1" x14ac:dyDescent="0.3">
      <c r="A167" s="6" t="s">
        <v>300</v>
      </c>
      <c r="B167" s="7" t="s">
        <v>73</v>
      </c>
    </row>
    <row r="168" spans="1:2" ht="15.75" thickBot="1" x14ac:dyDescent="0.3">
      <c r="A168" s="6" t="s">
        <v>301</v>
      </c>
      <c r="B168" s="7" t="s">
        <v>73</v>
      </c>
    </row>
    <row r="169" spans="1:2" ht="15.75" thickBot="1" x14ac:dyDescent="0.3">
      <c r="A169" s="6" t="s">
        <v>302</v>
      </c>
      <c r="B169" s="7" t="s">
        <v>71</v>
      </c>
    </row>
    <row r="170" spans="1:2" ht="15.75" thickBot="1" x14ac:dyDescent="0.3">
      <c r="A170" s="6" t="s">
        <v>303</v>
      </c>
      <c r="B170" s="7" t="s">
        <v>76</v>
      </c>
    </row>
    <row r="171" spans="1:2" ht="15.75" thickBot="1" x14ac:dyDescent="0.3">
      <c r="A171" s="6" t="s">
        <v>304</v>
      </c>
      <c r="B171" s="7" t="s">
        <v>76</v>
      </c>
    </row>
    <row r="172" spans="1:2" ht="15.75" thickBot="1" x14ac:dyDescent="0.3">
      <c r="A172" s="6" t="s">
        <v>305</v>
      </c>
      <c r="B172" s="7" t="s">
        <v>76</v>
      </c>
    </row>
    <row r="173" spans="1:2" ht="15.75" thickBot="1" x14ac:dyDescent="0.3">
      <c r="A173" s="6" t="s">
        <v>306</v>
      </c>
      <c r="B173" s="7" t="s">
        <v>76</v>
      </c>
    </row>
    <row r="174" spans="1:2" ht="15.75" thickBot="1" x14ac:dyDescent="0.3">
      <c r="A174" s="6" t="s">
        <v>307</v>
      </c>
      <c r="B174" s="7" t="s">
        <v>76</v>
      </c>
    </row>
    <row r="175" spans="1:2" ht="15.75" thickBot="1" x14ac:dyDescent="0.3">
      <c r="A175" s="6" t="s">
        <v>308</v>
      </c>
      <c r="B175" s="7" t="s">
        <v>76</v>
      </c>
    </row>
    <row r="176" spans="1:2" ht="15.75" thickBot="1" x14ac:dyDescent="0.3">
      <c r="A176" s="6" t="s">
        <v>309</v>
      </c>
      <c r="B176" s="7" t="s">
        <v>72</v>
      </c>
    </row>
    <row r="177" spans="1:2" ht="15.75" thickBot="1" x14ac:dyDescent="0.3">
      <c r="A177" s="6" t="s">
        <v>310</v>
      </c>
      <c r="B177" s="7" t="s">
        <v>73</v>
      </c>
    </row>
    <row r="178" spans="1:2" ht="15.75" thickBot="1" x14ac:dyDescent="0.3">
      <c r="A178" s="6" t="s">
        <v>311</v>
      </c>
      <c r="B178" s="7" t="s">
        <v>72</v>
      </c>
    </row>
    <row r="179" spans="1:2" ht="15.75" thickBot="1" x14ac:dyDescent="0.3">
      <c r="A179" s="6" t="s">
        <v>312</v>
      </c>
      <c r="B179" s="7" t="s">
        <v>74</v>
      </c>
    </row>
    <row r="180" spans="1:2" ht="15.75" thickBot="1" x14ac:dyDescent="0.3">
      <c r="A180" s="6" t="s">
        <v>313</v>
      </c>
      <c r="B180" s="7" t="s">
        <v>76</v>
      </c>
    </row>
    <row r="181" spans="1:2" ht="15.75" thickBot="1" x14ac:dyDescent="0.3">
      <c r="A181" s="6" t="s">
        <v>314</v>
      </c>
      <c r="B181" s="7" t="s">
        <v>76</v>
      </c>
    </row>
    <row r="182" spans="1:2" ht="15.75" thickBot="1" x14ac:dyDescent="0.3">
      <c r="A182" s="6" t="s">
        <v>315</v>
      </c>
      <c r="B182" s="7" t="s">
        <v>76</v>
      </c>
    </row>
    <row r="183" spans="1:2" ht="15.75" thickBot="1" x14ac:dyDescent="0.3">
      <c r="A183" s="6" t="s">
        <v>316</v>
      </c>
      <c r="B183" s="7" t="s">
        <v>76</v>
      </c>
    </row>
    <row r="184" spans="1:2" ht="15.75" thickBot="1" x14ac:dyDescent="0.3">
      <c r="A184" s="6" t="s">
        <v>317</v>
      </c>
      <c r="B184" s="7" t="s">
        <v>70</v>
      </c>
    </row>
    <row r="185" spans="1:2" ht="15.75" thickBot="1" x14ac:dyDescent="0.3">
      <c r="A185" s="6" t="s">
        <v>318</v>
      </c>
      <c r="B185" s="7" t="s">
        <v>70</v>
      </c>
    </row>
    <row r="186" spans="1:2" ht="15.75" thickBot="1" x14ac:dyDescent="0.3">
      <c r="A186" s="6" t="s">
        <v>319</v>
      </c>
      <c r="B186" s="7" t="s">
        <v>73</v>
      </c>
    </row>
    <row r="187" spans="1:2" ht="15.75" thickBot="1" x14ac:dyDescent="0.3">
      <c r="A187" s="6" t="s">
        <v>320</v>
      </c>
      <c r="B187" s="7" t="s">
        <v>74</v>
      </c>
    </row>
    <row r="188" spans="1:2" ht="15.75" thickBot="1" x14ac:dyDescent="0.3">
      <c r="A188" s="6" t="s">
        <v>321</v>
      </c>
      <c r="B188" s="7" t="s">
        <v>74</v>
      </c>
    </row>
    <row r="189" spans="1:2" ht="15.75" thickBot="1" x14ac:dyDescent="0.3">
      <c r="A189" s="6" t="s">
        <v>322</v>
      </c>
      <c r="B189" s="7" t="s">
        <v>76</v>
      </c>
    </row>
    <row r="190" spans="1:2" ht="15.75" thickBot="1" x14ac:dyDescent="0.3">
      <c r="A190" s="6" t="s">
        <v>323</v>
      </c>
      <c r="B190" s="7" t="s">
        <v>76</v>
      </c>
    </row>
    <row r="191" spans="1:2" ht="15.75" thickBot="1" x14ac:dyDescent="0.3">
      <c r="A191" s="6" t="s">
        <v>324</v>
      </c>
      <c r="B191" s="7" t="s">
        <v>76</v>
      </c>
    </row>
    <row r="192" spans="1:2" ht="15.75" thickBot="1" x14ac:dyDescent="0.3">
      <c r="A192" s="6" t="s">
        <v>325</v>
      </c>
      <c r="B192" s="7" t="s">
        <v>76</v>
      </c>
    </row>
    <row r="193" spans="1:2" ht="15.75" thickBot="1" x14ac:dyDescent="0.3">
      <c r="A193" s="6" t="s">
        <v>326</v>
      </c>
      <c r="B193" s="7" t="s">
        <v>73</v>
      </c>
    </row>
    <row r="194" spans="1:2" ht="15.75" thickBot="1" x14ac:dyDescent="0.3">
      <c r="A194" s="6" t="s">
        <v>327</v>
      </c>
      <c r="B194" s="7" t="s">
        <v>71</v>
      </c>
    </row>
    <row r="195" spans="1:2" ht="15.75" thickBot="1" x14ac:dyDescent="0.3">
      <c r="A195" s="6" t="s">
        <v>328</v>
      </c>
      <c r="B195" s="7" t="s">
        <v>73</v>
      </c>
    </row>
    <row r="196" spans="1:2" ht="15.75" thickBot="1" x14ac:dyDescent="0.3">
      <c r="A196" s="6" t="s">
        <v>329</v>
      </c>
      <c r="B196" s="7" t="s">
        <v>70</v>
      </c>
    </row>
    <row r="197" spans="1:2" ht="15.75" thickBot="1" x14ac:dyDescent="0.3">
      <c r="A197" s="6" t="s">
        <v>330</v>
      </c>
      <c r="B197" s="7" t="s">
        <v>70</v>
      </c>
    </row>
    <row r="198" spans="1:2" ht="15.75" thickBot="1" x14ac:dyDescent="0.3">
      <c r="A198" s="6" t="s">
        <v>331</v>
      </c>
      <c r="B198" s="7" t="s">
        <v>74</v>
      </c>
    </row>
    <row r="199" spans="1:2" ht="15.75" thickBot="1" x14ac:dyDescent="0.3">
      <c r="A199" s="6" t="s">
        <v>332</v>
      </c>
      <c r="B199" s="7" t="s">
        <v>74</v>
      </c>
    </row>
    <row r="200" spans="1:2" ht="15.75" thickBot="1" x14ac:dyDescent="0.3">
      <c r="A200" s="6" t="s">
        <v>333</v>
      </c>
      <c r="B200" s="7" t="s">
        <v>72</v>
      </c>
    </row>
    <row r="201" spans="1:2" ht="15.75" thickBot="1" x14ac:dyDescent="0.3">
      <c r="A201" s="6" t="s">
        <v>334</v>
      </c>
      <c r="B201" s="7" t="s">
        <v>74</v>
      </c>
    </row>
    <row r="202" spans="1:2" ht="15.75" thickBot="1" x14ac:dyDescent="0.3">
      <c r="A202" s="6" t="s">
        <v>335</v>
      </c>
      <c r="B202" s="7" t="s">
        <v>72</v>
      </c>
    </row>
    <row r="203" spans="1:2" ht="15.75" thickBot="1" x14ac:dyDescent="0.3">
      <c r="A203" s="6" t="s">
        <v>336</v>
      </c>
      <c r="B203" s="7" t="s">
        <v>72</v>
      </c>
    </row>
    <row r="204" spans="1:2" ht="15.75" thickBot="1" x14ac:dyDescent="0.3">
      <c r="A204" s="6" t="s">
        <v>337</v>
      </c>
      <c r="B204" s="7" t="s">
        <v>72</v>
      </c>
    </row>
    <row r="205" spans="1:2" ht="15.75" thickBot="1" x14ac:dyDescent="0.3">
      <c r="A205" s="6" t="s">
        <v>338</v>
      </c>
      <c r="B205" s="7" t="s">
        <v>71</v>
      </c>
    </row>
    <row r="206" spans="1:2" ht="15.75" thickBot="1" x14ac:dyDescent="0.3">
      <c r="A206" s="6" t="s">
        <v>339</v>
      </c>
      <c r="B206" s="7" t="s">
        <v>72</v>
      </c>
    </row>
    <row r="207" spans="1:2" ht="15.75" thickBot="1" x14ac:dyDescent="0.3">
      <c r="A207" s="6" t="s">
        <v>340</v>
      </c>
      <c r="B207" s="7" t="s">
        <v>72</v>
      </c>
    </row>
    <row r="208" spans="1:2" ht="15.75" thickBot="1" x14ac:dyDescent="0.3">
      <c r="A208" s="6" t="s">
        <v>341</v>
      </c>
      <c r="B208" s="7" t="s">
        <v>72</v>
      </c>
    </row>
    <row r="209" spans="1:2" ht="15.75" thickBot="1" x14ac:dyDescent="0.3">
      <c r="A209" s="6" t="s">
        <v>342</v>
      </c>
      <c r="B209" s="7" t="s">
        <v>76</v>
      </c>
    </row>
    <row r="210" spans="1:2" ht="15.75" thickBot="1" x14ac:dyDescent="0.3">
      <c r="A210" s="6" t="s">
        <v>343</v>
      </c>
      <c r="B210" s="7" t="s">
        <v>72</v>
      </c>
    </row>
    <row r="211" spans="1:2" ht="15.75" thickBot="1" x14ac:dyDescent="0.3">
      <c r="A211" s="6" t="s">
        <v>344</v>
      </c>
      <c r="B211" s="7" t="s">
        <v>72</v>
      </c>
    </row>
    <row r="212" spans="1:2" ht="15.75" thickBot="1" x14ac:dyDescent="0.3">
      <c r="A212" s="6" t="s">
        <v>345</v>
      </c>
      <c r="B212" s="7" t="s">
        <v>72</v>
      </c>
    </row>
    <row r="213" spans="1:2" ht="15.75" thickBot="1" x14ac:dyDescent="0.3">
      <c r="A213" s="6" t="s">
        <v>346</v>
      </c>
      <c r="B213" s="7" t="s">
        <v>72</v>
      </c>
    </row>
    <row r="214" spans="1:2" ht="15.75" thickBot="1" x14ac:dyDescent="0.3">
      <c r="A214" s="6" t="s">
        <v>347</v>
      </c>
      <c r="B214" s="7" t="s">
        <v>75</v>
      </c>
    </row>
    <row r="215" spans="1:2" ht="15.75" thickBot="1" x14ac:dyDescent="0.3">
      <c r="A215" s="6" t="s">
        <v>348</v>
      </c>
      <c r="B215" s="7" t="s">
        <v>71</v>
      </c>
    </row>
    <row r="216" spans="1:2" ht="15.75" thickBot="1" x14ac:dyDescent="0.3">
      <c r="A216" s="6" t="s">
        <v>349</v>
      </c>
      <c r="B216" s="7" t="s">
        <v>74</v>
      </c>
    </row>
    <row r="217" spans="1:2" ht="15.75" thickBot="1" x14ac:dyDescent="0.3">
      <c r="A217" s="6" t="s">
        <v>350</v>
      </c>
      <c r="B217" s="7" t="s">
        <v>74</v>
      </c>
    </row>
    <row r="218" spans="1:2" ht="15.75" thickBot="1" x14ac:dyDescent="0.3">
      <c r="A218" s="6" t="s">
        <v>351</v>
      </c>
      <c r="B218" s="7" t="s">
        <v>73</v>
      </c>
    </row>
    <row r="219" spans="1:2" ht="15.75" thickBot="1" x14ac:dyDescent="0.3">
      <c r="A219" s="6" t="s">
        <v>352</v>
      </c>
      <c r="B219" s="7" t="s">
        <v>71</v>
      </c>
    </row>
    <row r="220" spans="1:2" ht="15.75" thickBot="1" x14ac:dyDescent="0.3">
      <c r="A220" s="6" t="s">
        <v>353</v>
      </c>
      <c r="B220" s="7" t="s">
        <v>71</v>
      </c>
    </row>
    <row r="221" spans="1:2" ht="15.75" thickBot="1" x14ac:dyDescent="0.3">
      <c r="A221" s="6" t="s">
        <v>354</v>
      </c>
      <c r="B221" s="7" t="s">
        <v>76</v>
      </c>
    </row>
    <row r="222" spans="1:2" ht="15.75" thickBot="1" x14ac:dyDescent="0.3">
      <c r="A222" s="6" t="s">
        <v>355</v>
      </c>
      <c r="B222" s="7" t="s">
        <v>74</v>
      </c>
    </row>
    <row r="223" spans="1:2" ht="15.75" thickBot="1" x14ac:dyDescent="0.3">
      <c r="A223" s="6" t="s">
        <v>356</v>
      </c>
      <c r="B223" s="7" t="s">
        <v>74</v>
      </c>
    </row>
    <row r="224" spans="1:2" ht="15.75" thickBot="1" x14ac:dyDescent="0.3">
      <c r="A224" s="6" t="s">
        <v>357</v>
      </c>
      <c r="B224" s="7" t="s">
        <v>76</v>
      </c>
    </row>
    <row r="225" spans="1:2" ht="15.75" thickBot="1" x14ac:dyDescent="0.3">
      <c r="A225" s="6" t="s">
        <v>358</v>
      </c>
      <c r="B225" s="7" t="s">
        <v>72</v>
      </c>
    </row>
    <row r="226" spans="1:2" ht="15.75" thickBot="1" x14ac:dyDescent="0.3">
      <c r="A226" s="6" t="s">
        <v>359</v>
      </c>
      <c r="B226" s="7" t="s">
        <v>72</v>
      </c>
    </row>
    <row r="227" spans="1:2" ht="15.75" thickBot="1" x14ac:dyDescent="0.3">
      <c r="A227" s="6" t="s">
        <v>360</v>
      </c>
      <c r="B227" s="7" t="s">
        <v>72</v>
      </c>
    </row>
    <row r="228" spans="1:2" ht="15.75" thickBot="1" x14ac:dyDescent="0.3">
      <c r="A228" s="6" t="s">
        <v>361</v>
      </c>
      <c r="B228" s="7" t="s">
        <v>72</v>
      </c>
    </row>
    <row r="229" spans="1:2" ht="15.75" thickBot="1" x14ac:dyDescent="0.3">
      <c r="A229" s="6" t="s">
        <v>362</v>
      </c>
      <c r="B229" s="7" t="s">
        <v>72</v>
      </c>
    </row>
    <row r="230" spans="1:2" ht="15.75" thickBot="1" x14ac:dyDescent="0.3">
      <c r="A230" s="6" t="s">
        <v>363</v>
      </c>
      <c r="B230" s="7" t="s">
        <v>72</v>
      </c>
    </row>
    <row r="231" spans="1:2" ht="15.75" thickBot="1" x14ac:dyDescent="0.3">
      <c r="A231" s="6" t="s">
        <v>364</v>
      </c>
      <c r="B231" s="7" t="s">
        <v>72</v>
      </c>
    </row>
    <row r="232" spans="1:2" ht="15.75" thickBot="1" x14ac:dyDescent="0.3">
      <c r="A232" s="6" t="s">
        <v>365</v>
      </c>
      <c r="B232" s="7" t="s">
        <v>72</v>
      </c>
    </row>
    <row r="233" spans="1:2" ht="15.75" thickBot="1" x14ac:dyDescent="0.3">
      <c r="A233" s="6" t="s">
        <v>366</v>
      </c>
      <c r="B233" s="7" t="s">
        <v>76</v>
      </c>
    </row>
    <row r="234" spans="1:2" ht="15.75" thickBot="1" x14ac:dyDescent="0.3">
      <c r="A234" s="6" t="s">
        <v>367</v>
      </c>
      <c r="B234" s="7" t="s">
        <v>76</v>
      </c>
    </row>
    <row r="235" spans="1:2" ht="15.75" thickBot="1" x14ac:dyDescent="0.3">
      <c r="A235" s="6" t="s">
        <v>368</v>
      </c>
      <c r="B235" s="7" t="s">
        <v>72</v>
      </c>
    </row>
    <row r="236" spans="1:2" ht="15.75" thickBot="1" x14ac:dyDescent="0.3">
      <c r="A236" s="6" t="s">
        <v>369</v>
      </c>
      <c r="B236" s="7" t="s">
        <v>72</v>
      </c>
    </row>
    <row r="237" spans="1:2" ht="15.75" thickBot="1" x14ac:dyDescent="0.3">
      <c r="A237" s="6" t="s">
        <v>370</v>
      </c>
      <c r="B237" s="7" t="s">
        <v>72</v>
      </c>
    </row>
    <row r="238" spans="1:2" ht="15.75" thickBot="1" x14ac:dyDescent="0.3">
      <c r="A238" s="6" t="s">
        <v>371</v>
      </c>
      <c r="B238" s="7" t="s">
        <v>71</v>
      </c>
    </row>
    <row r="239" spans="1:2" ht="15.75" thickBot="1" x14ac:dyDescent="0.3">
      <c r="A239" s="6" t="s">
        <v>372</v>
      </c>
      <c r="B239" s="7" t="s">
        <v>72</v>
      </c>
    </row>
    <row r="240" spans="1:2" ht="15.75" thickBot="1" x14ac:dyDescent="0.3">
      <c r="A240" s="6" t="s">
        <v>373</v>
      </c>
      <c r="B240" s="7" t="s">
        <v>73</v>
      </c>
    </row>
    <row r="241" spans="1:2" ht="15.75" thickBot="1" x14ac:dyDescent="0.3">
      <c r="A241" s="6" t="s">
        <v>374</v>
      </c>
      <c r="B241" s="7" t="s">
        <v>73</v>
      </c>
    </row>
    <row r="242" spans="1:2" ht="15.75" thickBot="1" x14ac:dyDescent="0.3">
      <c r="A242" s="6" t="s">
        <v>375</v>
      </c>
      <c r="B242" s="7" t="s">
        <v>72</v>
      </c>
    </row>
    <row r="243" spans="1:2" ht="15.75" thickBot="1" x14ac:dyDescent="0.3">
      <c r="A243" s="6" t="s">
        <v>376</v>
      </c>
      <c r="B243" s="7" t="s">
        <v>76</v>
      </c>
    </row>
    <row r="244" spans="1:2" ht="15.75" thickBot="1" x14ac:dyDescent="0.3">
      <c r="A244" s="6" t="s">
        <v>377</v>
      </c>
      <c r="B244" s="7" t="s">
        <v>73</v>
      </c>
    </row>
    <row r="245" spans="1:2" ht="15.75" thickBot="1" x14ac:dyDescent="0.3">
      <c r="A245" s="6" t="s">
        <v>378</v>
      </c>
      <c r="B245" s="7" t="s">
        <v>70</v>
      </c>
    </row>
    <row r="246" spans="1:2" ht="15.75" thickBot="1" x14ac:dyDescent="0.3">
      <c r="A246" s="6" t="s">
        <v>379</v>
      </c>
      <c r="B246" s="7" t="s">
        <v>74</v>
      </c>
    </row>
    <row r="247" spans="1:2" ht="15.75" thickBot="1" x14ac:dyDescent="0.3">
      <c r="A247" s="6" t="s">
        <v>380</v>
      </c>
      <c r="B247" s="7" t="s">
        <v>76</v>
      </c>
    </row>
    <row r="248" spans="1:2" ht="15.75" thickBot="1" x14ac:dyDescent="0.3">
      <c r="A248" s="6" t="s">
        <v>381</v>
      </c>
      <c r="B248" s="7" t="s">
        <v>71</v>
      </c>
    </row>
    <row r="249" spans="1:2" ht="15.75" thickBot="1" x14ac:dyDescent="0.3">
      <c r="A249" s="6" t="s">
        <v>382</v>
      </c>
      <c r="B249" s="7" t="s">
        <v>76</v>
      </c>
    </row>
    <row r="250" spans="1:2" ht="15.75" thickBot="1" x14ac:dyDescent="0.3">
      <c r="A250" s="6" t="s">
        <v>383</v>
      </c>
      <c r="B250" s="7" t="s">
        <v>76</v>
      </c>
    </row>
    <row r="251" spans="1:2" ht="15.75" thickBot="1" x14ac:dyDescent="0.3">
      <c r="A251" s="6" t="s">
        <v>384</v>
      </c>
      <c r="B251" s="7" t="s">
        <v>72</v>
      </c>
    </row>
    <row r="252" spans="1:2" ht="15.75" thickBot="1" x14ac:dyDescent="0.3">
      <c r="A252" s="6" t="s">
        <v>385</v>
      </c>
      <c r="B252" s="7" t="s">
        <v>71</v>
      </c>
    </row>
    <row r="253" spans="1:2" ht="15.75" thickBot="1" x14ac:dyDescent="0.3">
      <c r="A253" s="6" t="s">
        <v>386</v>
      </c>
      <c r="B253" s="7" t="s">
        <v>71</v>
      </c>
    </row>
    <row r="254" spans="1:2" ht="15.75" thickBot="1" x14ac:dyDescent="0.3">
      <c r="A254" s="6" t="s">
        <v>387</v>
      </c>
      <c r="B254" s="7" t="s">
        <v>73</v>
      </c>
    </row>
    <row r="255" spans="1:2" ht="15.75" thickBot="1" x14ac:dyDescent="0.3">
      <c r="A255" s="6" t="s">
        <v>388</v>
      </c>
      <c r="B255" s="7" t="s">
        <v>72</v>
      </c>
    </row>
    <row r="256" spans="1:2" ht="15.75" thickBot="1" x14ac:dyDescent="0.3">
      <c r="A256" s="6" t="s">
        <v>389</v>
      </c>
      <c r="B256" s="7" t="s">
        <v>72</v>
      </c>
    </row>
    <row r="257" spans="1:2" ht="15.75" thickBot="1" x14ac:dyDescent="0.3">
      <c r="A257" s="6" t="s">
        <v>390</v>
      </c>
      <c r="B257" s="7" t="s">
        <v>72</v>
      </c>
    </row>
    <row r="258" spans="1:2" ht="15.75" thickBot="1" x14ac:dyDescent="0.3">
      <c r="A258" s="6" t="s">
        <v>391</v>
      </c>
      <c r="B258" s="7" t="s">
        <v>75</v>
      </c>
    </row>
    <row r="259" spans="1:2" ht="15.75" thickBot="1" x14ac:dyDescent="0.3">
      <c r="A259" s="6" t="s">
        <v>392</v>
      </c>
      <c r="B259" s="7" t="s">
        <v>73</v>
      </c>
    </row>
    <row r="260" spans="1:2" ht="15.75" thickBot="1" x14ac:dyDescent="0.3">
      <c r="A260" s="6" t="s">
        <v>393</v>
      </c>
      <c r="B260" s="7" t="s">
        <v>76</v>
      </c>
    </row>
    <row r="261" spans="1:2" ht="15.75" thickBot="1" x14ac:dyDescent="0.3">
      <c r="A261" s="6" t="s">
        <v>394</v>
      </c>
      <c r="B261" s="7" t="s">
        <v>73</v>
      </c>
    </row>
    <row r="262" spans="1:2" ht="15.75" thickBot="1" x14ac:dyDescent="0.3">
      <c r="A262" s="6" t="s">
        <v>395</v>
      </c>
      <c r="B262" s="7" t="s">
        <v>71</v>
      </c>
    </row>
    <row r="263" spans="1:2" ht="15.75" thickBot="1" x14ac:dyDescent="0.3">
      <c r="A263" s="6" t="s">
        <v>396</v>
      </c>
      <c r="B263" s="7" t="s">
        <v>74</v>
      </c>
    </row>
    <row r="264" spans="1:2" ht="15.75" thickBot="1" x14ac:dyDescent="0.3">
      <c r="A264" s="6" t="s">
        <v>397</v>
      </c>
      <c r="B264" s="7" t="s">
        <v>71</v>
      </c>
    </row>
    <row r="265" spans="1:2" ht="15.75" thickBot="1" x14ac:dyDescent="0.3">
      <c r="A265" s="6" t="s">
        <v>398</v>
      </c>
      <c r="B265" s="7" t="s">
        <v>73</v>
      </c>
    </row>
    <row r="266" spans="1:2" ht="15.75" thickBot="1" x14ac:dyDescent="0.3">
      <c r="A266" s="6" t="s">
        <v>399</v>
      </c>
      <c r="B266" s="7" t="s">
        <v>73</v>
      </c>
    </row>
    <row r="267" spans="1:2" ht="15.75" thickBot="1" x14ac:dyDescent="0.3">
      <c r="A267" s="6" t="s">
        <v>400</v>
      </c>
      <c r="B267" s="7" t="s">
        <v>73</v>
      </c>
    </row>
    <row r="268" spans="1:2" ht="15.75" thickBot="1" x14ac:dyDescent="0.3">
      <c r="A268" s="6" t="s">
        <v>401</v>
      </c>
      <c r="B268" s="7" t="s">
        <v>76</v>
      </c>
    </row>
    <row r="269" spans="1:2" ht="15.75" thickBot="1" x14ac:dyDescent="0.3">
      <c r="A269" s="6" t="s">
        <v>402</v>
      </c>
      <c r="B269" s="7" t="s">
        <v>75</v>
      </c>
    </row>
    <row r="270" spans="1:2" ht="15.75" thickBot="1" x14ac:dyDescent="0.3">
      <c r="A270" s="6" t="s">
        <v>403</v>
      </c>
      <c r="B270" s="7" t="s">
        <v>73</v>
      </c>
    </row>
    <row r="271" spans="1:2" ht="15.75" thickBot="1" x14ac:dyDescent="0.3">
      <c r="A271" s="6" t="s">
        <v>404</v>
      </c>
      <c r="B271" s="7" t="s">
        <v>73</v>
      </c>
    </row>
    <row r="272" spans="1:2" ht="15.75" thickBot="1" x14ac:dyDescent="0.3">
      <c r="A272" s="6" t="s">
        <v>405</v>
      </c>
      <c r="B272" s="7" t="s">
        <v>72</v>
      </c>
    </row>
    <row r="273" spans="1:2" ht="15.75" thickBot="1" x14ac:dyDescent="0.3">
      <c r="A273" s="6" t="s">
        <v>406</v>
      </c>
      <c r="B273" s="7" t="s">
        <v>74</v>
      </c>
    </row>
    <row r="274" spans="1:2" ht="15.75" thickBot="1" x14ac:dyDescent="0.3">
      <c r="A274" s="6" t="s">
        <v>407</v>
      </c>
      <c r="B274" s="7" t="s">
        <v>76</v>
      </c>
    </row>
    <row r="275" spans="1:2" ht="15.75" thickBot="1" x14ac:dyDescent="0.3">
      <c r="A275" s="6" t="s">
        <v>408</v>
      </c>
      <c r="B275" s="7" t="s">
        <v>73</v>
      </c>
    </row>
    <row r="276" spans="1:2" ht="15.75" thickBot="1" x14ac:dyDescent="0.3">
      <c r="A276" s="6" t="s">
        <v>409</v>
      </c>
      <c r="B276" s="7" t="s">
        <v>73</v>
      </c>
    </row>
    <row r="277" spans="1:2" ht="15.75" thickBot="1" x14ac:dyDescent="0.3">
      <c r="A277" s="6" t="s">
        <v>410</v>
      </c>
      <c r="B277" s="7" t="s">
        <v>74</v>
      </c>
    </row>
    <row r="278" spans="1:2" ht="15.75" thickBot="1" x14ac:dyDescent="0.3">
      <c r="A278" s="6" t="s">
        <v>411</v>
      </c>
      <c r="B278" s="7" t="s">
        <v>71</v>
      </c>
    </row>
    <row r="279" spans="1:2" ht="15.75" thickBot="1" x14ac:dyDescent="0.3">
      <c r="A279" s="6" t="s">
        <v>412</v>
      </c>
      <c r="B279" s="7" t="s">
        <v>71</v>
      </c>
    </row>
    <row r="280" spans="1:2" ht="15.75" thickBot="1" x14ac:dyDescent="0.3">
      <c r="A280" s="6" t="s">
        <v>413</v>
      </c>
      <c r="B280" s="7" t="s">
        <v>70</v>
      </c>
    </row>
    <row r="281" spans="1:2" ht="15.75" thickBot="1" x14ac:dyDescent="0.3">
      <c r="A281" s="6" t="s">
        <v>414</v>
      </c>
      <c r="B281" s="7" t="s">
        <v>74</v>
      </c>
    </row>
    <row r="282" spans="1:2" ht="15.75" thickBot="1" x14ac:dyDescent="0.3">
      <c r="A282" s="6" t="s">
        <v>415</v>
      </c>
      <c r="B282" s="7" t="s">
        <v>76</v>
      </c>
    </row>
    <row r="283" spans="1:2" ht="15.75" thickBot="1" x14ac:dyDescent="0.3">
      <c r="A283" s="6" t="s">
        <v>416</v>
      </c>
      <c r="B283" s="7" t="s">
        <v>76</v>
      </c>
    </row>
    <row r="284" spans="1:2" ht="15.75" thickBot="1" x14ac:dyDescent="0.3">
      <c r="A284" s="6" t="s">
        <v>417</v>
      </c>
      <c r="B284" s="7" t="s">
        <v>75</v>
      </c>
    </row>
    <row r="285" spans="1:2" ht="15.75" thickBot="1" x14ac:dyDescent="0.3">
      <c r="A285" s="6" t="s">
        <v>418</v>
      </c>
      <c r="B285" s="7" t="s">
        <v>76</v>
      </c>
    </row>
    <row r="286" spans="1:2" ht="15.75" thickBot="1" x14ac:dyDescent="0.3">
      <c r="A286" s="6" t="s">
        <v>419</v>
      </c>
      <c r="B286" s="7" t="s">
        <v>73</v>
      </c>
    </row>
    <row r="287" spans="1:2" ht="15.75" thickBot="1" x14ac:dyDescent="0.3">
      <c r="A287" s="6" t="s">
        <v>420</v>
      </c>
      <c r="B287" s="7" t="s">
        <v>76</v>
      </c>
    </row>
    <row r="288" spans="1:2" ht="15.75" thickBot="1" x14ac:dyDescent="0.3">
      <c r="A288" s="6" t="s">
        <v>421</v>
      </c>
      <c r="B288" s="7" t="s">
        <v>76</v>
      </c>
    </row>
    <row r="289" spans="1:2" ht="15.75" thickBot="1" x14ac:dyDescent="0.3">
      <c r="A289" s="6" t="s">
        <v>422</v>
      </c>
      <c r="B289" s="7" t="s">
        <v>76</v>
      </c>
    </row>
    <row r="290" spans="1:2" ht="15.75" thickBot="1" x14ac:dyDescent="0.3">
      <c r="A290" s="6" t="s">
        <v>423</v>
      </c>
      <c r="B290" s="7" t="s">
        <v>72</v>
      </c>
    </row>
    <row r="291" spans="1:2" ht="15.75" thickBot="1" x14ac:dyDescent="0.3">
      <c r="A291" s="6" t="s">
        <v>424</v>
      </c>
      <c r="B291" s="7" t="s">
        <v>72</v>
      </c>
    </row>
    <row r="292" spans="1:2" ht="15.75" thickBot="1" x14ac:dyDescent="0.3">
      <c r="A292" s="6" t="s">
        <v>425</v>
      </c>
      <c r="B292" s="7" t="s">
        <v>72</v>
      </c>
    </row>
    <row r="293" spans="1:2" ht="15.75" thickBot="1" x14ac:dyDescent="0.3">
      <c r="A293" s="6" t="s">
        <v>426</v>
      </c>
      <c r="B293" s="7" t="s">
        <v>75</v>
      </c>
    </row>
    <row r="294" spans="1:2" ht="15.75" thickBot="1" x14ac:dyDescent="0.3">
      <c r="A294" s="6" t="s">
        <v>427</v>
      </c>
      <c r="B294" s="7" t="s">
        <v>76</v>
      </c>
    </row>
    <row r="295" spans="1:2" ht="15.75" thickBot="1" x14ac:dyDescent="0.3">
      <c r="A295" s="6" t="s">
        <v>428</v>
      </c>
      <c r="B295" s="7" t="s">
        <v>76</v>
      </c>
    </row>
    <row r="296" spans="1:2" ht="15.75" thickBot="1" x14ac:dyDescent="0.3">
      <c r="A296" s="6" t="s">
        <v>429</v>
      </c>
      <c r="B296" s="7" t="s">
        <v>76</v>
      </c>
    </row>
    <row r="297" spans="1:2" ht="15.75" thickBot="1" x14ac:dyDescent="0.3">
      <c r="A297" s="6" t="s">
        <v>430</v>
      </c>
      <c r="B297" s="7" t="s">
        <v>71</v>
      </c>
    </row>
    <row r="298" spans="1:2" ht="15.75" thickBot="1" x14ac:dyDescent="0.3">
      <c r="A298" s="6" t="s">
        <v>431</v>
      </c>
      <c r="B298" s="7" t="s">
        <v>73</v>
      </c>
    </row>
    <row r="299" spans="1:2" ht="15.75" thickBot="1" x14ac:dyDescent="0.3">
      <c r="A299" s="6" t="s">
        <v>432</v>
      </c>
      <c r="B299" s="7" t="s">
        <v>72</v>
      </c>
    </row>
    <row r="300" spans="1:2" ht="15.75" thickBot="1" x14ac:dyDescent="0.3">
      <c r="A300" s="6" t="s">
        <v>433</v>
      </c>
      <c r="B300" s="7" t="s">
        <v>73</v>
      </c>
    </row>
    <row r="301" spans="1:2" ht="15.75" thickBot="1" x14ac:dyDescent="0.3">
      <c r="A301" s="6" t="s">
        <v>434</v>
      </c>
      <c r="B301" s="7" t="s">
        <v>76</v>
      </c>
    </row>
    <row r="302" spans="1:2" ht="15.75" thickBot="1" x14ac:dyDescent="0.3">
      <c r="A302" s="6" t="s">
        <v>435</v>
      </c>
      <c r="B302" s="7" t="s">
        <v>76</v>
      </c>
    </row>
    <row r="303" spans="1:2" ht="15.75" thickBot="1" x14ac:dyDescent="0.3">
      <c r="A303" s="6" t="s">
        <v>436</v>
      </c>
      <c r="B303" s="7" t="s">
        <v>73</v>
      </c>
    </row>
    <row r="304" spans="1:2" ht="15.75" thickBot="1" x14ac:dyDescent="0.3">
      <c r="A304" s="6" t="s">
        <v>437</v>
      </c>
      <c r="B304" s="7" t="s">
        <v>73</v>
      </c>
    </row>
    <row r="305" spans="1:2" ht="15.75" thickBot="1" x14ac:dyDescent="0.3">
      <c r="A305" s="6" t="s">
        <v>438</v>
      </c>
      <c r="B305" s="7" t="s">
        <v>73</v>
      </c>
    </row>
    <row r="306" spans="1:2" ht="15.75" thickBot="1" x14ac:dyDescent="0.3">
      <c r="A306" s="6" t="s">
        <v>439</v>
      </c>
      <c r="B306" s="7" t="s">
        <v>76</v>
      </c>
    </row>
    <row r="307" spans="1:2" ht="15.75" thickBot="1" x14ac:dyDescent="0.3">
      <c r="A307" s="6" t="s">
        <v>440</v>
      </c>
      <c r="B307" s="7" t="s">
        <v>76</v>
      </c>
    </row>
    <row r="308" spans="1:2" ht="15.75" thickBot="1" x14ac:dyDescent="0.3">
      <c r="A308" s="6" t="s">
        <v>441</v>
      </c>
      <c r="B308" s="7" t="s">
        <v>74</v>
      </c>
    </row>
    <row r="309" spans="1:2" ht="15.75" thickBot="1" x14ac:dyDescent="0.3">
      <c r="A309" s="6" t="s">
        <v>442</v>
      </c>
      <c r="B309" s="7" t="s">
        <v>74</v>
      </c>
    </row>
    <row r="310" spans="1:2" ht="15.75" thickBot="1" x14ac:dyDescent="0.3">
      <c r="A310" s="6" t="s">
        <v>443</v>
      </c>
      <c r="B310" s="7" t="s">
        <v>74</v>
      </c>
    </row>
    <row r="311" spans="1:2" ht="15.75" thickBot="1" x14ac:dyDescent="0.3">
      <c r="A311" s="6" t="s">
        <v>444</v>
      </c>
      <c r="B311" s="7" t="s">
        <v>72</v>
      </c>
    </row>
    <row r="312" spans="1:2" ht="15.75" thickBot="1" x14ac:dyDescent="0.3">
      <c r="A312" s="6" t="s">
        <v>445</v>
      </c>
      <c r="B312" s="7" t="s">
        <v>74</v>
      </c>
    </row>
    <row r="313" spans="1:2" ht="15.75" thickBot="1" x14ac:dyDescent="0.3">
      <c r="A313" s="6" t="s">
        <v>446</v>
      </c>
      <c r="B313" s="7" t="s">
        <v>76</v>
      </c>
    </row>
    <row r="314" spans="1:2" ht="15.75" thickBot="1" x14ac:dyDescent="0.3">
      <c r="A314" s="6" t="s">
        <v>447</v>
      </c>
      <c r="B314" s="7" t="s">
        <v>76</v>
      </c>
    </row>
    <row r="315" spans="1:2" ht="15.75" thickBot="1" x14ac:dyDescent="0.3">
      <c r="A315" s="6" t="s">
        <v>448</v>
      </c>
      <c r="B315" s="7" t="s">
        <v>70</v>
      </c>
    </row>
    <row r="316" spans="1:2" ht="15.75" thickBot="1" x14ac:dyDescent="0.3">
      <c r="A316" s="6" t="s">
        <v>449</v>
      </c>
      <c r="B316" s="7" t="s">
        <v>77</v>
      </c>
    </row>
    <row r="317" spans="1:2" ht="15.75" thickBot="1" x14ac:dyDescent="0.3">
      <c r="A317" s="6" t="s">
        <v>450</v>
      </c>
      <c r="B317" s="7" t="s">
        <v>76</v>
      </c>
    </row>
    <row r="318" spans="1:2" ht="15.75" thickBot="1" x14ac:dyDescent="0.3">
      <c r="A318" s="6" t="s">
        <v>451</v>
      </c>
      <c r="B318" s="7" t="s">
        <v>72</v>
      </c>
    </row>
    <row r="319" spans="1:2" ht="15.75" thickBot="1" x14ac:dyDescent="0.3">
      <c r="A319" s="6" t="s">
        <v>452</v>
      </c>
      <c r="B319" s="7" t="s">
        <v>76</v>
      </c>
    </row>
    <row r="320" spans="1:2" ht="15.75" thickBot="1" x14ac:dyDescent="0.3">
      <c r="A320" s="6" t="s">
        <v>453</v>
      </c>
      <c r="B320" s="7" t="s">
        <v>76</v>
      </c>
    </row>
    <row r="321" spans="1:2" ht="15.75" thickBot="1" x14ac:dyDescent="0.3">
      <c r="A321" s="6" t="s">
        <v>454</v>
      </c>
      <c r="B321" s="7" t="s">
        <v>76</v>
      </c>
    </row>
    <row r="322" spans="1:2" ht="15.75" thickBot="1" x14ac:dyDescent="0.3">
      <c r="A322" s="6" t="s">
        <v>455</v>
      </c>
      <c r="B322" s="7" t="s">
        <v>76</v>
      </c>
    </row>
    <row r="323" spans="1:2" ht="15.75" thickBot="1" x14ac:dyDescent="0.3">
      <c r="A323" s="6" t="s">
        <v>456</v>
      </c>
      <c r="B323" s="7" t="s">
        <v>76</v>
      </c>
    </row>
    <row r="324" spans="1:2" ht="15.75" thickBot="1" x14ac:dyDescent="0.3">
      <c r="A324" s="6" t="s">
        <v>457</v>
      </c>
      <c r="B324" s="7" t="s">
        <v>76</v>
      </c>
    </row>
    <row r="325" spans="1:2" ht="15.75" thickBot="1" x14ac:dyDescent="0.3">
      <c r="A325" s="6" t="s">
        <v>458</v>
      </c>
      <c r="B325" s="7" t="s">
        <v>76</v>
      </c>
    </row>
    <row r="326" spans="1:2" ht="15.75" thickBot="1" x14ac:dyDescent="0.3">
      <c r="A326" s="6" t="s">
        <v>459</v>
      </c>
      <c r="B326" s="7" t="s">
        <v>76</v>
      </c>
    </row>
    <row r="327" spans="1:2" ht="15.75" thickBot="1" x14ac:dyDescent="0.3">
      <c r="A327" s="6" t="s">
        <v>460</v>
      </c>
      <c r="B327" s="7" t="s">
        <v>74</v>
      </c>
    </row>
    <row r="328" spans="1:2" ht="15.75" thickBot="1" x14ac:dyDescent="0.3">
      <c r="A328" s="6" t="s">
        <v>461</v>
      </c>
      <c r="B328" s="7" t="s">
        <v>74</v>
      </c>
    </row>
    <row r="329" spans="1:2" ht="15.75" thickBot="1" x14ac:dyDescent="0.3">
      <c r="A329" s="6" t="s">
        <v>462</v>
      </c>
      <c r="B329" s="7" t="s">
        <v>70</v>
      </c>
    </row>
    <row r="330" spans="1:2" ht="15.75" thickBot="1" x14ac:dyDescent="0.3">
      <c r="A330" s="6" t="s">
        <v>463</v>
      </c>
      <c r="B330" s="7" t="s">
        <v>74</v>
      </c>
    </row>
    <row r="331" spans="1:2" ht="15.75" thickBot="1" x14ac:dyDescent="0.3">
      <c r="A331" s="6" t="s">
        <v>464</v>
      </c>
      <c r="B331" s="7" t="s">
        <v>74</v>
      </c>
    </row>
    <row r="332" spans="1:2" ht="15.75" thickBot="1" x14ac:dyDescent="0.3">
      <c r="A332" s="6" t="s">
        <v>465</v>
      </c>
      <c r="B332" s="7" t="s">
        <v>74</v>
      </c>
    </row>
    <row r="333" spans="1:2" ht="15.75" thickBot="1" x14ac:dyDescent="0.3">
      <c r="A333" s="6" t="s">
        <v>466</v>
      </c>
      <c r="B333" s="7" t="s">
        <v>71</v>
      </c>
    </row>
    <row r="334" spans="1:2" ht="15.75" thickBot="1" x14ac:dyDescent="0.3">
      <c r="A334" s="6" t="s">
        <v>467</v>
      </c>
      <c r="B334" s="7" t="s">
        <v>75</v>
      </c>
    </row>
    <row r="335" spans="1:2" ht="15.75" thickBot="1" x14ac:dyDescent="0.3">
      <c r="A335" s="6" t="s">
        <v>468</v>
      </c>
      <c r="B335" s="7" t="s">
        <v>73</v>
      </c>
    </row>
    <row r="336" spans="1:2" ht="15.75" thickBot="1" x14ac:dyDescent="0.3">
      <c r="A336" s="6" t="s">
        <v>469</v>
      </c>
      <c r="B336" s="7" t="s">
        <v>71</v>
      </c>
    </row>
    <row r="337" spans="1:2" ht="15.75" thickBot="1" x14ac:dyDescent="0.3">
      <c r="A337" s="6" t="s">
        <v>470</v>
      </c>
      <c r="B337" s="7" t="s">
        <v>76</v>
      </c>
    </row>
    <row r="338" spans="1:2" ht="15.75" thickBot="1" x14ac:dyDescent="0.3">
      <c r="A338" s="6" t="s">
        <v>471</v>
      </c>
      <c r="B338" s="7" t="s">
        <v>76</v>
      </c>
    </row>
    <row r="339" spans="1:2" ht="15.75" thickBot="1" x14ac:dyDescent="0.3">
      <c r="A339" s="6" t="s">
        <v>472</v>
      </c>
      <c r="B339" s="7" t="s">
        <v>76</v>
      </c>
    </row>
    <row r="340" spans="1:2" ht="15.75" thickBot="1" x14ac:dyDescent="0.3">
      <c r="A340" s="6" t="s">
        <v>473</v>
      </c>
      <c r="B340" s="7" t="s">
        <v>77</v>
      </c>
    </row>
    <row r="341" spans="1:2" ht="15.75" thickBot="1" x14ac:dyDescent="0.3">
      <c r="A341" s="6" t="s">
        <v>474</v>
      </c>
      <c r="B341" s="7" t="s">
        <v>76</v>
      </c>
    </row>
    <row r="342" spans="1:2" ht="15.75" thickBot="1" x14ac:dyDescent="0.3">
      <c r="A342" s="6" t="s">
        <v>475</v>
      </c>
      <c r="B342" s="7" t="s">
        <v>72</v>
      </c>
    </row>
    <row r="343" spans="1:2" ht="15.75" thickBot="1" x14ac:dyDescent="0.3">
      <c r="A343" s="6" t="s">
        <v>476</v>
      </c>
      <c r="B343" s="7" t="s">
        <v>74</v>
      </c>
    </row>
    <row r="344" spans="1:2" ht="15.75" thickBot="1" x14ac:dyDescent="0.3">
      <c r="A344" s="6" t="s">
        <v>477</v>
      </c>
      <c r="B344" s="7" t="s">
        <v>76</v>
      </c>
    </row>
    <row r="345" spans="1:2" ht="15.75" thickBot="1" x14ac:dyDescent="0.3">
      <c r="A345" s="6" t="s">
        <v>478</v>
      </c>
      <c r="B345" s="7" t="s">
        <v>76</v>
      </c>
    </row>
    <row r="346" spans="1:2" ht="15.75" thickBot="1" x14ac:dyDescent="0.3">
      <c r="A346" s="6" t="s">
        <v>479</v>
      </c>
      <c r="B346" s="7" t="s">
        <v>74</v>
      </c>
    </row>
    <row r="347" spans="1:2" ht="15.75" thickBot="1" x14ac:dyDescent="0.3">
      <c r="A347" s="6" t="s">
        <v>480</v>
      </c>
      <c r="B347" s="7" t="s">
        <v>74</v>
      </c>
    </row>
    <row r="348" spans="1:2" ht="15.75" thickBot="1" x14ac:dyDescent="0.3">
      <c r="A348" s="6" t="s">
        <v>481</v>
      </c>
      <c r="B348" s="7" t="s">
        <v>76</v>
      </c>
    </row>
    <row r="349" spans="1:2" ht="15.75" thickBot="1" x14ac:dyDescent="0.3">
      <c r="A349" s="6" t="s">
        <v>482</v>
      </c>
      <c r="B349" s="7" t="s">
        <v>76</v>
      </c>
    </row>
    <row r="350" spans="1:2" ht="15.75" thickBot="1" x14ac:dyDescent="0.3">
      <c r="A350" s="6" t="s">
        <v>483</v>
      </c>
      <c r="B350" s="7" t="s">
        <v>76</v>
      </c>
    </row>
    <row r="351" spans="1:2" ht="15.75" thickBot="1" x14ac:dyDescent="0.3">
      <c r="A351" s="6" t="s">
        <v>484</v>
      </c>
      <c r="B351" s="7" t="s">
        <v>76</v>
      </c>
    </row>
    <row r="352" spans="1:2" ht="15.75" thickBot="1" x14ac:dyDescent="0.3">
      <c r="A352" s="6" t="s">
        <v>485</v>
      </c>
      <c r="B352" s="7" t="s">
        <v>76</v>
      </c>
    </row>
    <row r="353" spans="1:2" ht="15.75" thickBot="1" x14ac:dyDescent="0.3">
      <c r="A353" s="6" t="s">
        <v>486</v>
      </c>
      <c r="B353" s="7" t="s">
        <v>76</v>
      </c>
    </row>
    <row r="354" spans="1:2" ht="15.75" thickBot="1" x14ac:dyDescent="0.3">
      <c r="A354" s="6" t="s">
        <v>487</v>
      </c>
      <c r="B354" s="7" t="s">
        <v>74</v>
      </c>
    </row>
    <row r="355" spans="1:2" ht="15.75" thickBot="1" x14ac:dyDescent="0.3">
      <c r="A355" s="6" t="s">
        <v>488</v>
      </c>
      <c r="B355" s="7" t="s">
        <v>74</v>
      </c>
    </row>
    <row r="356" spans="1:2" ht="15.75" thickBot="1" x14ac:dyDescent="0.3">
      <c r="A356" s="6" t="s">
        <v>489</v>
      </c>
      <c r="B356" s="7" t="s">
        <v>74</v>
      </c>
    </row>
    <row r="357" spans="1:2" ht="15.75" thickBot="1" x14ac:dyDescent="0.3">
      <c r="A357" s="6" t="s">
        <v>490</v>
      </c>
      <c r="B357" s="7" t="s">
        <v>74</v>
      </c>
    </row>
    <row r="358" spans="1:2" ht="15.75" thickBot="1" x14ac:dyDescent="0.3">
      <c r="A358" s="6" t="s">
        <v>491</v>
      </c>
      <c r="B358" s="7" t="s">
        <v>76</v>
      </c>
    </row>
    <row r="359" spans="1:2" ht="15.75" thickBot="1" x14ac:dyDescent="0.3">
      <c r="A359" s="6" t="s">
        <v>492</v>
      </c>
      <c r="B359" s="7" t="s">
        <v>74</v>
      </c>
    </row>
    <row r="360" spans="1:2" ht="15.75" thickBot="1" x14ac:dyDescent="0.3">
      <c r="A360" s="6" t="s">
        <v>493</v>
      </c>
      <c r="B360" s="7" t="s">
        <v>76</v>
      </c>
    </row>
    <row r="361" spans="1:2" ht="15.75" thickBot="1" x14ac:dyDescent="0.3">
      <c r="A361" s="6" t="s">
        <v>494</v>
      </c>
      <c r="B361" s="7" t="s">
        <v>76</v>
      </c>
    </row>
    <row r="362" spans="1:2" ht="15.75" thickBot="1" x14ac:dyDescent="0.3">
      <c r="A362" s="6" t="s">
        <v>495</v>
      </c>
      <c r="B362" s="7" t="s">
        <v>76</v>
      </c>
    </row>
    <row r="363" spans="1:2" ht="15.75" thickBot="1" x14ac:dyDescent="0.3">
      <c r="A363" s="6" t="s">
        <v>496</v>
      </c>
      <c r="B363" s="7" t="s">
        <v>76</v>
      </c>
    </row>
    <row r="364" spans="1:2" ht="15.75" thickBot="1" x14ac:dyDescent="0.3">
      <c r="A364" s="6" t="s">
        <v>497</v>
      </c>
      <c r="B364" s="7" t="s">
        <v>74</v>
      </c>
    </row>
    <row r="365" spans="1:2" ht="15.75" thickBot="1" x14ac:dyDescent="0.3">
      <c r="A365" s="6" t="s">
        <v>498</v>
      </c>
      <c r="B365" s="7" t="s">
        <v>76</v>
      </c>
    </row>
    <row r="366" spans="1:2" ht="15.75" thickBot="1" x14ac:dyDescent="0.3">
      <c r="A366" s="6" t="s">
        <v>499</v>
      </c>
      <c r="B366" s="7" t="s">
        <v>74</v>
      </c>
    </row>
    <row r="367" spans="1:2" ht="15.75" thickBot="1" x14ac:dyDescent="0.3">
      <c r="A367" s="6" t="s">
        <v>500</v>
      </c>
      <c r="B367" s="7" t="s">
        <v>76</v>
      </c>
    </row>
    <row r="368" spans="1:2" ht="15.75" thickBot="1" x14ac:dyDescent="0.3">
      <c r="A368" s="6" t="s">
        <v>501</v>
      </c>
      <c r="B368" s="7" t="s">
        <v>76</v>
      </c>
    </row>
    <row r="369" spans="1:2" ht="15.75" thickBot="1" x14ac:dyDescent="0.3">
      <c r="A369" s="6" t="s">
        <v>502</v>
      </c>
      <c r="B369" s="7" t="s">
        <v>76</v>
      </c>
    </row>
    <row r="370" spans="1:2" ht="15.75" thickBot="1" x14ac:dyDescent="0.3">
      <c r="A370" s="6" t="s">
        <v>503</v>
      </c>
      <c r="B370" s="7" t="s">
        <v>75</v>
      </c>
    </row>
    <row r="371" spans="1:2" ht="15.75" thickBot="1" x14ac:dyDescent="0.3">
      <c r="A371" s="6" t="s">
        <v>504</v>
      </c>
      <c r="B371" s="7" t="s">
        <v>76</v>
      </c>
    </row>
    <row r="372" spans="1:2" ht="15.75" thickBot="1" x14ac:dyDescent="0.3">
      <c r="A372" s="6" t="s">
        <v>505</v>
      </c>
      <c r="B372" s="7" t="s">
        <v>76</v>
      </c>
    </row>
    <row r="373" spans="1:2" ht="15.75" thickBot="1" x14ac:dyDescent="0.3">
      <c r="A373" s="6" t="s">
        <v>506</v>
      </c>
      <c r="B373" s="7" t="s">
        <v>72</v>
      </c>
    </row>
    <row r="374" spans="1:2" ht="15.75" thickBot="1" x14ac:dyDescent="0.3">
      <c r="A374" s="6" t="s">
        <v>507</v>
      </c>
      <c r="B374" s="7" t="s">
        <v>73</v>
      </c>
    </row>
    <row r="375" spans="1:2" ht="15.75" thickBot="1" x14ac:dyDescent="0.3">
      <c r="A375" s="6" t="s">
        <v>508</v>
      </c>
      <c r="B375" s="7" t="s">
        <v>71</v>
      </c>
    </row>
    <row r="376" spans="1:2" ht="15.75" thickBot="1" x14ac:dyDescent="0.3">
      <c r="A376" s="6" t="s">
        <v>509</v>
      </c>
      <c r="B376" s="7" t="s">
        <v>71</v>
      </c>
    </row>
    <row r="377" spans="1:2" ht="15.75" thickBot="1" x14ac:dyDescent="0.3">
      <c r="A377" s="6" t="s">
        <v>510</v>
      </c>
      <c r="B377" s="7" t="s">
        <v>75</v>
      </c>
    </row>
    <row r="378" spans="1:2" ht="15.75" thickBot="1" x14ac:dyDescent="0.3">
      <c r="A378" s="6" t="s">
        <v>511</v>
      </c>
      <c r="B378" s="7" t="s">
        <v>75</v>
      </c>
    </row>
    <row r="379" spans="1:2" ht="15.75" thickBot="1" x14ac:dyDescent="0.3">
      <c r="A379" s="6" t="s">
        <v>512</v>
      </c>
      <c r="B379" s="7" t="s">
        <v>73</v>
      </c>
    </row>
    <row r="380" spans="1:2" ht="15.75" thickBot="1" x14ac:dyDescent="0.3">
      <c r="A380" s="6" t="s">
        <v>513</v>
      </c>
      <c r="B380" s="7" t="s">
        <v>75</v>
      </c>
    </row>
    <row r="381" spans="1:2" ht="15.75" thickBot="1" x14ac:dyDescent="0.3">
      <c r="A381" s="6" t="s">
        <v>514</v>
      </c>
      <c r="B381" s="7" t="s">
        <v>76</v>
      </c>
    </row>
    <row r="382" spans="1:2" ht="15.75" thickBot="1" x14ac:dyDescent="0.3">
      <c r="A382" s="8" t="s">
        <v>515</v>
      </c>
      <c r="B382" s="7" t="s">
        <v>74</v>
      </c>
    </row>
    <row r="383" spans="1:2" ht="15.75" thickBot="1" x14ac:dyDescent="0.3">
      <c r="A383" s="6" t="s">
        <v>516</v>
      </c>
      <c r="B383" s="7" t="s">
        <v>75</v>
      </c>
    </row>
    <row r="384" spans="1:2" ht="15.75" thickBot="1" x14ac:dyDescent="0.3">
      <c r="A384" s="6" t="s">
        <v>517</v>
      </c>
      <c r="B384" s="7" t="s">
        <v>73</v>
      </c>
    </row>
    <row r="385" spans="1:2" ht="15.75" thickBot="1" x14ac:dyDescent="0.3">
      <c r="A385" s="6" t="s">
        <v>518</v>
      </c>
      <c r="B385" s="7" t="s">
        <v>75</v>
      </c>
    </row>
    <row r="386" spans="1:2" ht="15.75" thickBot="1" x14ac:dyDescent="0.3">
      <c r="A386" s="6" t="s">
        <v>519</v>
      </c>
      <c r="B386" s="7" t="s">
        <v>75</v>
      </c>
    </row>
    <row r="387" spans="1:2" ht="15.75" thickBot="1" x14ac:dyDescent="0.3">
      <c r="A387" s="6" t="s">
        <v>520</v>
      </c>
      <c r="B387" s="7" t="s">
        <v>73</v>
      </c>
    </row>
    <row r="388" spans="1:2" ht="15.75" thickBot="1" x14ac:dyDescent="0.3">
      <c r="A388" s="6" t="s">
        <v>521</v>
      </c>
      <c r="B388" s="7" t="s">
        <v>72</v>
      </c>
    </row>
    <row r="389" spans="1:2" ht="15.75" thickBot="1" x14ac:dyDescent="0.3">
      <c r="A389" s="6" t="s">
        <v>522</v>
      </c>
      <c r="B389" s="7" t="s">
        <v>73</v>
      </c>
    </row>
    <row r="390" spans="1:2" ht="15.75" thickBot="1" x14ac:dyDescent="0.3">
      <c r="A390" s="6" t="s">
        <v>523</v>
      </c>
      <c r="B390" s="7" t="s">
        <v>73</v>
      </c>
    </row>
    <row r="391" spans="1:2" ht="15.75" thickBot="1" x14ac:dyDescent="0.3">
      <c r="A391" s="6" t="s">
        <v>524</v>
      </c>
      <c r="B391" s="7" t="s">
        <v>76</v>
      </c>
    </row>
    <row r="392" spans="1:2" ht="15.75" thickBot="1" x14ac:dyDescent="0.3">
      <c r="A392" s="6" t="s">
        <v>525</v>
      </c>
      <c r="B392" s="7" t="s">
        <v>76</v>
      </c>
    </row>
    <row r="393" spans="1:2" ht="15.75" thickBot="1" x14ac:dyDescent="0.3">
      <c r="A393" s="6" t="s">
        <v>526</v>
      </c>
      <c r="B393" s="7" t="s">
        <v>76</v>
      </c>
    </row>
    <row r="394" spans="1:2" ht="15.75" thickBot="1" x14ac:dyDescent="0.3">
      <c r="A394" s="6" t="s">
        <v>527</v>
      </c>
      <c r="B394" s="7" t="s">
        <v>76</v>
      </c>
    </row>
    <row r="395" spans="1:2" ht="15.75" thickBot="1" x14ac:dyDescent="0.3">
      <c r="A395" s="6" t="s">
        <v>528</v>
      </c>
      <c r="B395" s="7" t="s">
        <v>75</v>
      </c>
    </row>
    <row r="396" spans="1:2" ht="15.75" thickBot="1" x14ac:dyDescent="0.3">
      <c r="A396" s="6" t="s">
        <v>529</v>
      </c>
      <c r="B396" s="7" t="s">
        <v>71</v>
      </c>
    </row>
    <row r="397" spans="1:2" ht="15.75" thickBot="1" x14ac:dyDescent="0.3">
      <c r="A397" s="6" t="s">
        <v>530</v>
      </c>
      <c r="B397" s="7" t="s">
        <v>74</v>
      </c>
    </row>
    <row r="398" spans="1:2" ht="15.75" thickBot="1" x14ac:dyDescent="0.3">
      <c r="A398" s="6" t="s">
        <v>531</v>
      </c>
      <c r="B398" s="7" t="s">
        <v>73</v>
      </c>
    </row>
    <row r="399" spans="1:2" ht="15.75" thickBot="1" x14ac:dyDescent="0.3">
      <c r="A399" s="6" t="s">
        <v>532</v>
      </c>
      <c r="B399" s="7" t="s">
        <v>76</v>
      </c>
    </row>
    <row r="400" spans="1:2" ht="15.75" thickBot="1" x14ac:dyDescent="0.3">
      <c r="A400" s="6" t="s">
        <v>533</v>
      </c>
      <c r="B400" s="7" t="s">
        <v>534</v>
      </c>
    </row>
    <row r="401" spans="1:2" ht="15.75" thickBot="1" x14ac:dyDescent="0.3">
      <c r="A401" s="6" t="s">
        <v>535</v>
      </c>
      <c r="B401" s="7" t="s">
        <v>74</v>
      </c>
    </row>
    <row r="402" spans="1:2" ht="15.75" thickBot="1" x14ac:dyDescent="0.3">
      <c r="A402" s="6" t="s">
        <v>536</v>
      </c>
      <c r="B402" s="7" t="s">
        <v>74</v>
      </c>
    </row>
    <row r="403" spans="1:2" ht="15.75" thickBot="1" x14ac:dyDescent="0.3">
      <c r="A403" s="6" t="s">
        <v>537</v>
      </c>
      <c r="B403" s="7" t="s">
        <v>74</v>
      </c>
    </row>
    <row r="404" spans="1:2" ht="15.75" thickBot="1" x14ac:dyDescent="0.3">
      <c r="A404" s="6" t="s">
        <v>538</v>
      </c>
      <c r="B404" s="7" t="s">
        <v>74</v>
      </c>
    </row>
    <row r="405" spans="1:2" ht="15.75" thickBot="1" x14ac:dyDescent="0.3">
      <c r="A405" s="6" t="s">
        <v>539</v>
      </c>
      <c r="B405" s="7" t="s">
        <v>74</v>
      </c>
    </row>
    <row r="406" spans="1:2" ht="15.75" thickBot="1" x14ac:dyDescent="0.3">
      <c r="A406" s="6" t="s">
        <v>540</v>
      </c>
      <c r="B406" s="7" t="s">
        <v>73</v>
      </c>
    </row>
    <row r="407" spans="1:2" ht="15.75" thickBot="1" x14ac:dyDescent="0.3">
      <c r="A407" s="6" t="s">
        <v>541</v>
      </c>
      <c r="B407" s="7" t="s">
        <v>72</v>
      </c>
    </row>
    <row r="408" spans="1:2" ht="15.75" thickBot="1" x14ac:dyDescent="0.3">
      <c r="A408" s="6" t="s">
        <v>542</v>
      </c>
      <c r="B408" s="7" t="s">
        <v>76</v>
      </c>
    </row>
    <row r="409" spans="1:2" ht="15.75" thickBot="1" x14ac:dyDescent="0.3">
      <c r="A409" s="6" t="s">
        <v>543</v>
      </c>
      <c r="B409" s="7" t="s">
        <v>76</v>
      </c>
    </row>
    <row r="410" spans="1:2" ht="15.75" thickBot="1" x14ac:dyDescent="0.3">
      <c r="A410" s="6" t="s">
        <v>544</v>
      </c>
      <c r="B410" s="7" t="s">
        <v>72</v>
      </c>
    </row>
    <row r="411" spans="1:2" ht="15.75" thickBot="1" x14ac:dyDescent="0.3">
      <c r="A411" s="6" t="s">
        <v>545</v>
      </c>
      <c r="B411" s="7" t="s">
        <v>76</v>
      </c>
    </row>
    <row r="412" spans="1:2" ht="15.75" thickBot="1" x14ac:dyDescent="0.3">
      <c r="A412" s="6" t="s">
        <v>546</v>
      </c>
      <c r="B412" s="7" t="s">
        <v>72</v>
      </c>
    </row>
    <row r="413" spans="1:2" ht="15.75" thickBot="1" x14ac:dyDescent="0.3">
      <c r="A413" s="6" t="s">
        <v>547</v>
      </c>
      <c r="B413" s="7" t="s">
        <v>76</v>
      </c>
    </row>
    <row r="414" spans="1:2" ht="15.75" thickBot="1" x14ac:dyDescent="0.3">
      <c r="A414" s="6" t="s">
        <v>548</v>
      </c>
      <c r="B414" s="7" t="s">
        <v>76</v>
      </c>
    </row>
    <row r="415" spans="1:2" ht="15.75" thickBot="1" x14ac:dyDescent="0.3">
      <c r="A415" s="6" t="s">
        <v>549</v>
      </c>
      <c r="B415" s="7" t="s">
        <v>76</v>
      </c>
    </row>
    <row r="416" spans="1:2" ht="15.75" thickBot="1" x14ac:dyDescent="0.3">
      <c r="A416" s="6" t="s">
        <v>550</v>
      </c>
      <c r="B416" s="7" t="s">
        <v>76</v>
      </c>
    </row>
    <row r="417" spans="1:2" ht="15.75" thickBot="1" x14ac:dyDescent="0.3">
      <c r="A417" s="6" t="s">
        <v>551</v>
      </c>
      <c r="B417" s="7" t="s">
        <v>76</v>
      </c>
    </row>
    <row r="418" spans="1:2" ht="15.75" thickBot="1" x14ac:dyDescent="0.3">
      <c r="A418" s="6" t="s">
        <v>552</v>
      </c>
      <c r="B418" s="7" t="s">
        <v>76</v>
      </c>
    </row>
    <row r="419" spans="1:2" ht="15.75" thickBot="1" x14ac:dyDescent="0.3">
      <c r="A419" s="6" t="s">
        <v>553</v>
      </c>
      <c r="B419" s="7" t="s">
        <v>76</v>
      </c>
    </row>
    <row r="420" spans="1:2" ht="15.75" thickBot="1" x14ac:dyDescent="0.3">
      <c r="A420" s="6" t="s">
        <v>554</v>
      </c>
      <c r="B420" s="7" t="s">
        <v>76</v>
      </c>
    </row>
    <row r="421" spans="1:2" ht="15.75" thickBot="1" x14ac:dyDescent="0.3">
      <c r="A421" s="6" t="s">
        <v>555</v>
      </c>
      <c r="B421" s="7" t="s">
        <v>76</v>
      </c>
    </row>
    <row r="422" spans="1:2" ht="15.75" thickBot="1" x14ac:dyDescent="0.3">
      <c r="A422" s="6" t="s">
        <v>556</v>
      </c>
      <c r="B422" s="7" t="s">
        <v>72</v>
      </c>
    </row>
    <row r="423" spans="1:2" ht="15.75" thickBot="1" x14ac:dyDescent="0.3">
      <c r="A423" s="6" t="s">
        <v>557</v>
      </c>
      <c r="B423" s="7" t="s">
        <v>73</v>
      </c>
    </row>
    <row r="424" spans="1:2" ht="15.75" thickBot="1" x14ac:dyDescent="0.3">
      <c r="A424" s="6" t="s">
        <v>558</v>
      </c>
      <c r="B424" s="7" t="s">
        <v>75</v>
      </c>
    </row>
    <row r="425" spans="1:2" ht="15.75" thickBot="1" x14ac:dyDescent="0.3">
      <c r="A425" s="6" t="s">
        <v>559</v>
      </c>
      <c r="B425" s="7" t="s">
        <v>77</v>
      </c>
    </row>
    <row r="426" spans="1:2" ht="15.75" thickBot="1" x14ac:dyDescent="0.3">
      <c r="A426" s="6" t="s">
        <v>560</v>
      </c>
      <c r="B426" s="7" t="s">
        <v>74</v>
      </c>
    </row>
    <row r="427" spans="1:2" ht="15.75" thickBot="1" x14ac:dyDescent="0.3">
      <c r="A427" s="6" t="s">
        <v>561</v>
      </c>
      <c r="B427" s="7" t="s">
        <v>74</v>
      </c>
    </row>
    <row r="428" spans="1:2" ht="15.75" thickBot="1" x14ac:dyDescent="0.3">
      <c r="A428" s="6" t="s">
        <v>562</v>
      </c>
      <c r="B428" s="7" t="s">
        <v>74</v>
      </c>
    </row>
    <row r="429" spans="1:2" ht="15.75" thickBot="1" x14ac:dyDescent="0.3">
      <c r="A429" s="6" t="s">
        <v>563</v>
      </c>
      <c r="B429" s="7" t="s">
        <v>74</v>
      </c>
    </row>
    <row r="430" spans="1:2" ht="15.75" thickBot="1" x14ac:dyDescent="0.3">
      <c r="A430" s="6" t="s">
        <v>564</v>
      </c>
      <c r="B430" s="7" t="s">
        <v>74</v>
      </c>
    </row>
    <row r="431" spans="1:2" ht="15.75" thickBot="1" x14ac:dyDescent="0.3">
      <c r="A431" s="6" t="s">
        <v>565</v>
      </c>
      <c r="B431" s="7" t="s">
        <v>74</v>
      </c>
    </row>
    <row r="432" spans="1:2" ht="15.75" thickBot="1" x14ac:dyDescent="0.3">
      <c r="A432" s="6" t="s">
        <v>566</v>
      </c>
      <c r="B432" s="7" t="s">
        <v>74</v>
      </c>
    </row>
    <row r="433" spans="1:2" ht="15.75" thickBot="1" x14ac:dyDescent="0.3">
      <c r="A433" s="6" t="s">
        <v>567</v>
      </c>
      <c r="B433" s="7" t="s">
        <v>74</v>
      </c>
    </row>
    <row r="434" spans="1:2" ht="15.75" thickBot="1" x14ac:dyDescent="0.3">
      <c r="A434" s="6" t="s">
        <v>568</v>
      </c>
      <c r="B434" s="7" t="s">
        <v>74</v>
      </c>
    </row>
    <row r="435" spans="1:2" ht="15.75" thickBot="1" x14ac:dyDescent="0.3">
      <c r="A435" s="6" t="s">
        <v>569</v>
      </c>
      <c r="B435" s="7" t="s">
        <v>74</v>
      </c>
    </row>
    <row r="436" spans="1:2" ht="15.75" thickBot="1" x14ac:dyDescent="0.3">
      <c r="A436" s="6" t="s">
        <v>570</v>
      </c>
      <c r="B436" s="7" t="s">
        <v>74</v>
      </c>
    </row>
    <row r="437" spans="1:2" ht="15.75" thickBot="1" x14ac:dyDescent="0.3">
      <c r="A437" s="6" t="s">
        <v>571</v>
      </c>
      <c r="B437" s="7" t="s">
        <v>74</v>
      </c>
    </row>
    <row r="438" spans="1:2" ht="15.75" thickBot="1" x14ac:dyDescent="0.3">
      <c r="A438" s="6" t="s">
        <v>572</v>
      </c>
      <c r="B438" s="7" t="s">
        <v>72</v>
      </c>
    </row>
    <row r="439" spans="1:2" ht="15.75" thickBot="1" x14ac:dyDescent="0.3">
      <c r="A439" s="6" t="s">
        <v>573</v>
      </c>
      <c r="B439" s="7" t="s">
        <v>72</v>
      </c>
    </row>
    <row r="440" spans="1:2" ht="15.75" thickBot="1" x14ac:dyDescent="0.3">
      <c r="A440" s="6" t="s">
        <v>574</v>
      </c>
      <c r="B440" s="7" t="s">
        <v>72</v>
      </c>
    </row>
    <row r="441" spans="1:2" ht="15.75" thickBot="1" x14ac:dyDescent="0.3">
      <c r="A441" s="6" t="s">
        <v>575</v>
      </c>
      <c r="B441" s="7" t="s">
        <v>70</v>
      </c>
    </row>
    <row r="442" spans="1:2" ht="15.75" thickBot="1" x14ac:dyDescent="0.3">
      <c r="A442" s="6" t="s">
        <v>576</v>
      </c>
      <c r="B442" s="7" t="s">
        <v>76</v>
      </c>
    </row>
    <row r="443" spans="1:2" ht="15.75" thickBot="1" x14ac:dyDescent="0.3">
      <c r="A443" s="6" t="s">
        <v>577</v>
      </c>
      <c r="B443" s="7" t="s">
        <v>76</v>
      </c>
    </row>
    <row r="444" spans="1:2" ht="15.75" thickBot="1" x14ac:dyDescent="0.3">
      <c r="A444" s="6" t="s">
        <v>578</v>
      </c>
      <c r="B444" s="7" t="s">
        <v>73</v>
      </c>
    </row>
    <row r="445" spans="1:2" ht="15.75" thickBot="1" x14ac:dyDescent="0.3">
      <c r="A445" s="6" t="s">
        <v>579</v>
      </c>
      <c r="B445" s="7" t="s">
        <v>76</v>
      </c>
    </row>
    <row r="446" spans="1:2" ht="15.75" thickBot="1" x14ac:dyDescent="0.3">
      <c r="A446" s="6" t="s">
        <v>580</v>
      </c>
      <c r="B446" s="7" t="s">
        <v>73</v>
      </c>
    </row>
    <row r="447" spans="1:2" ht="15.75" thickBot="1" x14ac:dyDescent="0.3">
      <c r="A447" s="6" t="s">
        <v>581</v>
      </c>
      <c r="B447" s="7" t="s">
        <v>76</v>
      </c>
    </row>
    <row r="448" spans="1:2" ht="15.75" thickBot="1" x14ac:dyDescent="0.3">
      <c r="A448" s="6" t="s">
        <v>582</v>
      </c>
      <c r="B448" s="7" t="s">
        <v>76</v>
      </c>
    </row>
    <row r="449" spans="1:2" ht="15.75" thickBot="1" x14ac:dyDescent="0.3">
      <c r="A449" s="6" t="s">
        <v>583</v>
      </c>
      <c r="B449" s="7" t="s">
        <v>76</v>
      </c>
    </row>
    <row r="450" spans="1:2" ht="15.75" thickBot="1" x14ac:dyDescent="0.3">
      <c r="A450" s="6" t="s">
        <v>584</v>
      </c>
      <c r="B450" s="7" t="s">
        <v>76</v>
      </c>
    </row>
    <row r="451" spans="1:2" ht="15.75" thickBot="1" x14ac:dyDescent="0.3">
      <c r="A451" s="6" t="s">
        <v>585</v>
      </c>
      <c r="B451" s="7" t="s">
        <v>71</v>
      </c>
    </row>
    <row r="452" spans="1:2" ht="15.75" thickBot="1" x14ac:dyDescent="0.3">
      <c r="A452" s="6" t="s">
        <v>586</v>
      </c>
      <c r="B452" s="7" t="s">
        <v>76</v>
      </c>
    </row>
    <row r="453" spans="1:2" ht="15.75" thickBot="1" x14ac:dyDescent="0.3">
      <c r="A453" s="6" t="s">
        <v>587</v>
      </c>
      <c r="B453" s="7" t="s">
        <v>72</v>
      </c>
    </row>
    <row r="454" spans="1:2" ht="15.75" thickBot="1" x14ac:dyDescent="0.3">
      <c r="A454" s="6" t="s">
        <v>588</v>
      </c>
      <c r="B454" s="7" t="s">
        <v>72</v>
      </c>
    </row>
    <row r="455" spans="1:2" ht="15.75" thickBot="1" x14ac:dyDescent="0.3">
      <c r="A455" s="6" t="s">
        <v>589</v>
      </c>
      <c r="B455" s="7" t="s">
        <v>72</v>
      </c>
    </row>
    <row r="456" spans="1:2" ht="15.75" thickBot="1" x14ac:dyDescent="0.3">
      <c r="A456" s="6" t="s">
        <v>590</v>
      </c>
      <c r="B456" s="7" t="s">
        <v>74</v>
      </c>
    </row>
    <row r="457" spans="1:2" ht="15.75" thickBot="1" x14ac:dyDescent="0.3">
      <c r="A457" s="6" t="s">
        <v>591</v>
      </c>
      <c r="B457" s="7" t="s">
        <v>74</v>
      </c>
    </row>
    <row r="458" spans="1:2" ht="15.75" thickBot="1" x14ac:dyDescent="0.3">
      <c r="A458" s="6" t="s">
        <v>592</v>
      </c>
      <c r="B458" s="7" t="s">
        <v>76</v>
      </c>
    </row>
    <row r="459" spans="1:2" ht="15.75" thickBot="1" x14ac:dyDescent="0.3">
      <c r="A459" s="6" t="s">
        <v>593</v>
      </c>
      <c r="B459" s="7" t="s">
        <v>73</v>
      </c>
    </row>
    <row r="460" spans="1:2" ht="15.75" thickBot="1" x14ac:dyDescent="0.3">
      <c r="A460" s="6" t="s">
        <v>594</v>
      </c>
      <c r="B460" s="7" t="s">
        <v>76</v>
      </c>
    </row>
    <row r="461" spans="1:2" ht="15.75" thickBot="1" x14ac:dyDescent="0.3">
      <c r="A461" s="6" t="s">
        <v>595</v>
      </c>
      <c r="B461" s="7" t="s">
        <v>76</v>
      </c>
    </row>
    <row r="462" spans="1:2" ht="15.75" thickBot="1" x14ac:dyDescent="0.3">
      <c r="A462" s="6" t="s">
        <v>596</v>
      </c>
      <c r="B462" s="7" t="s">
        <v>76</v>
      </c>
    </row>
    <row r="463" spans="1:2" ht="15.75" thickBot="1" x14ac:dyDescent="0.3">
      <c r="A463" s="6" t="s">
        <v>597</v>
      </c>
      <c r="B463" s="7" t="s">
        <v>76</v>
      </c>
    </row>
    <row r="464" spans="1:2" ht="15.75" thickBot="1" x14ac:dyDescent="0.3">
      <c r="A464" s="6" t="s">
        <v>598</v>
      </c>
      <c r="B464" s="7" t="s">
        <v>76</v>
      </c>
    </row>
    <row r="465" spans="1:2" ht="15.75" thickBot="1" x14ac:dyDescent="0.3">
      <c r="A465" s="6" t="s">
        <v>599</v>
      </c>
      <c r="B465" s="7" t="s">
        <v>76</v>
      </c>
    </row>
    <row r="466" spans="1:2" ht="15.75" thickBot="1" x14ac:dyDescent="0.3">
      <c r="A466" s="6" t="s">
        <v>600</v>
      </c>
      <c r="B466" s="7" t="s">
        <v>76</v>
      </c>
    </row>
    <row r="467" spans="1:2" ht="15.75" thickBot="1" x14ac:dyDescent="0.3">
      <c r="A467" s="6" t="s">
        <v>601</v>
      </c>
      <c r="B467" s="7" t="s">
        <v>76</v>
      </c>
    </row>
    <row r="468" spans="1:2" ht="15.75" thickBot="1" x14ac:dyDescent="0.3">
      <c r="A468" s="6" t="s">
        <v>602</v>
      </c>
      <c r="B468" s="7" t="s">
        <v>73</v>
      </c>
    </row>
    <row r="469" spans="1:2" ht="15.75" thickBot="1" x14ac:dyDescent="0.3">
      <c r="A469" s="6" t="s">
        <v>603</v>
      </c>
      <c r="B469" s="7" t="s">
        <v>76</v>
      </c>
    </row>
    <row r="470" spans="1:2" ht="15.75" thickBot="1" x14ac:dyDescent="0.3">
      <c r="A470" s="6" t="s">
        <v>604</v>
      </c>
      <c r="B470" s="7" t="s">
        <v>76</v>
      </c>
    </row>
    <row r="471" spans="1:2" ht="15.75" thickBot="1" x14ac:dyDescent="0.3">
      <c r="A471" s="6" t="s">
        <v>605</v>
      </c>
      <c r="B471" s="7" t="s">
        <v>73</v>
      </c>
    </row>
    <row r="472" spans="1:2" ht="15.75" thickBot="1" x14ac:dyDescent="0.3">
      <c r="A472" s="6" t="s">
        <v>606</v>
      </c>
      <c r="B472" s="7" t="s">
        <v>534</v>
      </c>
    </row>
    <row r="473" spans="1:2" ht="15.75" thickBot="1" x14ac:dyDescent="0.3">
      <c r="A473" s="6" t="s">
        <v>607</v>
      </c>
      <c r="B473" s="7" t="s">
        <v>72</v>
      </c>
    </row>
    <row r="474" spans="1:2" ht="15.75" thickBot="1" x14ac:dyDescent="0.3">
      <c r="A474" s="6" t="s">
        <v>608</v>
      </c>
      <c r="B474" s="7" t="s">
        <v>72</v>
      </c>
    </row>
    <row r="475" spans="1:2" ht="15.75" thickBot="1" x14ac:dyDescent="0.3">
      <c r="A475" s="6" t="s">
        <v>609</v>
      </c>
      <c r="B475" s="7" t="s">
        <v>72</v>
      </c>
    </row>
    <row r="476" spans="1:2" ht="15.75" thickBot="1" x14ac:dyDescent="0.3">
      <c r="A476" s="6" t="s">
        <v>610</v>
      </c>
      <c r="B476" s="7" t="s">
        <v>72</v>
      </c>
    </row>
    <row r="477" spans="1:2" ht="15.75" thickBot="1" x14ac:dyDescent="0.3">
      <c r="A477" s="6" t="s">
        <v>611</v>
      </c>
      <c r="B477" s="7" t="s">
        <v>73</v>
      </c>
    </row>
    <row r="478" spans="1:2" ht="15.75" thickBot="1" x14ac:dyDescent="0.3">
      <c r="A478" s="6" t="s">
        <v>612</v>
      </c>
      <c r="B478" s="7" t="s">
        <v>76</v>
      </c>
    </row>
    <row r="479" spans="1:2" ht="15.75" thickBot="1" x14ac:dyDescent="0.3">
      <c r="A479" s="6" t="s">
        <v>613</v>
      </c>
      <c r="B479" s="7" t="s">
        <v>76</v>
      </c>
    </row>
    <row r="480" spans="1:2" ht="15.75" thickBot="1" x14ac:dyDescent="0.3">
      <c r="A480" s="6" t="s">
        <v>614</v>
      </c>
      <c r="B480" s="7" t="s">
        <v>76</v>
      </c>
    </row>
    <row r="481" spans="1:2" ht="15.75" thickBot="1" x14ac:dyDescent="0.3">
      <c r="A481" s="6" t="s">
        <v>615</v>
      </c>
      <c r="B481" s="7" t="s">
        <v>73</v>
      </c>
    </row>
    <row r="482" spans="1:2" ht="15.75" thickBot="1" x14ac:dyDescent="0.3">
      <c r="A482" s="6" t="s">
        <v>616</v>
      </c>
      <c r="B482" s="7" t="s">
        <v>73</v>
      </c>
    </row>
    <row r="483" spans="1:2" ht="15.75" thickBot="1" x14ac:dyDescent="0.3">
      <c r="A483" s="6" t="s">
        <v>617</v>
      </c>
      <c r="B483" s="7" t="s">
        <v>73</v>
      </c>
    </row>
    <row r="484" spans="1:2" ht="15.75" thickBot="1" x14ac:dyDescent="0.3">
      <c r="A484" s="6" t="s">
        <v>618</v>
      </c>
      <c r="B484" s="7" t="s">
        <v>76</v>
      </c>
    </row>
    <row r="485" spans="1:2" ht="15.75" thickBot="1" x14ac:dyDescent="0.3">
      <c r="A485" s="6" t="s">
        <v>619</v>
      </c>
      <c r="B485" s="7" t="s">
        <v>72</v>
      </c>
    </row>
    <row r="486" spans="1:2" ht="15.75" thickBot="1" x14ac:dyDescent="0.3">
      <c r="A486" s="6" t="s">
        <v>620</v>
      </c>
      <c r="B486" s="7" t="s">
        <v>75</v>
      </c>
    </row>
    <row r="487" spans="1:2" ht="15.75" thickBot="1" x14ac:dyDescent="0.3">
      <c r="A487" s="6" t="s">
        <v>621</v>
      </c>
      <c r="B487" s="7" t="s">
        <v>71</v>
      </c>
    </row>
    <row r="488" spans="1:2" ht="15.75" thickBot="1" x14ac:dyDescent="0.3">
      <c r="A488" s="6" t="s">
        <v>622</v>
      </c>
      <c r="B488" s="7" t="s">
        <v>76</v>
      </c>
    </row>
    <row r="489" spans="1:2" ht="15.75" thickBot="1" x14ac:dyDescent="0.3">
      <c r="A489" s="6" t="s">
        <v>623</v>
      </c>
      <c r="B489" s="7" t="s">
        <v>76</v>
      </c>
    </row>
    <row r="490" spans="1:2" ht="15.75" thickBot="1" x14ac:dyDescent="0.3">
      <c r="A490" s="6" t="s">
        <v>624</v>
      </c>
      <c r="B490" s="7" t="s">
        <v>76</v>
      </c>
    </row>
    <row r="491" spans="1:2" ht="15.75" thickBot="1" x14ac:dyDescent="0.3">
      <c r="A491" s="6" t="s">
        <v>625</v>
      </c>
      <c r="B491" s="7" t="s">
        <v>76</v>
      </c>
    </row>
    <row r="492" spans="1:2" ht="15.75" thickBot="1" x14ac:dyDescent="0.3">
      <c r="A492" s="6" t="s">
        <v>626</v>
      </c>
      <c r="B492" s="7" t="s">
        <v>76</v>
      </c>
    </row>
    <row r="493" spans="1:2" ht="15.75" thickBot="1" x14ac:dyDescent="0.3">
      <c r="A493" s="6" t="s">
        <v>627</v>
      </c>
      <c r="B493" s="7" t="s">
        <v>76</v>
      </c>
    </row>
    <row r="494" spans="1:2" ht="15.75" thickBot="1" x14ac:dyDescent="0.3">
      <c r="A494" s="6" t="s">
        <v>628</v>
      </c>
      <c r="B494" s="7" t="s">
        <v>76</v>
      </c>
    </row>
    <row r="495" spans="1:2" ht="15.75" thickBot="1" x14ac:dyDescent="0.3">
      <c r="A495" s="6" t="s">
        <v>629</v>
      </c>
      <c r="B495" s="7" t="s">
        <v>76</v>
      </c>
    </row>
    <row r="496" spans="1:2" ht="15.75" thickBot="1" x14ac:dyDescent="0.3">
      <c r="A496" s="6" t="s">
        <v>630</v>
      </c>
      <c r="B496" s="7" t="s">
        <v>76</v>
      </c>
    </row>
    <row r="497" spans="1:2" ht="15.75" thickBot="1" x14ac:dyDescent="0.3">
      <c r="A497" s="6" t="s">
        <v>631</v>
      </c>
      <c r="B497" s="7" t="s">
        <v>74</v>
      </c>
    </row>
    <row r="498" spans="1:2" ht="15.75" thickBot="1" x14ac:dyDescent="0.3">
      <c r="A498" s="6" t="s">
        <v>632</v>
      </c>
      <c r="B498" s="7" t="s">
        <v>74</v>
      </c>
    </row>
    <row r="499" spans="1:2" ht="15.75" thickBot="1" x14ac:dyDescent="0.3">
      <c r="A499" s="6" t="s">
        <v>633</v>
      </c>
      <c r="B499" s="7" t="s">
        <v>75</v>
      </c>
    </row>
    <row r="500" spans="1:2" ht="15.75" thickBot="1" x14ac:dyDescent="0.3">
      <c r="A500" s="6" t="s">
        <v>634</v>
      </c>
      <c r="B500" s="7" t="s">
        <v>76</v>
      </c>
    </row>
    <row r="501" spans="1:2" ht="15.75" thickBot="1" x14ac:dyDescent="0.3">
      <c r="A501" s="6" t="s">
        <v>635</v>
      </c>
      <c r="B501" s="7" t="s">
        <v>71</v>
      </c>
    </row>
    <row r="502" spans="1:2" ht="15.75" thickBot="1" x14ac:dyDescent="0.3">
      <c r="A502" s="6" t="s">
        <v>636</v>
      </c>
      <c r="B502" s="7" t="s">
        <v>75</v>
      </c>
    </row>
    <row r="503" spans="1:2" ht="15.75" thickBot="1" x14ac:dyDescent="0.3">
      <c r="A503" s="6" t="s">
        <v>637</v>
      </c>
      <c r="B503" s="7" t="s">
        <v>75</v>
      </c>
    </row>
    <row r="504" spans="1:2" ht="15.75" thickBot="1" x14ac:dyDescent="0.3">
      <c r="A504" s="6" t="s">
        <v>638</v>
      </c>
      <c r="B504" s="7" t="s">
        <v>75</v>
      </c>
    </row>
    <row r="505" spans="1:2" ht="15.75" thickBot="1" x14ac:dyDescent="0.3">
      <c r="A505" s="6" t="s">
        <v>639</v>
      </c>
      <c r="B505" s="7" t="s">
        <v>76</v>
      </c>
    </row>
    <row r="506" spans="1:2" ht="15.75" thickBot="1" x14ac:dyDescent="0.3">
      <c r="A506" s="6" t="s">
        <v>640</v>
      </c>
      <c r="B506" s="7" t="s">
        <v>76</v>
      </c>
    </row>
    <row r="507" spans="1:2" ht="15.75" thickBot="1" x14ac:dyDescent="0.3">
      <c r="A507" s="6" t="s">
        <v>641</v>
      </c>
      <c r="B507" s="7" t="s">
        <v>76</v>
      </c>
    </row>
    <row r="508" spans="1:2" ht="15.75" thickBot="1" x14ac:dyDescent="0.3">
      <c r="A508" s="6" t="s">
        <v>642</v>
      </c>
      <c r="B508" s="7" t="s">
        <v>73</v>
      </c>
    </row>
    <row r="509" spans="1:2" ht="15.75" thickBot="1" x14ac:dyDescent="0.3">
      <c r="A509" s="6" t="s">
        <v>643</v>
      </c>
      <c r="B509" s="7" t="s">
        <v>77</v>
      </c>
    </row>
    <row r="510" spans="1:2" ht="15.75" thickBot="1" x14ac:dyDescent="0.3">
      <c r="A510" s="6" t="s">
        <v>644</v>
      </c>
      <c r="B510" s="7" t="s">
        <v>76</v>
      </c>
    </row>
    <row r="511" spans="1:2" ht="15.75" thickBot="1" x14ac:dyDescent="0.3">
      <c r="A511" s="6" t="s">
        <v>645</v>
      </c>
      <c r="B511" s="7" t="s">
        <v>74</v>
      </c>
    </row>
    <row r="512" spans="1:2" ht="15.75" thickBot="1" x14ac:dyDescent="0.3">
      <c r="A512" s="6" t="s">
        <v>646</v>
      </c>
      <c r="B512" s="7" t="s">
        <v>73</v>
      </c>
    </row>
    <row r="513" spans="1:2" ht="15.75" thickBot="1" x14ac:dyDescent="0.3">
      <c r="A513" s="6" t="s">
        <v>647</v>
      </c>
      <c r="B513" s="7" t="s">
        <v>72</v>
      </c>
    </row>
    <row r="514" spans="1:2" ht="15.75" thickBot="1" x14ac:dyDescent="0.3">
      <c r="A514" s="6" t="s">
        <v>648</v>
      </c>
      <c r="B514" s="7" t="s">
        <v>74</v>
      </c>
    </row>
    <row r="515" spans="1:2" ht="15.75" thickBot="1" x14ac:dyDescent="0.3">
      <c r="A515" s="6" t="s">
        <v>649</v>
      </c>
      <c r="B515" s="7" t="s">
        <v>650</v>
      </c>
    </row>
    <row r="516" spans="1:2" ht="15.75" thickBot="1" x14ac:dyDescent="0.3">
      <c r="A516" s="6" t="s">
        <v>651</v>
      </c>
      <c r="B516" s="7" t="s">
        <v>74</v>
      </c>
    </row>
    <row r="517" spans="1:2" ht="15.75" thickBot="1" x14ac:dyDescent="0.3">
      <c r="A517" s="6" t="s">
        <v>652</v>
      </c>
      <c r="B517" s="7" t="s">
        <v>74</v>
      </c>
    </row>
    <row r="518" spans="1:2" ht="15.75" thickBot="1" x14ac:dyDescent="0.3">
      <c r="A518" s="6" t="s">
        <v>653</v>
      </c>
      <c r="B518" s="7" t="s">
        <v>71</v>
      </c>
    </row>
    <row r="519" spans="1:2" ht="15.75" thickBot="1" x14ac:dyDescent="0.3">
      <c r="A519" s="6" t="s">
        <v>654</v>
      </c>
      <c r="B519" s="7" t="s">
        <v>74</v>
      </c>
    </row>
    <row r="520" spans="1:2" ht="15.75" thickBot="1" x14ac:dyDescent="0.3">
      <c r="A520" s="6" t="s">
        <v>655</v>
      </c>
      <c r="B520" s="7" t="s">
        <v>73</v>
      </c>
    </row>
    <row r="521" spans="1:2" ht="15.75" thickBot="1" x14ac:dyDescent="0.3">
      <c r="A521" s="6" t="s">
        <v>656</v>
      </c>
      <c r="B521" s="7" t="s">
        <v>72</v>
      </c>
    </row>
    <row r="522" spans="1:2" ht="15.75" thickBot="1" x14ac:dyDescent="0.3">
      <c r="A522" s="6" t="s">
        <v>657</v>
      </c>
      <c r="B522" s="7" t="s">
        <v>77</v>
      </c>
    </row>
    <row r="523" spans="1:2" ht="15.75" thickBot="1" x14ac:dyDescent="0.3">
      <c r="A523" s="6" t="s">
        <v>658</v>
      </c>
      <c r="B523" s="7" t="s">
        <v>71</v>
      </c>
    </row>
    <row r="524" spans="1:2" ht="15.75" thickBot="1" x14ac:dyDescent="0.3">
      <c r="A524" s="6" t="s">
        <v>659</v>
      </c>
      <c r="B524" s="7" t="s">
        <v>73</v>
      </c>
    </row>
    <row r="525" spans="1:2" ht="15.75" thickBot="1" x14ac:dyDescent="0.3">
      <c r="A525" s="6" t="s">
        <v>660</v>
      </c>
      <c r="B525" s="7" t="s">
        <v>76</v>
      </c>
    </row>
    <row r="526" spans="1:2" ht="15.75" thickBot="1" x14ac:dyDescent="0.3">
      <c r="A526" s="6" t="s">
        <v>661</v>
      </c>
      <c r="B526" s="7" t="s">
        <v>74</v>
      </c>
    </row>
    <row r="527" spans="1:2" ht="15.75" thickBot="1" x14ac:dyDescent="0.3">
      <c r="A527" s="6" t="s">
        <v>662</v>
      </c>
      <c r="B527" s="7" t="s">
        <v>76</v>
      </c>
    </row>
    <row r="528" spans="1:2" ht="15.75" thickBot="1" x14ac:dyDescent="0.3">
      <c r="A528" s="6" t="s">
        <v>663</v>
      </c>
      <c r="B528" s="7" t="s">
        <v>76</v>
      </c>
    </row>
    <row r="529" spans="1:2" ht="15.75" thickBot="1" x14ac:dyDescent="0.3">
      <c r="A529" s="6" t="s">
        <v>664</v>
      </c>
      <c r="B529" s="7" t="s">
        <v>76</v>
      </c>
    </row>
    <row r="530" spans="1:2" ht="15.75" thickBot="1" x14ac:dyDescent="0.3">
      <c r="A530" s="6" t="s">
        <v>665</v>
      </c>
      <c r="B530" s="7" t="s">
        <v>76</v>
      </c>
    </row>
    <row r="531" spans="1:2" ht="15.75" thickBot="1" x14ac:dyDescent="0.3">
      <c r="A531" s="6" t="s">
        <v>666</v>
      </c>
      <c r="B531" s="7" t="s">
        <v>73</v>
      </c>
    </row>
    <row r="532" spans="1:2" ht="15.75" thickBot="1" x14ac:dyDescent="0.3">
      <c r="A532" s="6" t="s">
        <v>667</v>
      </c>
      <c r="B532" s="7" t="s">
        <v>74</v>
      </c>
    </row>
    <row r="533" spans="1:2" ht="15.75" thickBot="1" x14ac:dyDescent="0.3">
      <c r="A533" s="6" t="s">
        <v>668</v>
      </c>
      <c r="B533" s="7" t="s">
        <v>76</v>
      </c>
    </row>
    <row r="534" spans="1:2" ht="15.75" thickBot="1" x14ac:dyDescent="0.3">
      <c r="A534" s="6" t="s">
        <v>669</v>
      </c>
      <c r="B534" s="7" t="s">
        <v>73</v>
      </c>
    </row>
    <row r="535" spans="1:2" ht="15.75" thickBot="1" x14ac:dyDescent="0.3">
      <c r="A535" s="6" t="s">
        <v>670</v>
      </c>
      <c r="B535" s="7" t="s">
        <v>74</v>
      </c>
    </row>
    <row r="536" spans="1:2" ht="15.75" thickBot="1" x14ac:dyDescent="0.3">
      <c r="A536" s="6" t="s">
        <v>671</v>
      </c>
      <c r="B536" s="7" t="s">
        <v>77</v>
      </c>
    </row>
    <row r="537" spans="1:2" ht="15.75" thickBot="1" x14ac:dyDescent="0.3">
      <c r="A537" s="6" t="s">
        <v>672</v>
      </c>
      <c r="B537" s="7" t="s">
        <v>71</v>
      </c>
    </row>
    <row r="538" spans="1:2" ht="15.75" thickBot="1" x14ac:dyDescent="0.3">
      <c r="A538" s="6" t="s">
        <v>673</v>
      </c>
      <c r="B538" s="7" t="s">
        <v>74</v>
      </c>
    </row>
    <row r="539" spans="1:2" ht="15.75" thickBot="1" x14ac:dyDescent="0.3">
      <c r="A539" s="6" t="s">
        <v>674</v>
      </c>
      <c r="B539" s="7" t="s">
        <v>74</v>
      </c>
    </row>
    <row r="540" spans="1:2" ht="15.75" thickBot="1" x14ac:dyDescent="0.3">
      <c r="A540" s="6" t="s">
        <v>675</v>
      </c>
      <c r="B540" s="7" t="s">
        <v>76</v>
      </c>
    </row>
    <row r="541" spans="1:2" ht="15.75" thickBot="1" x14ac:dyDescent="0.3">
      <c r="A541" s="6" t="s">
        <v>676</v>
      </c>
      <c r="B541" s="7" t="s">
        <v>71</v>
      </c>
    </row>
    <row r="542" spans="1:2" ht="15.75" thickBot="1" x14ac:dyDescent="0.3">
      <c r="A542" s="6" t="s">
        <v>677</v>
      </c>
      <c r="B542" s="7" t="s">
        <v>76</v>
      </c>
    </row>
    <row r="543" spans="1:2" ht="15.75" thickBot="1" x14ac:dyDescent="0.3">
      <c r="A543" s="6" t="s">
        <v>678</v>
      </c>
      <c r="B543" s="7" t="s">
        <v>74</v>
      </c>
    </row>
    <row r="544" spans="1:2" ht="15.75" thickBot="1" x14ac:dyDescent="0.3">
      <c r="A544" s="6" t="s">
        <v>679</v>
      </c>
      <c r="B544" s="7" t="s">
        <v>76</v>
      </c>
    </row>
    <row r="545" spans="1:2" ht="15.75" thickBot="1" x14ac:dyDescent="0.3">
      <c r="A545" s="6" t="s">
        <v>680</v>
      </c>
      <c r="B545" s="7" t="s">
        <v>74</v>
      </c>
    </row>
    <row r="546" spans="1:2" ht="15.75" thickBot="1" x14ac:dyDescent="0.3">
      <c r="A546" s="6" t="s">
        <v>681</v>
      </c>
      <c r="B546" s="7" t="s">
        <v>74</v>
      </c>
    </row>
    <row r="547" spans="1:2" ht="15.75" thickBot="1" x14ac:dyDescent="0.3">
      <c r="A547" s="6" t="s">
        <v>682</v>
      </c>
      <c r="B547" s="7" t="s">
        <v>74</v>
      </c>
    </row>
    <row r="548" spans="1:2" ht="15.75" thickBot="1" x14ac:dyDescent="0.3">
      <c r="A548" s="6" t="s">
        <v>683</v>
      </c>
      <c r="B548" s="7" t="s">
        <v>74</v>
      </c>
    </row>
    <row r="549" spans="1:2" ht="15.75" thickBot="1" x14ac:dyDescent="0.3">
      <c r="A549" s="6" t="s">
        <v>684</v>
      </c>
      <c r="B549" s="7" t="s">
        <v>76</v>
      </c>
    </row>
    <row r="550" spans="1:2" ht="15.75" thickBot="1" x14ac:dyDescent="0.3">
      <c r="A550" s="6" t="s">
        <v>685</v>
      </c>
      <c r="B550" s="7" t="s">
        <v>74</v>
      </c>
    </row>
    <row r="551" spans="1:2" ht="15.75" thickBot="1" x14ac:dyDescent="0.3">
      <c r="A551" s="6" t="s">
        <v>686</v>
      </c>
      <c r="B551" s="7" t="s">
        <v>74</v>
      </c>
    </row>
    <row r="552" spans="1:2" ht="15.75" thickBot="1" x14ac:dyDescent="0.3">
      <c r="A552" s="6" t="s">
        <v>687</v>
      </c>
      <c r="B552" s="7" t="s">
        <v>74</v>
      </c>
    </row>
    <row r="553" spans="1:2" ht="15.75" thickBot="1" x14ac:dyDescent="0.3">
      <c r="A553" s="6" t="s">
        <v>688</v>
      </c>
      <c r="B553" s="7" t="s">
        <v>74</v>
      </c>
    </row>
    <row r="554" spans="1:2" ht="15.75" thickBot="1" x14ac:dyDescent="0.3">
      <c r="A554" s="6" t="s">
        <v>689</v>
      </c>
      <c r="B554" s="7" t="s">
        <v>74</v>
      </c>
    </row>
    <row r="555" spans="1:2" ht="15.75" thickBot="1" x14ac:dyDescent="0.3">
      <c r="A555" s="6" t="s">
        <v>690</v>
      </c>
      <c r="B555" s="7" t="s">
        <v>74</v>
      </c>
    </row>
    <row r="556" spans="1:2" ht="15.75" thickBot="1" x14ac:dyDescent="0.3">
      <c r="A556" s="6" t="s">
        <v>691</v>
      </c>
      <c r="B556" s="7" t="s">
        <v>74</v>
      </c>
    </row>
    <row r="557" spans="1:2" ht="15.75" thickBot="1" x14ac:dyDescent="0.3">
      <c r="A557" s="6" t="s">
        <v>692</v>
      </c>
      <c r="B557" s="7" t="s">
        <v>76</v>
      </c>
    </row>
    <row r="558" spans="1:2" ht="15.75" thickBot="1" x14ac:dyDescent="0.3">
      <c r="A558" s="6" t="s">
        <v>693</v>
      </c>
      <c r="B558" s="7" t="s">
        <v>76</v>
      </c>
    </row>
    <row r="559" spans="1:2" ht="15.75" thickBot="1" x14ac:dyDescent="0.3">
      <c r="A559" s="6" t="s">
        <v>694</v>
      </c>
      <c r="B559" s="7" t="s">
        <v>76</v>
      </c>
    </row>
    <row r="560" spans="1:2" ht="15.75" thickBot="1" x14ac:dyDescent="0.3">
      <c r="A560" s="6" t="s">
        <v>695</v>
      </c>
      <c r="B560" s="7" t="s">
        <v>72</v>
      </c>
    </row>
    <row r="561" spans="1:2" ht="15.75" thickBot="1" x14ac:dyDescent="0.3">
      <c r="A561" s="6" t="s">
        <v>696</v>
      </c>
      <c r="B561" s="7" t="s">
        <v>76</v>
      </c>
    </row>
    <row r="562" spans="1:2" ht="15.75" thickBot="1" x14ac:dyDescent="0.3">
      <c r="A562" s="6" t="s">
        <v>697</v>
      </c>
      <c r="B562" s="7" t="s">
        <v>74</v>
      </c>
    </row>
    <row r="563" spans="1:2" ht="15.75" thickBot="1" x14ac:dyDescent="0.3">
      <c r="A563" s="6" t="s">
        <v>698</v>
      </c>
      <c r="B563" s="7" t="s">
        <v>74</v>
      </c>
    </row>
    <row r="564" spans="1:2" ht="15.75" thickBot="1" x14ac:dyDescent="0.3">
      <c r="A564" s="6" t="s">
        <v>699</v>
      </c>
      <c r="B564" s="7" t="s">
        <v>74</v>
      </c>
    </row>
    <row r="565" spans="1:2" ht="15.75" thickBot="1" x14ac:dyDescent="0.3">
      <c r="A565" s="6" t="s">
        <v>700</v>
      </c>
      <c r="B565" s="7" t="s">
        <v>74</v>
      </c>
    </row>
    <row r="566" spans="1:2" ht="15.75" thickBot="1" x14ac:dyDescent="0.3">
      <c r="A566" s="6" t="s">
        <v>701</v>
      </c>
      <c r="B566" s="7" t="s">
        <v>74</v>
      </c>
    </row>
    <row r="567" spans="1:2" ht="15.75" thickBot="1" x14ac:dyDescent="0.3">
      <c r="A567" s="6" t="s">
        <v>702</v>
      </c>
      <c r="B567" s="7" t="s">
        <v>74</v>
      </c>
    </row>
    <row r="568" spans="1:2" ht="15.75" thickBot="1" x14ac:dyDescent="0.3">
      <c r="A568" s="6" t="s">
        <v>703</v>
      </c>
      <c r="B568" s="7" t="s">
        <v>74</v>
      </c>
    </row>
    <row r="569" spans="1:2" ht="15.75" thickBot="1" x14ac:dyDescent="0.3">
      <c r="A569" s="6" t="s">
        <v>704</v>
      </c>
      <c r="B569" s="7" t="s">
        <v>74</v>
      </c>
    </row>
    <row r="570" spans="1:2" ht="15.75" thickBot="1" x14ac:dyDescent="0.3">
      <c r="A570" s="6" t="s">
        <v>705</v>
      </c>
      <c r="B570" s="7" t="s">
        <v>76</v>
      </c>
    </row>
    <row r="571" spans="1:2" ht="15.75" thickBot="1" x14ac:dyDescent="0.3">
      <c r="A571" s="6" t="s">
        <v>706</v>
      </c>
      <c r="B571" s="7" t="s">
        <v>74</v>
      </c>
    </row>
    <row r="572" spans="1:2" ht="15.75" thickBot="1" x14ac:dyDescent="0.3">
      <c r="A572" s="6" t="s">
        <v>707</v>
      </c>
      <c r="B572" s="7" t="s">
        <v>74</v>
      </c>
    </row>
    <row r="573" spans="1:2" ht="15.75" thickBot="1" x14ac:dyDescent="0.3">
      <c r="A573" s="6" t="s">
        <v>708</v>
      </c>
      <c r="B573" s="7" t="s">
        <v>74</v>
      </c>
    </row>
    <row r="574" spans="1:2" ht="15.75" thickBot="1" x14ac:dyDescent="0.3">
      <c r="A574" s="6" t="s">
        <v>709</v>
      </c>
      <c r="B574" s="7" t="s">
        <v>76</v>
      </c>
    </row>
    <row r="575" spans="1:2" ht="15.75" thickBot="1" x14ac:dyDescent="0.3">
      <c r="A575" s="6" t="s">
        <v>710</v>
      </c>
      <c r="B575" s="7" t="s">
        <v>76</v>
      </c>
    </row>
    <row r="576" spans="1:2" ht="15.75" thickBot="1" x14ac:dyDescent="0.3">
      <c r="A576" s="6" t="s">
        <v>711</v>
      </c>
      <c r="B576" s="7" t="s">
        <v>74</v>
      </c>
    </row>
    <row r="577" spans="1:2" ht="15.75" thickBot="1" x14ac:dyDescent="0.3">
      <c r="A577" s="6" t="s">
        <v>712</v>
      </c>
      <c r="B577" s="7" t="s">
        <v>72</v>
      </c>
    </row>
    <row r="578" spans="1:2" ht="15.75" thickBot="1" x14ac:dyDescent="0.3">
      <c r="A578" s="6" t="s">
        <v>713</v>
      </c>
      <c r="B578" s="7" t="s">
        <v>72</v>
      </c>
    </row>
    <row r="579" spans="1:2" ht="15.75" thickBot="1" x14ac:dyDescent="0.3">
      <c r="A579" s="6" t="s">
        <v>714</v>
      </c>
      <c r="B579" s="7" t="s">
        <v>74</v>
      </c>
    </row>
    <row r="580" spans="1:2" ht="15.75" thickBot="1" x14ac:dyDescent="0.3">
      <c r="A580" s="6" t="s">
        <v>715</v>
      </c>
      <c r="B580" s="7" t="s">
        <v>74</v>
      </c>
    </row>
    <row r="581" spans="1:2" ht="15.75" thickBot="1" x14ac:dyDescent="0.3">
      <c r="A581" s="6" t="s">
        <v>716</v>
      </c>
      <c r="B581" s="7" t="s">
        <v>74</v>
      </c>
    </row>
    <row r="582" spans="1:2" ht="15.75" thickBot="1" x14ac:dyDescent="0.3">
      <c r="A582" s="6" t="s">
        <v>717</v>
      </c>
      <c r="B582" s="7" t="s">
        <v>76</v>
      </c>
    </row>
    <row r="583" spans="1:2" ht="15.75" thickBot="1" x14ac:dyDescent="0.3">
      <c r="A583" s="6" t="s">
        <v>718</v>
      </c>
      <c r="B583" s="7" t="s">
        <v>76</v>
      </c>
    </row>
    <row r="584" spans="1:2" ht="15.75" thickBot="1" x14ac:dyDescent="0.3">
      <c r="A584" s="6" t="s">
        <v>719</v>
      </c>
      <c r="B584" s="7" t="s">
        <v>74</v>
      </c>
    </row>
    <row r="585" spans="1:2" ht="15.75" thickBot="1" x14ac:dyDescent="0.3">
      <c r="A585" s="6" t="s">
        <v>720</v>
      </c>
      <c r="B585" s="7" t="s">
        <v>76</v>
      </c>
    </row>
    <row r="586" spans="1:2" ht="15.75" thickBot="1" x14ac:dyDescent="0.3">
      <c r="A586" s="6" t="s">
        <v>721</v>
      </c>
      <c r="B586" s="7" t="s">
        <v>76</v>
      </c>
    </row>
    <row r="587" spans="1:2" ht="15.75" thickBot="1" x14ac:dyDescent="0.3">
      <c r="A587" s="6" t="s">
        <v>722</v>
      </c>
      <c r="B587" s="7" t="s">
        <v>76</v>
      </c>
    </row>
    <row r="588" spans="1:2" ht="15.75" thickBot="1" x14ac:dyDescent="0.3">
      <c r="A588" s="6" t="s">
        <v>723</v>
      </c>
      <c r="B588" s="7" t="s">
        <v>76</v>
      </c>
    </row>
    <row r="589" spans="1:2" ht="15.75" thickBot="1" x14ac:dyDescent="0.3">
      <c r="A589" s="6" t="s">
        <v>724</v>
      </c>
      <c r="B589" s="7" t="s">
        <v>70</v>
      </c>
    </row>
    <row r="590" spans="1:2" ht="15.75" thickBot="1" x14ac:dyDescent="0.3">
      <c r="A590" s="6" t="s">
        <v>725</v>
      </c>
      <c r="B590" s="7" t="s">
        <v>72</v>
      </c>
    </row>
    <row r="591" spans="1:2" ht="15.75" thickBot="1" x14ac:dyDescent="0.3">
      <c r="A591" s="6" t="s">
        <v>726</v>
      </c>
      <c r="B591" s="7" t="s">
        <v>72</v>
      </c>
    </row>
    <row r="592" spans="1:2" ht="15.75" thickBot="1" x14ac:dyDescent="0.3">
      <c r="A592" s="6" t="s">
        <v>727</v>
      </c>
      <c r="B592" s="7" t="s">
        <v>72</v>
      </c>
    </row>
    <row r="593" spans="1:2" ht="15.75" thickBot="1" x14ac:dyDescent="0.3">
      <c r="A593" s="6" t="s">
        <v>728</v>
      </c>
      <c r="B593" s="7" t="s">
        <v>73</v>
      </c>
    </row>
    <row r="594" spans="1:2" ht="15.75" thickBot="1" x14ac:dyDescent="0.3">
      <c r="A594" s="6" t="s">
        <v>729</v>
      </c>
      <c r="B594" s="7" t="s">
        <v>71</v>
      </c>
    </row>
    <row r="595" spans="1:2" ht="15.75" thickBot="1" x14ac:dyDescent="0.3">
      <c r="A595" s="6" t="s">
        <v>730</v>
      </c>
      <c r="B595" s="7" t="s">
        <v>74</v>
      </c>
    </row>
    <row r="596" spans="1:2" ht="15.75" thickBot="1" x14ac:dyDescent="0.3">
      <c r="A596" s="8" t="s">
        <v>731</v>
      </c>
      <c r="B596" s="7" t="s">
        <v>73</v>
      </c>
    </row>
    <row r="597" spans="1:2" ht="15.75" thickBot="1" x14ac:dyDescent="0.3">
      <c r="A597" s="6" t="s">
        <v>732</v>
      </c>
      <c r="B597" s="7" t="s">
        <v>73</v>
      </c>
    </row>
    <row r="598" spans="1:2" ht="15.75" thickBot="1" x14ac:dyDescent="0.3">
      <c r="A598" s="6" t="s">
        <v>733</v>
      </c>
      <c r="B598" s="7" t="s">
        <v>75</v>
      </c>
    </row>
    <row r="599" spans="1:2" ht="15.75" thickBot="1" x14ac:dyDescent="0.3">
      <c r="A599" s="6" t="s">
        <v>734</v>
      </c>
      <c r="B599" s="7" t="s">
        <v>74</v>
      </c>
    </row>
    <row r="600" spans="1:2" ht="15.75" thickBot="1" x14ac:dyDescent="0.3">
      <c r="A600" s="6" t="s">
        <v>735</v>
      </c>
      <c r="B600" s="7" t="s">
        <v>75</v>
      </c>
    </row>
    <row r="601" spans="1:2" ht="15.75" thickBot="1" x14ac:dyDescent="0.3">
      <c r="A601" s="6" t="s">
        <v>736</v>
      </c>
      <c r="B601" s="7" t="s">
        <v>75</v>
      </c>
    </row>
    <row r="602" spans="1:2" ht="15.75" thickBot="1" x14ac:dyDescent="0.3">
      <c r="A602" s="6" t="s">
        <v>737</v>
      </c>
      <c r="B602" s="7" t="s">
        <v>74</v>
      </c>
    </row>
    <row r="603" spans="1:2" ht="15.75" thickBot="1" x14ac:dyDescent="0.3">
      <c r="A603" s="6" t="s">
        <v>738</v>
      </c>
      <c r="B603" s="7" t="s">
        <v>75</v>
      </c>
    </row>
    <row r="604" spans="1:2" ht="15.75" thickBot="1" x14ac:dyDescent="0.3">
      <c r="A604" s="6" t="s">
        <v>739</v>
      </c>
      <c r="B604" s="7" t="s">
        <v>72</v>
      </c>
    </row>
    <row r="605" spans="1:2" ht="15.75" thickBot="1" x14ac:dyDescent="0.3">
      <c r="A605" s="6" t="s">
        <v>740</v>
      </c>
      <c r="B605" s="7" t="s">
        <v>73</v>
      </c>
    </row>
    <row r="606" spans="1:2" ht="15.75" thickBot="1" x14ac:dyDescent="0.3">
      <c r="A606" s="6" t="s">
        <v>741</v>
      </c>
      <c r="B606" s="7" t="s">
        <v>76</v>
      </c>
    </row>
    <row r="607" spans="1:2" ht="15.75" thickBot="1" x14ac:dyDescent="0.3">
      <c r="A607" s="6" t="s">
        <v>742</v>
      </c>
      <c r="B607" s="7" t="s">
        <v>74</v>
      </c>
    </row>
    <row r="608" spans="1:2" ht="15.75" thickBot="1" x14ac:dyDescent="0.3">
      <c r="A608" s="6" t="s">
        <v>743</v>
      </c>
      <c r="B608" s="7" t="s">
        <v>76</v>
      </c>
    </row>
    <row r="609" spans="1:2" ht="15.75" thickBot="1" x14ac:dyDescent="0.3">
      <c r="A609" s="6" t="s">
        <v>744</v>
      </c>
      <c r="B609" s="7" t="s">
        <v>76</v>
      </c>
    </row>
    <row r="610" spans="1:2" ht="15.75" thickBot="1" x14ac:dyDescent="0.3">
      <c r="A610" s="6" t="s">
        <v>745</v>
      </c>
      <c r="B610" s="7" t="s">
        <v>72</v>
      </c>
    </row>
    <row r="611" spans="1:2" ht="15.75" thickBot="1" x14ac:dyDescent="0.3">
      <c r="A611" s="6" t="s">
        <v>746</v>
      </c>
      <c r="B611" s="7" t="s">
        <v>76</v>
      </c>
    </row>
    <row r="612" spans="1:2" ht="15.75" thickBot="1" x14ac:dyDescent="0.3">
      <c r="A612" s="6" t="s">
        <v>747</v>
      </c>
      <c r="B612" s="7" t="s">
        <v>76</v>
      </c>
    </row>
    <row r="613" spans="1:2" ht="15.75" thickBot="1" x14ac:dyDescent="0.3">
      <c r="A613" s="6" t="s">
        <v>748</v>
      </c>
      <c r="B613" s="7" t="s">
        <v>67</v>
      </c>
    </row>
    <row r="614" spans="1:2" ht="15.75" thickBot="1" x14ac:dyDescent="0.3">
      <c r="A614" s="6" t="s">
        <v>749</v>
      </c>
      <c r="B614" s="7" t="s">
        <v>66</v>
      </c>
    </row>
    <row r="615" spans="1:2" ht="15.75" thickBot="1" x14ac:dyDescent="0.3">
      <c r="A615" s="6" t="s">
        <v>750</v>
      </c>
      <c r="B615" s="7" t="s">
        <v>76</v>
      </c>
    </row>
    <row r="616" spans="1:2" ht="15.75" thickBot="1" x14ac:dyDescent="0.3">
      <c r="A616" s="6" t="s">
        <v>751</v>
      </c>
      <c r="B616" s="7" t="s">
        <v>73</v>
      </c>
    </row>
    <row r="617" spans="1:2" ht="15.75" thickBot="1" x14ac:dyDescent="0.3">
      <c r="A617" s="6" t="s">
        <v>752</v>
      </c>
      <c r="B617" s="7" t="s">
        <v>73</v>
      </c>
    </row>
    <row r="618" spans="1:2" ht="15.75" thickBot="1" x14ac:dyDescent="0.3">
      <c r="A618" s="6" t="s">
        <v>753</v>
      </c>
      <c r="B618" s="7" t="s">
        <v>73</v>
      </c>
    </row>
    <row r="619" spans="1:2" ht="15.75" thickBot="1" x14ac:dyDescent="0.3">
      <c r="A619" s="6" t="s">
        <v>754</v>
      </c>
      <c r="B619" s="7" t="s">
        <v>76</v>
      </c>
    </row>
    <row r="620" spans="1:2" ht="15.75" thickBot="1" x14ac:dyDescent="0.3">
      <c r="A620" s="6" t="s">
        <v>755</v>
      </c>
      <c r="B620" s="7" t="s">
        <v>74</v>
      </c>
    </row>
    <row r="621" spans="1:2" ht="15.75" thickBot="1" x14ac:dyDescent="0.3">
      <c r="A621" s="6" t="s">
        <v>756</v>
      </c>
      <c r="B621" s="7" t="s">
        <v>73</v>
      </c>
    </row>
    <row r="622" spans="1:2" ht="15.75" thickBot="1" x14ac:dyDescent="0.3">
      <c r="A622" s="6" t="s">
        <v>757</v>
      </c>
      <c r="B622" s="7" t="s">
        <v>76</v>
      </c>
    </row>
    <row r="623" spans="1:2" ht="15.75" thickBot="1" x14ac:dyDescent="0.3">
      <c r="A623" s="6" t="s">
        <v>758</v>
      </c>
      <c r="B623" s="7" t="s">
        <v>76</v>
      </c>
    </row>
    <row r="624" spans="1:2" ht="15.75" thickBot="1" x14ac:dyDescent="0.3">
      <c r="A624" s="6" t="s">
        <v>759</v>
      </c>
      <c r="B624" s="7" t="s">
        <v>76</v>
      </c>
    </row>
    <row r="625" spans="1:2" ht="15.75" thickBot="1" x14ac:dyDescent="0.3">
      <c r="A625" s="6" t="s">
        <v>760</v>
      </c>
      <c r="B625" s="7" t="s">
        <v>77</v>
      </c>
    </row>
    <row r="626" spans="1:2" ht="15.75" thickBot="1" x14ac:dyDescent="0.3">
      <c r="A626" s="6" t="s">
        <v>761</v>
      </c>
      <c r="B626" s="7" t="s">
        <v>74</v>
      </c>
    </row>
    <row r="627" spans="1:2" ht="15.75" thickBot="1" x14ac:dyDescent="0.3">
      <c r="A627" s="6" t="s">
        <v>762</v>
      </c>
      <c r="B627" s="7" t="s">
        <v>74</v>
      </c>
    </row>
    <row r="628" spans="1:2" ht="15.75" thickBot="1" x14ac:dyDescent="0.3">
      <c r="A628" s="6" t="s">
        <v>763</v>
      </c>
      <c r="B628" s="7" t="s">
        <v>70</v>
      </c>
    </row>
    <row r="629" spans="1:2" ht="15.75" thickBot="1" x14ac:dyDescent="0.3">
      <c r="A629" s="6" t="s">
        <v>764</v>
      </c>
      <c r="B629" s="7" t="s">
        <v>76</v>
      </c>
    </row>
    <row r="630" spans="1:2" ht="15.75" thickBot="1" x14ac:dyDescent="0.3">
      <c r="A630" s="6" t="s">
        <v>765</v>
      </c>
      <c r="B630" s="7" t="s">
        <v>76</v>
      </c>
    </row>
    <row r="631" spans="1:2" ht="15.75" thickBot="1" x14ac:dyDescent="0.3">
      <c r="A631" s="6" t="s">
        <v>766</v>
      </c>
      <c r="B631" s="7" t="s">
        <v>71</v>
      </c>
    </row>
    <row r="632" spans="1:2" ht="15.75" thickBot="1" x14ac:dyDescent="0.3">
      <c r="A632" s="6" t="s">
        <v>767</v>
      </c>
      <c r="B632" s="7" t="s">
        <v>76</v>
      </c>
    </row>
    <row r="633" spans="1:2" ht="15.75" thickBot="1" x14ac:dyDescent="0.3">
      <c r="A633" s="6" t="s">
        <v>768</v>
      </c>
      <c r="B633" s="7" t="s">
        <v>76</v>
      </c>
    </row>
    <row r="634" spans="1:2" ht="15.75" thickBot="1" x14ac:dyDescent="0.3">
      <c r="A634" s="6" t="s">
        <v>769</v>
      </c>
      <c r="B634" s="7" t="s">
        <v>76</v>
      </c>
    </row>
    <row r="635" spans="1:2" ht="15.75" thickBot="1" x14ac:dyDescent="0.3">
      <c r="A635" s="6" t="s">
        <v>770</v>
      </c>
      <c r="B635" s="7" t="s">
        <v>76</v>
      </c>
    </row>
    <row r="636" spans="1:2" ht="15.75" thickBot="1" x14ac:dyDescent="0.3">
      <c r="A636" s="6" t="s">
        <v>771</v>
      </c>
      <c r="B636" s="7" t="s">
        <v>76</v>
      </c>
    </row>
    <row r="637" spans="1:2" ht="15.75" thickBot="1" x14ac:dyDescent="0.3">
      <c r="A637" s="6" t="s">
        <v>772</v>
      </c>
      <c r="B637" s="7" t="s">
        <v>76</v>
      </c>
    </row>
    <row r="638" spans="1:2" ht="15.75" thickBot="1" x14ac:dyDescent="0.3">
      <c r="A638" s="6" t="s">
        <v>773</v>
      </c>
      <c r="B638" s="7" t="s">
        <v>70</v>
      </c>
    </row>
    <row r="639" spans="1:2" ht="15.75" thickBot="1" x14ac:dyDescent="0.3">
      <c r="A639" s="6" t="s">
        <v>774</v>
      </c>
      <c r="B639" s="7" t="s">
        <v>76</v>
      </c>
    </row>
    <row r="640" spans="1:2" ht="15.75" thickBot="1" x14ac:dyDescent="0.3">
      <c r="A640" s="6" t="s">
        <v>775</v>
      </c>
      <c r="B640" s="7" t="s">
        <v>76</v>
      </c>
    </row>
    <row r="641" spans="1:2" ht="15.75" thickBot="1" x14ac:dyDescent="0.3">
      <c r="A641" s="6" t="s">
        <v>776</v>
      </c>
      <c r="B641" s="7" t="s">
        <v>70</v>
      </c>
    </row>
    <row r="642" spans="1:2" ht="15.75" thickBot="1" x14ac:dyDescent="0.3">
      <c r="A642" s="6" t="s">
        <v>777</v>
      </c>
      <c r="B642" s="7" t="s">
        <v>76</v>
      </c>
    </row>
    <row r="643" spans="1:2" ht="15.75" thickBot="1" x14ac:dyDescent="0.3">
      <c r="A643" s="6" t="s">
        <v>778</v>
      </c>
      <c r="B643" s="7" t="s">
        <v>76</v>
      </c>
    </row>
    <row r="644" spans="1:2" ht="15.75" thickBot="1" x14ac:dyDescent="0.3">
      <c r="A644" s="6" t="s">
        <v>779</v>
      </c>
      <c r="B644" s="7" t="s">
        <v>70</v>
      </c>
    </row>
    <row r="645" spans="1:2" ht="15.75" thickBot="1" x14ac:dyDescent="0.3">
      <c r="A645" s="6" t="s">
        <v>780</v>
      </c>
      <c r="B645" s="7" t="s">
        <v>76</v>
      </c>
    </row>
    <row r="646" spans="1:2" ht="15.75" thickBot="1" x14ac:dyDescent="0.3">
      <c r="A646" s="6" t="s">
        <v>781</v>
      </c>
      <c r="B646" s="7" t="s">
        <v>76</v>
      </c>
    </row>
    <row r="647" spans="1:2" ht="15.75" thickBot="1" x14ac:dyDescent="0.3">
      <c r="A647" s="6" t="s">
        <v>782</v>
      </c>
      <c r="B647" s="7" t="s">
        <v>76</v>
      </c>
    </row>
    <row r="648" spans="1:2" ht="15.75" thickBot="1" x14ac:dyDescent="0.3">
      <c r="A648" s="6" t="s">
        <v>783</v>
      </c>
      <c r="B648" s="7" t="s">
        <v>76</v>
      </c>
    </row>
    <row r="649" spans="1:2" ht="15.75" thickBot="1" x14ac:dyDescent="0.3">
      <c r="A649" s="6" t="s">
        <v>784</v>
      </c>
      <c r="B649" s="7" t="s">
        <v>76</v>
      </c>
    </row>
    <row r="650" spans="1:2" ht="15.75" thickBot="1" x14ac:dyDescent="0.3">
      <c r="A650" s="6" t="s">
        <v>785</v>
      </c>
      <c r="B650" s="7" t="s">
        <v>76</v>
      </c>
    </row>
    <row r="651" spans="1:2" ht="15.75" thickBot="1" x14ac:dyDescent="0.3">
      <c r="A651" s="6" t="s">
        <v>786</v>
      </c>
      <c r="B651" s="7" t="s">
        <v>76</v>
      </c>
    </row>
    <row r="652" spans="1:2" ht="15.75" thickBot="1" x14ac:dyDescent="0.3">
      <c r="A652" s="6" t="s">
        <v>787</v>
      </c>
      <c r="B652" s="7" t="s">
        <v>70</v>
      </c>
    </row>
    <row r="653" spans="1:2" ht="15.75" thickBot="1" x14ac:dyDescent="0.3">
      <c r="A653" s="6" t="s">
        <v>788</v>
      </c>
      <c r="B653" s="7" t="s">
        <v>76</v>
      </c>
    </row>
    <row r="654" spans="1:2" ht="15.75" thickBot="1" x14ac:dyDescent="0.3">
      <c r="A654" s="6" t="s">
        <v>789</v>
      </c>
      <c r="B654" s="7" t="s">
        <v>76</v>
      </c>
    </row>
    <row r="655" spans="1:2" ht="15.75" thickBot="1" x14ac:dyDescent="0.3">
      <c r="A655" s="6" t="s">
        <v>790</v>
      </c>
      <c r="B655" s="7" t="s">
        <v>76</v>
      </c>
    </row>
    <row r="656" spans="1:2" ht="15.75" thickBot="1" x14ac:dyDescent="0.3">
      <c r="A656" s="6" t="s">
        <v>791</v>
      </c>
      <c r="B656" s="7" t="s">
        <v>76</v>
      </c>
    </row>
    <row r="657" spans="1:2" ht="15.75" thickBot="1" x14ac:dyDescent="0.3">
      <c r="A657" s="6" t="s">
        <v>792</v>
      </c>
      <c r="B657" s="7" t="s">
        <v>76</v>
      </c>
    </row>
    <row r="658" spans="1:2" ht="15.75" thickBot="1" x14ac:dyDescent="0.3">
      <c r="A658" s="6" t="s">
        <v>793</v>
      </c>
      <c r="B658" s="7" t="s">
        <v>76</v>
      </c>
    </row>
    <row r="659" spans="1:2" ht="15.75" thickBot="1" x14ac:dyDescent="0.3">
      <c r="A659" s="6" t="s">
        <v>794</v>
      </c>
      <c r="B659" s="7" t="s">
        <v>76</v>
      </c>
    </row>
    <row r="660" spans="1:2" ht="15.75" thickBot="1" x14ac:dyDescent="0.3">
      <c r="A660" s="6" t="s">
        <v>795</v>
      </c>
      <c r="B660" s="7" t="s">
        <v>76</v>
      </c>
    </row>
    <row r="661" spans="1:2" ht="15.75" thickBot="1" x14ac:dyDescent="0.3">
      <c r="A661" s="6" t="s">
        <v>796</v>
      </c>
      <c r="B661" s="7" t="s">
        <v>76</v>
      </c>
    </row>
    <row r="662" spans="1:2" ht="15.75" thickBot="1" x14ac:dyDescent="0.3">
      <c r="A662" s="6" t="s">
        <v>797</v>
      </c>
      <c r="B662" s="7" t="s">
        <v>76</v>
      </c>
    </row>
    <row r="663" spans="1:2" ht="15.75" thickBot="1" x14ac:dyDescent="0.3">
      <c r="A663" s="6" t="s">
        <v>798</v>
      </c>
      <c r="B663" s="7" t="s">
        <v>76</v>
      </c>
    </row>
    <row r="664" spans="1:2" ht="15.75" thickBot="1" x14ac:dyDescent="0.3">
      <c r="A664" s="6" t="s">
        <v>799</v>
      </c>
      <c r="B664" s="7" t="s">
        <v>76</v>
      </c>
    </row>
    <row r="665" spans="1:2" ht="15.75" thickBot="1" x14ac:dyDescent="0.3">
      <c r="A665" s="6" t="s">
        <v>800</v>
      </c>
      <c r="B665" s="7" t="s">
        <v>76</v>
      </c>
    </row>
    <row r="666" spans="1:2" ht="15.75" thickBot="1" x14ac:dyDescent="0.3">
      <c r="A666" s="6" t="s">
        <v>801</v>
      </c>
      <c r="B666" s="7" t="s">
        <v>70</v>
      </c>
    </row>
    <row r="667" spans="1:2" ht="15.75" thickBot="1" x14ac:dyDescent="0.3">
      <c r="A667" s="6" t="s">
        <v>802</v>
      </c>
      <c r="B667" s="7" t="s">
        <v>76</v>
      </c>
    </row>
    <row r="668" spans="1:2" ht="15.75" thickBot="1" x14ac:dyDescent="0.3">
      <c r="A668" s="6" t="s">
        <v>803</v>
      </c>
      <c r="B668" s="7" t="s">
        <v>76</v>
      </c>
    </row>
    <row r="669" spans="1:2" ht="15.75" thickBot="1" x14ac:dyDescent="0.3">
      <c r="A669" s="6" t="s">
        <v>804</v>
      </c>
      <c r="B669" s="7" t="s">
        <v>76</v>
      </c>
    </row>
    <row r="670" spans="1:2" ht="15.75" thickBot="1" x14ac:dyDescent="0.3">
      <c r="A670" s="6" t="s">
        <v>805</v>
      </c>
      <c r="B670" s="7" t="s">
        <v>76</v>
      </c>
    </row>
    <row r="671" spans="1:2" ht="15.75" thickBot="1" x14ac:dyDescent="0.3">
      <c r="A671" s="6" t="s">
        <v>806</v>
      </c>
      <c r="B671" s="7" t="s">
        <v>76</v>
      </c>
    </row>
    <row r="672" spans="1:2" ht="15.75" thickBot="1" x14ac:dyDescent="0.3">
      <c r="A672" s="6" t="s">
        <v>807</v>
      </c>
      <c r="B672" s="7" t="s">
        <v>76</v>
      </c>
    </row>
    <row r="673" spans="1:2" ht="15.75" thickBot="1" x14ac:dyDescent="0.3">
      <c r="A673" s="6" t="s">
        <v>808</v>
      </c>
      <c r="B673" s="7" t="s">
        <v>76</v>
      </c>
    </row>
    <row r="674" spans="1:2" ht="15.75" thickBot="1" x14ac:dyDescent="0.3">
      <c r="A674" s="6" t="s">
        <v>809</v>
      </c>
      <c r="B674" s="7" t="s">
        <v>76</v>
      </c>
    </row>
    <row r="675" spans="1:2" ht="15.75" thickBot="1" x14ac:dyDescent="0.3">
      <c r="A675" s="6" t="s">
        <v>810</v>
      </c>
      <c r="B675" s="7" t="s">
        <v>76</v>
      </c>
    </row>
    <row r="676" spans="1:2" ht="15.75" thickBot="1" x14ac:dyDescent="0.3">
      <c r="A676" s="6" t="s">
        <v>811</v>
      </c>
      <c r="B676" s="7" t="s">
        <v>70</v>
      </c>
    </row>
    <row r="677" spans="1:2" ht="15.75" thickBot="1" x14ac:dyDescent="0.3">
      <c r="A677" s="6" t="s">
        <v>812</v>
      </c>
      <c r="B677" s="7" t="s">
        <v>70</v>
      </c>
    </row>
    <row r="678" spans="1:2" ht="15.75" thickBot="1" x14ac:dyDescent="0.3">
      <c r="A678" s="6" t="s">
        <v>813</v>
      </c>
      <c r="B678" s="7" t="s">
        <v>76</v>
      </c>
    </row>
    <row r="679" spans="1:2" ht="15.75" thickBot="1" x14ac:dyDescent="0.3">
      <c r="A679" s="6" t="s">
        <v>814</v>
      </c>
      <c r="B679" s="7" t="s">
        <v>76</v>
      </c>
    </row>
    <row r="680" spans="1:2" ht="15.75" thickBot="1" x14ac:dyDescent="0.3">
      <c r="A680" s="6" t="s">
        <v>815</v>
      </c>
      <c r="B680" s="7" t="s">
        <v>74</v>
      </c>
    </row>
    <row r="681" spans="1:2" ht="15.75" thickBot="1" x14ac:dyDescent="0.3">
      <c r="A681" s="6" t="s">
        <v>816</v>
      </c>
      <c r="B681" s="7" t="s">
        <v>71</v>
      </c>
    </row>
    <row r="682" spans="1:2" ht="15.75" thickBot="1" x14ac:dyDescent="0.3">
      <c r="A682" s="6" t="s">
        <v>817</v>
      </c>
      <c r="B682" s="7" t="s">
        <v>72</v>
      </c>
    </row>
    <row r="683" spans="1:2" ht="15.75" thickBot="1" x14ac:dyDescent="0.3">
      <c r="A683" s="6" t="s">
        <v>818</v>
      </c>
      <c r="B683" s="7" t="s">
        <v>75</v>
      </c>
    </row>
    <row r="684" spans="1:2" ht="15.75" thickBot="1" x14ac:dyDescent="0.3">
      <c r="A684" s="6" t="s">
        <v>819</v>
      </c>
      <c r="B684" s="7" t="s">
        <v>73</v>
      </c>
    </row>
    <row r="685" spans="1:2" ht="15.75" thickBot="1" x14ac:dyDescent="0.3">
      <c r="A685" s="6" t="s">
        <v>820</v>
      </c>
      <c r="B685" s="7" t="s">
        <v>75</v>
      </c>
    </row>
    <row r="686" spans="1:2" ht="15.75" thickBot="1" x14ac:dyDescent="0.3">
      <c r="A686" s="6" t="s">
        <v>821</v>
      </c>
      <c r="B686" s="7" t="s">
        <v>75</v>
      </c>
    </row>
    <row r="687" spans="1:2" ht="15.75" thickBot="1" x14ac:dyDescent="0.3">
      <c r="A687" s="6" t="s">
        <v>822</v>
      </c>
      <c r="B687" s="7" t="s">
        <v>75</v>
      </c>
    </row>
    <row r="688" spans="1:2" ht="15.75" thickBot="1" x14ac:dyDescent="0.3">
      <c r="A688" s="6" t="s">
        <v>823</v>
      </c>
      <c r="B688" s="7" t="s">
        <v>74</v>
      </c>
    </row>
    <row r="689" spans="1:2" ht="15.75" thickBot="1" x14ac:dyDescent="0.3">
      <c r="A689" s="6" t="s">
        <v>824</v>
      </c>
      <c r="B689" s="7" t="s">
        <v>73</v>
      </c>
    </row>
    <row r="690" spans="1:2" ht="15.75" thickBot="1" x14ac:dyDescent="0.3">
      <c r="A690" s="6" t="s">
        <v>825</v>
      </c>
      <c r="B690" s="7" t="s">
        <v>75</v>
      </c>
    </row>
    <row r="691" spans="1:2" ht="15.75" thickBot="1" x14ac:dyDescent="0.3">
      <c r="A691" s="6" t="s">
        <v>826</v>
      </c>
      <c r="B691" s="7" t="s">
        <v>72</v>
      </c>
    </row>
    <row r="692" spans="1:2" ht="15.75" thickBot="1" x14ac:dyDescent="0.3">
      <c r="A692" s="6" t="s">
        <v>827</v>
      </c>
      <c r="B692" s="7" t="s">
        <v>72</v>
      </c>
    </row>
    <row r="693" spans="1:2" ht="15.75" thickBot="1" x14ac:dyDescent="0.3">
      <c r="A693" s="6" t="s">
        <v>828</v>
      </c>
      <c r="B693" s="7" t="s">
        <v>71</v>
      </c>
    </row>
    <row r="694" spans="1:2" ht="15.75" thickBot="1" x14ac:dyDescent="0.3">
      <c r="A694" s="6" t="s">
        <v>829</v>
      </c>
      <c r="B694" s="7" t="s">
        <v>74</v>
      </c>
    </row>
    <row r="695" spans="1:2" ht="15.75" thickBot="1" x14ac:dyDescent="0.3">
      <c r="A695" s="6" t="s">
        <v>830</v>
      </c>
      <c r="B695" s="7" t="s">
        <v>74</v>
      </c>
    </row>
    <row r="696" spans="1:2" ht="15.75" thickBot="1" x14ac:dyDescent="0.3">
      <c r="A696" s="6" t="s">
        <v>831</v>
      </c>
      <c r="B696" s="7" t="s">
        <v>74</v>
      </c>
    </row>
    <row r="697" spans="1:2" ht="15.75" thickBot="1" x14ac:dyDescent="0.3">
      <c r="A697" s="6" t="s">
        <v>832</v>
      </c>
      <c r="B697" s="7" t="s">
        <v>75</v>
      </c>
    </row>
    <row r="698" spans="1:2" ht="15.75" thickBot="1" x14ac:dyDescent="0.3">
      <c r="A698" s="6" t="s">
        <v>833</v>
      </c>
      <c r="B698" s="7" t="s">
        <v>73</v>
      </c>
    </row>
    <row r="699" spans="1:2" ht="15.75" thickBot="1" x14ac:dyDescent="0.3">
      <c r="A699" s="6" t="s">
        <v>834</v>
      </c>
      <c r="B699" s="7" t="s">
        <v>75</v>
      </c>
    </row>
    <row r="700" spans="1:2" ht="15.75" thickBot="1" x14ac:dyDescent="0.3">
      <c r="A700" s="6" t="s">
        <v>835</v>
      </c>
      <c r="B700" s="7" t="s">
        <v>75</v>
      </c>
    </row>
    <row r="701" spans="1:2" ht="15.75" thickBot="1" x14ac:dyDescent="0.3">
      <c r="A701" s="6" t="s">
        <v>836</v>
      </c>
      <c r="B701" s="7" t="s">
        <v>75</v>
      </c>
    </row>
    <row r="702" spans="1:2" ht="15.75" thickBot="1" x14ac:dyDescent="0.3">
      <c r="A702" s="6" t="s">
        <v>837</v>
      </c>
      <c r="B702" s="7" t="s">
        <v>75</v>
      </c>
    </row>
    <row r="703" spans="1:2" ht="15.75" thickBot="1" x14ac:dyDescent="0.3">
      <c r="A703" s="6" t="s">
        <v>838</v>
      </c>
      <c r="B703" s="7" t="s">
        <v>73</v>
      </c>
    </row>
    <row r="704" spans="1:2" ht="15.75" thickBot="1" x14ac:dyDescent="0.3">
      <c r="A704" s="6" t="s">
        <v>839</v>
      </c>
      <c r="B704" s="7" t="s">
        <v>75</v>
      </c>
    </row>
    <row r="705" spans="1:2" ht="15.75" thickBot="1" x14ac:dyDescent="0.3">
      <c r="A705" s="6" t="s">
        <v>840</v>
      </c>
      <c r="B705" s="7" t="s">
        <v>73</v>
      </c>
    </row>
    <row r="706" spans="1:2" ht="15.75" thickBot="1" x14ac:dyDescent="0.3">
      <c r="A706" s="6" t="s">
        <v>841</v>
      </c>
      <c r="B706" s="7" t="s">
        <v>71</v>
      </c>
    </row>
    <row r="707" spans="1:2" ht="15.75" thickBot="1" x14ac:dyDescent="0.3">
      <c r="A707" s="6" t="s">
        <v>842</v>
      </c>
      <c r="B707" s="7" t="s">
        <v>75</v>
      </c>
    </row>
    <row r="708" spans="1:2" ht="15.75" thickBot="1" x14ac:dyDescent="0.3">
      <c r="A708" s="6" t="s">
        <v>843</v>
      </c>
      <c r="B708" s="7" t="s">
        <v>73</v>
      </c>
    </row>
    <row r="709" spans="1:2" ht="15.75" thickBot="1" x14ac:dyDescent="0.3">
      <c r="A709" s="6" t="s">
        <v>844</v>
      </c>
      <c r="B709" s="7" t="s">
        <v>71</v>
      </c>
    </row>
    <row r="710" spans="1:2" ht="15.75" thickBot="1" x14ac:dyDescent="0.3">
      <c r="A710" s="6" t="s">
        <v>845</v>
      </c>
      <c r="B710" s="7" t="s">
        <v>73</v>
      </c>
    </row>
    <row r="711" spans="1:2" ht="15.75" thickBot="1" x14ac:dyDescent="0.3">
      <c r="A711" s="6" t="s">
        <v>846</v>
      </c>
      <c r="B711" s="7" t="s">
        <v>71</v>
      </c>
    </row>
    <row r="712" spans="1:2" ht="15.75" thickBot="1" x14ac:dyDescent="0.3">
      <c r="A712" s="6" t="s">
        <v>847</v>
      </c>
      <c r="B712" s="7" t="s">
        <v>73</v>
      </c>
    </row>
    <row r="713" spans="1:2" ht="15.75" thickBot="1" x14ac:dyDescent="0.3">
      <c r="A713" s="6" t="s">
        <v>848</v>
      </c>
      <c r="B713" s="7" t="s">
        <v>72</v>
      </c>
    </row>
    <row r="714" spans="1:2" ht="15.75" thickBot="1" x14ac:dyDescent="0.3">
      <c r="A714" s="6" t="s">
        <v>849</v>
      </c>
      <c r="B714" s="7" t="s">
        <v>74</v>
      </c>
    </row>
    <row r="715" spans="1:2" ht="15.75" thickBot="1" x14ac:dyDescent="0.3">
      <c r="A715" s="6" t="s">
        <v>850</v>
      </c>
      <c r="B715" s="7" t="s">
        <v>73</v>
      </c>
    </row>
    <row r="716" spans="1:2" ht="15.75" thickBot="1" x14ac:dyDescent="0.3">
      <c r="A716" s="6" t="s">
        <v>851</v>
      </c>
      <c r="B716" s="7" t="s">
        <v>72</v>
      </c>
    </row>
    <row r="717" spans="1:2" ht="15.75" thickBot="1" x14ac:dyDescent="0.3">
      <c r="A717" s="6" t="s">
        <v>852</v>
      </c>
      <c r="B717" s="7" t="s">
        <v>73</v>
      </c>
    </row>
    <row r="718" spans="1:2" ht="15.75" thickBot="1" x14ac:dyDescent="0.3">
      <c r="A718" s="6" t="s">
        <v>853</v>
      </c>
      <c r="B718" s="7" t="s">
        <v>73</v>
      </c>
    </row>
    <row r="719" spans="1:2" ht="15.75" thickBot="1" x14ac:dyDescent="0.3">
      <c r="A719" s="6" t="s">
        <v>854</v>
      </c>
      <c r="B719" s="7" t="s">
        <v>73</v>
      </c>
    </row>
    <row r="720" spans="1:2" ht="15.75" thickBot="1" x14ac:dyDescent="0.3">
      <c r="A720" s="6" t="s">
        <v>855</v>
      </c>
      <c r="B720" s="7" t="s">
        <v>72</v>
      </c>
    </row>
    <row r="721" spans="1:2" ht="15.75" thickBot="1" x14ac:dyDescent="0.3">
      <c r="A721" s="6" t="s">
        <v>856</v>
      </c>
      <c r="B721" s="7" t="s">
        <v>73</v>
      </c>
    </row>
    <row r="722" spans="1:2" ht="15.75" thickBot="1" x14ac:dyDescent="0.3">
      <c r="A722" s="6" t="s">
        <v>857</v>
      </c>
      <c r="B722" s="7" t="s">
        <v>76</v>
      </c>
    </row>
    <row r="723" spans="1:2" ht="15.75" thickBot="1" x14ac:dyDescent="0.3">
      <c r="A723" s="6" t="s">
        <v>858</v>
      </c>
      <c r="B723" s="7" t="s">
        <v>74</v>
      </c>
    </row>
    <row r="724" spans="1:2" ht="15.75" thickBot="1" x14ac:dyDescent="0.3">
      <c r="A724" s="6" t="s">
        <v>859</v>
      </c>
      <c r="B724" s="7" t="s">
        <v>72</v>
      </c>
    </row>
    <row r="725" spans="1:2" ht="15.75" thickBot="1" x14ac:dyDescent="0.3">
      <c r="A725" s="6" t="s">
        <v>860</v>
      </c>
      <c r="B725" s="7" t="s">
        <v>76</v>
      </c>
    </row>
    <row r="726" spans="1:2" ht="15.75" thickBot="1" x14ac:dyDescent="0.3">
      <c r="A726" s="6" t="s">
        <v>861</v>
      </c>
      <c r="B726" s="7" t="s">
        <v>76</v>
      </c>
    </row>
    <row r="727" spans="1:2" ht="15.75" thickBot="1" x14ac:dyDescent="0.3">
      <c r="A727" s="6" t="s">
        <v>862</v>
      </c>
      <c r="B727" s="7" t="s">
        <v>74</v>
      </c>
    </row>
    <row r="728" spans="1:2" ht="15.75" thickBot="1" x14ac:dyDescent="0.3">
      <c r="A728" s="6" t="s">
        <v>863</v>
      </c>
      <c r="B728" s="7" t="s">
        <v>72</v>
      </c>
    </row>
    <row r="729" spans="1:2" ht="15.75" thickBot="1" x14ac:dyDescent="0.3">
      <c r="A729" s="6" t="s">
        <v>864</v>
      </c>
      <c r="B729" s="7" t="s">
        <v>76</v>
      </c>
    </row>
    <row r="730" spans="1:2" ht="15.75" thickBot="1" x14ac:dyDescent="0.3">
      <c r="A730" s="6" t="s">
        <v>865</v>
      </c>
      <c r="B730" s="7" t="s">
        <v>74</v>
      </c>
    </row>
    <row r="731" spans="1:2" ht="15.75" thickBot="1" x14ac:dyDescent="0.3">
      <c r="A731" s="6" t="s">
        <v>866</v>
      </c>
      <c r="B731" s="7" t="s">
        <v>72</v>
      </c>
    </row>
    <row r="732" spans="1:2" ht="15.75" thickBot="1" x14ac:dyDescent="0.3">
      <c r="A732" s="6" t="s">
        <v>867</v>
      </c>
      <c r="B732" s="7" t="s">
        <v>74</v>
      </c>
    </row>
    <row r="733" spans="1:2" ht="15.75" thickBot="1" x14ac:dyDescent="0.3">
      <c r="A733" s="6" t="s">
        <v>868</v>
      </c>
      <c r="B733" s="7" t="s">
        <v>74</v>
      </c>
    </row>
    <row r="734" spans="1:2" ht="15.75" thickBot="1" x14ac:dyDescent="0.3">
      <c r="A734" s="6" t="s">
        <v>869</v>
      </c>
      <c r="B734" s="7" t="s">
        <v>70</v>
      </c>
    </row>
    <row r="735" spans="1:2" ht="15.75" thickBot="1" x14ac:dyDescent="0.3">
      <c r="A735" s="6" t="s">
        <v>870</v>
      </c>
      <c r="B735" s="7" t="s">
        <v>76</v>
      </c>
    </row>
    <row r="736" spans="1:2" ht="15.75" thickBot="1" x14ac:dyDescent="0.3">
      <c r="A736" s="6" t="s">
        <v>871</v>
      </c>
      <c r="B736" s="7" t="s">
        <v>71</v>
      </c>
    </row>
    <row r="737" spans="1:2" ht="15.75" thickBot="1" x14ac:dyDescent="0.3">
      <c r="A737" s="6" t="s">
        <v>872</v>
      </c>
      <c r="B737" s="7" t="s">
        <v>76</v>
      </c>
    </row>
    <row r="738" spans="1:2" ht="15.75" thickBot="1" x14ac:dyDescent="0.3">
      <c r="A738" s="6" t="s">
        <v>873</v>
      </c>
      <c r="B738" s="7" t="s">
        <v>73</v>
      </c>
    </row>
    <row r="739" spans="1:2" ht="15.75" thickBot="1" x14ac:dyDescent="0.3">
      <c r="A739" s="6" t="s">
        <v>874</v>
      </c>
      <c r="B739" s="7" t="s">
        <v>76</v>
      </c>
    </row>
    <row r="740" spans="1:2" ht="15.75" thickBot="1" x14ac:dyDescent="0.3">
      <c r="A740" s="6" t="s">
        <v>875</v>
      </c>
      <c r="B740" s="7" t="s">
        <v>76</v>
      </c>
    </row>
    <row r="741" spans="1:2" ht="15.75" thickBot="1" x14ac:dyDescent="0.3">
      <c r="A741" s="6" t="s">
        <v>876</v>
      </c>
      <c r="B741" s="7" t="s">
        <v>74</v>
      </c>
    </row>
    <row r="742" spans="1:2" ht="15.75" thickBot="1" x14ac:dyDescent="0.3">
      <c r="A742" s="6" t="s">
        <v>877</v>
      </c>
      <c r="B742" s="7" t="s">
        <v>76</v>
      </c>
    </row>
    <row r="743" spans="1:2" ht="15.75" thickBot="1" x14ac:dyDescent="0.3">
      <c r="A743" s="6" t="s">
        <v>878</v>
      </c>
      <c r="B743" s="7" t="s">
        <v>73</v>
      </c>
    </row>
    <row r="744" spans="1:2" ht="15.75" thickBot="1" x14ac:dyDescent="0.3">
      <c r="A744" s="6" t="s">
        <v>879</v>
      </c>
      <c r="B744" s="7" t="s">
        <v>76</v>
      </c>
    </row>
    <row r="745" spans="1:2" ht="15.75" thickBot="1" x14ac:dyDescent="0.3">
      <c r="A745" s="6" t="s">
        <v>880</v>
      </c>
      <c r="B745" s="7" t="s">
        <v>76</v>
      </c>
    </row>
    <row r="746" spans="1:2" ht="15.75" thickBot="1" x14ac:dyDescent="0.3">
      <c r="A746" s="6" t="s">
        <v>881</v>
      </c>
      <c r="B746" s="7" t="s">
        <v>71</v>
      </c>
    </row>
    <row r="747" spans="1:2" ht="15.75" thickBot="1" x14ac:dyDescent="0.3">
      <c r="A747" s="6" t="s">
        <v>882</v>
      </c>
      <c r="B747" s="7" t="s">
        <v>71</v>
      </c>
    </row>
    <row r="748" spans="1:2" ht="15.75" thickBot="1" x14ac:dyDescent="0.3">
      <c r="A748" s="6" t="s">
        <v>883</v>
      </c>
      <c r="B748" s="7" t="s">
        <v>76</v>
      </c>
    </row>
    <row r="749" spans="1:2" ht="15.75" thickBot="1" x14ac:dyDescent="0.3">
      <c r="A749" s="6" t="s">
        <v>884</v>
      </c>
      <c r="B749" s="7" t="s">
        <v>73</v>
      </c>
    </row>
    <row r="750" spans="1:2" ht="15.75" thickBot="1" x14ac:dyDescent="0.3">
      <c r="A750" s="6" t="s">
        <v>885</v>
      </c>
      <c r="B750" s="7" t="s">
        <v>73</v>
      </c>
    </row>
    <row r="751" spans="1:2" ht="15.75" thickBot="1" x14ac:dyDescent="0.3">
      <c r="A751" s="6" t="s">
        <v>886</v>
      </c>
      <c r="B751" s="7" t="s">
        <v>74</v>
      </c>
    </row>
    <row r="752" spans="1:2" ht="15.75" thickBot="1" x14ac:dyDescent="0.3">
      <c r="A752" s="6" t="s">
        <v>887</v>
      </c>
      <c r="B752" s="7" t="s">
        <v>74</v>
      </c>
    </row>
    <row r="753" spans="1:2" ht="15.75" thickBot="1" x14ac:dyDescent="0.3">
      <c r="A753" s="6" t="s">
        <v>888</v>
      </c>
      <c r="B753" s="7" t="s">
        <v>74</v>
      </c>
    </row>
    <row r="754" spans="1:2" ht="15.75" thickBot="1" x14ac:dyDescent="0.3">
      <c r="A754" s="6" t="s">
        <v>889</v>
      </c>
      <c r="B754" s="7" t="s">
        <v>74</v>
      </c>
    </row>
    <row r="755" spans="1:2" ht="15.75" thickBot="1" x14ac:dyDescent="0.3">
      <c r="A755" s="6" t="s">
        <v>890</v>
      </c>
      <c r="B755" s="7" t="s">
        <v>74</v>
      </c>
    </row>
    <row r="756" spans="1:2" ht="15.75" thickBot="1" x14ac:dyDescent="0.3">
      <c r="A756" s="6" t="s">
        <v>891</v>
      </c>
      <c r="B756" s="7" t="s">
        <v>74</v>
      </c>
    </row>
    <row r="757" spans="1:2" ht="15.75" thickBot="1" x14ac:dyDescent="0.3">
      <c r="A757" s="6" t="s">
        <v>892</v>
      </c>
      <c r="B757" s="7" t="s">
        <v>74</v>
      </c>
    </row>
    <row r="758" spans="1:2" ht="15.75" thickBot="1" x14ac:dyDescent="0.3">
      <c r="A758" s="6" t="s">
        <v>893</v>
      </c>
      <c r="B758" s="7" t="s">
        <v>74</v>
      </c>
    </row>
    <row r="759" spans="1:2" ht="15.75" thickBot="1" x14ac:dyDescent="0.3">
      <c r="A759" s="6" t="s">
        <v>894</v>
      </c>
      <c r="B759" s="7" t="s">
        <v>74</v>
      </c>
    </row>
    <row r="760" spans="1:2" ht="15.75" thickBot="1" x14ac:dyDescent="0.3">
      <c r="A760" s="6" t="s">
        <v>895</v>
      </c>
      <c r="B760" s="7" t="s">
        <v>71</v>
      </c>
    </row>
    <row r="761" spans="1:2" ht="15.75" thickBot="1" x14ac:dyDescent="0.3">
      <c r="A761" s="6" t="s">
        <v>896</v>
      </c>
      <c r="B761" s="7" t="s">
        <v>76</v>
      </c>
    </row>
    <row r="762" spans="1:2" ht="15.75" thickBot="1" x14ac:dyDescent="0.3">
      <c r="A762" s="6" t="s">
        <v>897</v>
      </c>
      <c r="B762" s="7" t="s">
        <v>73</v>
      </c>
    </row>
    <row r="763" spans="1:2" ht="15.75" thickBot="1" x14ac:dyDescent="0.3">
      <c r="A763" s="6" t="s">
        <v>898</v>
      </c>
      <c r="B763" s="7" t="s">
        <v>76</v>
      </c>
    </row>
    <row r="764" spans="1:2" ht="15.75" thickBot="1" x14ac:dyDescent="0.3">
      <c r="A764" s="6" t="s">
        <v>899</v>
      </c>
      <c r="B764" s="7" t="s">
        <v>71</v>
      </c>
    </row>
    <row r="765" spans="1:2" ht="15.75" thickBot="1" x14ac:dyDescent="0.3">
      <c r="A765" s="6" t="s">
        <v>900</v>
      </c>
      <c r="B765" s="7" t="s">
        <v>72</v>
      </c>
    </row>
    <row r="766" spans="1:2" ht="15.75" thickBot="1" x14ac:dyDescent="0.3">
      <c r="A766" s="6" t="s">
        <v>901</v>
      </c>
      <c r="B766" s="7" t="s">
        <v>76</v>
      </c>
    </row>
    <row r="767" spans="1:2" ht="15.75" thickBot="1" x14ac:dyDescent="0.3">
      <c r="A767" s="6" t="s">
        <v>902</v>
      </c>
      <c r="B767" s="7" t="s">
        <v>72</v>
      </c>
    </row>
    <row r="768" spans="1:2" ht="15.75" thickBot="1" x14ac:dyDescent="0.3">
      <c r="A768" s="6" t="s">
        <v>903</v>
      </c>
      <c r="B768" s="7" t="s">
        <v>72</v>
      </c>
    </row>
    <row r="769" spans="1:2" ht="15.75" thickBot="1" x14ac:dyDescent="0.3">
      <c r="A769" s="6" t="s">
        <v>904</v>
      </c>
      <c r="B769" s="7" t="s">
        <v>72</v>
      </c>
    </row>
    <row r="770" spans="1:2" ht="15.75" thickBot="1" x14ac:dyDescent="0.3">
      <c r="A770" s="6" t="s">
        <v>905</v>
      </c>
      <c r="B770" s="7" t="s">
        <v>75</v>
      </c>
    </row>
    <row r="771" spans="1:2" ht="15.75" thickBot="1" x14ac:dyDescent="0.3">
      <c r="A771" s="6" t="s">
        <v>906</v>
      </c>
      <c r="B771" s="7" t="s">
        <v>72</v>
      </c>
    </row>
    <row r="772" spans="1:2" ht="15.75" thickBot="1" x14ac:dyDescent="0.3">
      <c r="A772" s="6" t="s">
        <v>907</v>
      </c>
      <c r="B772" s="7" t="s">
        <v>74</v>
      </c>
    </row>
    <row r="773" spans="1:2" ht="15.75" thickBot="1" x14ac:dyDescent="0.3">
      <c r="A773" s="6" t="s">
        <v>908</v>
      </c>
      <c r="B773" s="7" t="s">
        <v>75</v>
      </c>
    </row>
    <row r="774" spans="1:2" ht="15.75" thickBot="1" x14ac:dyDescent="0.3">
      <c r="A774" s="6" t="s">
        <v>909</v>
      </c>
      <c r="B774" s="7" t="s">
        <v>76</v>
      </c>
    </row>
    <row r="775" spans="1:2" ht="15.75" thickBot="1" x14ac:dyDescent="0.3">
      <c r="A775" s="6" t="s">
        <v>910</v>
      </c>
      <c r="B775" s="7" t="s">
        <v>76</v>
      </c>
    </row>
    <row r="776" spans="1:2" ht="15.75" thickBot="1" x14ac:dyDescent="0.3">
      <c r="A776" s="6" t="s">
        <v>911</v>
      </c>
      <c r="B776" s="7" t="s">
        <v>76</v>
      </c>
    </row>
    <row r="777" spans="1:2" ht="15.75" thickBot="1" x14ac:dyDescent="0.3">
      <c r="A777" s="6" t="s">
        <v>912</v>
      </c>
      <c r="B777" s="7" t="s">
        <v>74</v>
      </c>
    </row>
    <row r="778" spans="1:2" ht="15.75" thickBot="1" x14ac:dyDescent="0.3">
      <c r="A778" s="6" t="s">
        <v>913</v>
      </c>
      <c r="B778" s="7" t="s">
        <v>76</v>
      </c>
    </row>
    <row r="779" spans="1:2" ht="15.75" thickBot="1" x14ac:dyDescent="0.3">
      <c r="A779" s="6" t="s">
        <v>914</v>
      </c>
      <c r="B779" s="7" t="s">
        <v>73</v>
      </c>
    </row>
    <row r="780" spans="1:2" ht="15.75" thickBot="1" x14ac:dyDescent="0.3">
      <c r="A780" s="6" t="s">
        <v>915</v>
      </c>
      <c r="B780" s="7" t="s">
        <v>73</v>
      </c>
    </row>
    <row r="781" spans="1:2" ht="15.75" thickBot="1" x14ac:dyDescent="0.3">
      <c r="A781" s="6" t="s">
        <v>916</v>
      </c>
      <c r="B781" s="7" t="s">
        <v>76</v>
      </c>
    </row>
    <row r="782" spans="1:2" ht="15.75" thickBot="1" x14ac:dyDescent="0.3">
      <c r="A782" s="6" t="s">
        <v>917</v>
      </c>
      <c r="B782" s="7" t="s">
        <v>71</v>
      </c>
    </row>
    <row r="783" spans="1:2" ht="15.75" thickBot="1" x14ac:dyDescent="0.3">
      <c r="A783" s="6" t="s">
        <v>918</v>
      </c>
      <c r="B783" s="7" t="s">
        <v>72</v>
      </c>
    </row>
    <row r="784" spans="1:2" ht="15.75" thickBot="1" x14ac:dyDescent="0.3">
      <c r="A784" s="6" t="s">
        <v>919</v>
      </c>
      <c r="B784" s="7" t="s">
        <v>72</v>
      </c>
    </row>
    <row r="785" spans="1:2" ht="15.75" thickBot="1" x14ac:dyDescent="0.3">
      <c r="A785" s="6" t="s">
        <v>920</v>
      </c>
      <c r="B785" s="7" t="s">
        <v>72</v>
      </c>
    </row>
    <row r="786" spans="1:2" ht="15.75" thickBot="1" x14ac:dyDescent="0.3">
      <c r="A786" s="6" t="s">
        <v>921</v>
      </c>
      <c r="B786" s="7" t="s">
        <v>72</v>
      </c>
    </row>
    <row r="787" spans="1:2" ht="15.75" thickBot="1" x14ac:dyDescent="0.3">
      <c r="A787" s="6" t="s">
        <v>922</v>
      </c>
      <c r="B787" s="7" t="s">
        <v>72</v>
      </c>
    </row>
    <row r="788" spans="1:2" ht="15.75" thickBot="1" x14ac:dyDescent="0.3">
      <c r="A788" s="6" t="s">
        <v>923</v>
      </c>
      <c r="B788" s="7" t="s">
        <v>72</v>
      </c>
    </row>
    <row r="789" spans="1:2" ht="15.75" thickBot="1" x14ac:dyDescent="0.3">
      <c r="A789" s="6" t="s">
        <v>924</v>
      </c>
      <c r="B789" s="7" t="s">
        <v>72</v>
      </c>
    </row>
    <row r="790" spans="1:2" ht="15.75" thickBot="1" x14ac:dyDescent="0.3">
      <c r="A790" s="6" t="s">
        <v>925</v>
      </c>
      <c r="B790" s="7" t="s">
        <v>75</v>
      </c>
    </row>
    <row r="791" spans="1:2" ht="15.75" thickBot="1" x14ac:dyDescent="0.3">
      <c r="A791" s="6" t="s">
        <v>926</v>
      </c>
      <c r="B791" s="7" t="s">
        <v>71</v>
      </c>
    </row>
    <row r="792" spans="1:2" ht="15.75" thickBot="1" x14ac:dyDescent="0.3">
      <c r="A792" s="6" t="s">
        <v>927</v>
      </c>
      <c r="B792" s="7" t="s">
        <v>74</v>
      </c>
    </row>
    <row r="793" spans="1:2" ht="15.75" thickBot="1" x14ac:dyDescent="0.3">
      <c r="A793" s="6" t="s">
        <v>928</v>
      </c>
      <c r="B793" s="7" t="s">
        <v>74</v>
      </c>
    </row>
    <row r="794" spans="1:2" ht="15.75" thickBot="1" x14ac:dyDescent="0.3">
      <c r="A794" s="6" t="s">
        <v>929</v>
      </c>
      <c r="B794" s="7" t="s">
        <v>74</v>
      </c>
    </row>
    <row r="795" spans="1:2" ht="15.75" thickBot="1" x14ac:dyDescent="0.3">
      <c r="A795" s="6" t="s">
        <v>930</v>
      </c>
      <c r="B795" s="7" t="s">
        <v>74</v>
      </c>
    </row>
    <row r="796" spans="1:2" ht="15.75" thickBot="1" x14ac:dyDescent="0.3">
      <c r="A796" s="6" t="s">
        <v>931</v>
      </c>
      <c r="B796" s="7" t="s">
        <v>74</v>
      </c>
    </row>
    <row r="797" spans="1:2" ht="15.75" thickBot="1" x14ac:dyDescent="0.3">
      <c r="A797" s="6" t="s">
        <v>932</v>
      </c>
      <c r="B797" s="7" t="s">
        <v>71</v>
      </c>
    </row>
    <row r="798" spans="1:2" ht="15.75" thickBot="1" x14ac:dyDescent="0.3">
      <c r="A798" s="6" t="s">
        <v>933</v>
      </c>
      <c r="B798" s="7" t="s">
        <v>76</v>
      </c>
    </row>
    <row r="799" spans="1:2" ht="15.75" thickBot="1" x14ac:dyDescent="0.3">
      <c r="A799" s="6" t="s">
        <v>934</v>
      </c>
      <c r="B799" s="7" t="s">
        <v>71</v>
      </c>
    </row>
    <row r="800" spans="1:2" ht="15.75" thickBot="1" x14ac:dyDescent="0.3">
      <c r="A800" s="6" t="s">
        <v>935</v>
      </c>
      <c r="B800" s="7" t="s">
        <v>74</v>
      </c>
    </row>
    <row r="801" spans="1:2" ht="15.75" thickBot="1" x14ac:dyDescent="0.3">
      <c r="A801" s="6" t="s">
        <v>936</v>
      </c>
      <c r="B801" s="7" t="s">
        <v>76</v>
      </c>
    </row>
    <row r="802" spans="1:2" ht="15.75" thickBot="1" x14ac:dyDescent="0.3">
      <c r="A802" s="6" t="s">
        <v>937</v>
      </c>
      <c r="B802" s="7" t="s">
        <v>74</v>
      </c>
    </row>
    <row r="803" spans="1:2" ht="15.75" thickBot="1" x14ac:dyDescent="0.3">
      <c r="A803" s="6" t="s">
        <v>938</v>
      </c>
      <c r="B803" s="7" t="s">
        <v>74</v>
      </c>
    </row>
    <row r="804" spans="1:2" ht="15.75" thickBot="1" x14ac:dyDescent="0.3">
      <c r="A804" s="6" t="s">
        <v>939</v>
      </c>
      <c r="B804" s="7" t="s">
        <v>74</v>
      </c>
    </row>
    <row r="805" spans="1:2" ht="15.75" thickBot="1" x14ac:dyDescent="0.3">
      <c r="A805" s="6" t="s">
        <v>940</v>
      </c>
      <c r="B805" s="7" t="s">
        <v>76</v>
      </c>
    </row>
    <row r="806" spans="1:2" ht="15.75" thickBot="1" x14ac:dyDescent="0.3">
      <c r="A806" s="6" t="s">
        <v>941</v>
      </c>
      <c r="B806" s="7" t="s">
        <v>76</v>
      </c>
    </row>
    <row r="807" spans="1:2" ht="15.75" thickBot="1" x14ac:dyDescent="0.3">
      <c r="A807" s="6" t="s">
        <v>942</v>
      </c>
      <c r="B807" s="7" t="s">
        <v>74</v>
      </c>
    </row>
    <row r="808" spans="1:2" ht="15.75" thickBot="1" x14ac:dyDescent="0.3">
      <c r="A808" s="6" t="s">
        <v>943</v>
      </c>
      <c r="B808" s="7" t="s">
        <v>74</v>
      </c>
    </row>
    <row r="809" spans="1:2" ht="15.75" thickBot="1" x14ac:dyDescent="0.3">
      <c r="A809" s="6" t="s">
        <v>944</v>
      </c>
      <c r="B809" s="7" t="s">
        <v>74</v>
      </c>
    </row>
    <row r="810" spans="1:2" ht="15.75" thickBot="1" x14ac:dyDescent="0.3">
      <c r="A810" s="6" t="s">
        <v>945</v>
      </c>
      <c r="B810" s="7" t="s">
        <v>71</v>
      </c>
    </row>
    <row r="811" spans="1:2" ht="15.75" thickBot="1" x14ac:dyDescent="0.3">
      <c r="A811" s="6" t="s">
        <v>946</v>
      </c>
      <c r="B811" s="7" t="s">
        <v>73</v>
      </c>
    </row>
    <row r="812" spans="1:2" ht="15.75" thickBot="1" x14ac:dyDescent="0.3">
      <c r="A812" s="6" t="s">
        <v>947</v>
      </c>
      <c r="B812" s="7" t="s">
        <v>76</v>
      </c>
    </row>
    <row r="813" spans="1:2" ht="15.75" thickBot="1" x14ac:dyDescent="0.3">
      <c r="A813" s="6" t="s">
        <v>948</v>
      </c>
      <c r="B813" s="7" t="s">
        <v>71</v>
      </c>
    </row>
    <row r="814" spans="1:2" ht="15.75" thickBot="1" x14ac:dyDescent="0.3">
      <c r="A814" s="6" t="s">
        <v>949</v>
      </c>
      <c r="B814" s="7" t="s">
        <v>71</v>
      </c>
    </row>
    <row r="815" spans="1:2" ht="15.75" thickBot="1" x14ac:dyDescent="0.3">
      <c r="A815" s="6" t="s">
        <v>950</v>
      </c>
      <c r="B815" s="7" t="s">
        <v>76</v>
      </c>
    </row>
    <row r="816" spans="1:2" ht="15.75" thickBot="1" x14ac:dyDescent="0.3">
      <c r="A816" s="6" t="s">
        <v>951</v>
      </c>
      <c r="B816" s="7" t="s">
        <v>73</v>
      </c>
    </row>
    <row r="817" spans="1:2" ht="15.75" thickBot="1" x14ac:dyDescent="0.3">
      <c r="A817" s="6" t="s">
        <v>952</v>
      </c>
      <c r="B817" s="7" t="s">
        <v>74</v>
      </c>
    </row>
    <row r="818" spans="1:2" ht="15.75" thickBot="1" x14ac:dyDescent="0.3">
      <c r="A818" s="6" t="s">
        <v>953</v>
      </c>
      <c r="B818" s="7" t="s">
        <v>71</v>
      </c>
    </row>
    <row r="819" spans="1:2" ht="15.75" thickBot="1" x14ac:dyDescent="0.3">
      <c r="A819" s="6" t="s">
        <v>954</v>
      </c>
      <c r="B819" s="7" t="s">
        <v>71</v>
      </c>
    </row>
    <row r="820" spans="1:2" ht="15.75" thickBot="1" x14ac:dyDescent="0.3">
      <c r="A820" s="6" t="s">
        <v>955</v>
      </c>
      <c r="B820" s="7" t="s">
        <v>76</v>
      </c>
    </row>
    <row r="821" spans="1:2" ht="15.75" thickBot="1" x14ac:dyDescent="0.3">
      <c r="A821" s="6" t="s">
        <v>956</v>
      </c>
      <c r="B821" s="7" t="s">
        <v>76</v>
      </c>
    </row>
    <row r="822" spans="1:2" ht="15.75" thickBot="1" x14ac:dyDescent="0.3">
      <c r="A822" s="6" t="s">
        <v>957</v>
      </c>
      <c r="B822" s="7" t="s">
        <v>72</v>
      </c>
    </row>
    <row r="823" spans="1:2" ht="15.75" thickBot="1" x14ac:dyDescent="0.3">
      <c r="A823" s="6" t="s">
        <v>958</v>
      </c>
      <c r="B823" s="7" t="s">
        <v>72</v>
      </c>
    </row>
    <row r="824" spans="1:2" ht="15.75" thickBot="1" x14ac:dyDescent="0.3">
      <c r="A824" s="6" t="s">
        <v>959</v>
      </c>
      <c r="B824" s="7" t="s">
        <v>72</v>
      </c>
    </row>
    <row r="825" spans="1:2" ht="15.75" thickBot="1" x14ac:dyDescent="0.3">
      <c r="A825" s="6" t="s">
        <v>960</v>
      </c>
      <c r="B825" s="7" t="s">
        <v>72</v>
      </c>
    </row>
    <row r="826" spans="1:2" ht="15.75" thickBot="1" x14ac:dyDescent="0.3">
      <c r="A826" s="6" t="s">
        <v>961</v>
      </c>
      <c r="B826" s="7" t="s">
        <v>72</v>
      </c>
    </row>
    <row r="827" spans="1:2" ht="15.75" thickBot="1" x14ac:dyDescent="0.3">
      <c r="A827" s="6" t="s">
        <v>962</v>
      </c>
      <c r="B827" s="7" t="s">
        <v>72</v>
      </c>
    </row>
    <row r="828" spans="1:2" ht="15.75" thickBot="1" x14ac:dyDescent="0.3">
      <c r="A828" s="6" t="s">
        <v>963</v>
      </c>
      <c r="B828" s="7" t="s">
        <v>74</v>
      </c>
    </row>
    <row r="829" spans="1:2" ht="15.75" thickBot="1" x14ac:dyDescent="0.3">
      <c r="A829" s="6" t="s">
        <v>964</v>
      </c>
      <c r="B829" s="7" t="s">
        <v>72</v>
      </c>
    </row>
    <row r="830" spans="1:2" ht="15.75" thickBot="1" x14ac:dyDescent="0.3">
      <c r="A830" s="6" t="s">
        <v>965</v>
      </c>
      <c r="B830" s="7" t="s">
        <v>72</v>
      </c>
    </row>
    <row r="831" spans="1:2" ht="15.75" thickBot="1" x14ac:dyDescent="0.3">
      <c r="A831" s="6" t="s">
        <v>966</v>
      </c>
      <c r="B831" s="7" t="s">
        <v>72</v>
      </c>
    </row>
    <row r="832" spans="1:2" ht="15.75" thickBot="1" x14ac:dyDescent="0.3">
      <c r="A832" s="6" t="s">
        <v>967</v>
      </c>
      <c r="B832" s="7" t="s">
        <v>71</v>
      </c>
    </row>
    <row r="833" spans="1:2" ht="15.75" thickBot="1" x14ac:dyDescent="0.3">
      <c r="A833" s="6" t="s">
        <v>968</v>
      </c>
      <c r="B833" s="7" t="s">
        <v>72</v>
      </c>
    </row>
    <row r="834" spans="1:2" ht="15.75" thickBot="1" x14ac:dyDescent="0.3">
      <c r="A834" s="6" t="s">
        <v>969</v>
      </c>
      <c r="B834" s="7" t="s">
        <v>72</v>
      </c>
    </row>
    <row r="835" spans="1:2" ht="15.75" thickBot="1" x14ac:dyDescent="0.3">
      <c r="A835" s="6" t="s">
        <v>970</v>
      </c>
      <c r="B835" s="7" t="s">
        <v>72</v>
      </c>
    </row>
    <row r="836" spans="1:2" ht="15.75" thickBot="1" x14ac:dyDescent="0.3">
      <c r="A836" s="6" t="s">
        <v>971</v>
      </c>
      <c r="B836" s="7" t="s">
        <v>72</v>
      </c>
    </row>
    <row r="837" spans="1:2" ht="15.75" thickBot="1" x14ac:dyDescent="0.3">
      <c r="A837" s="6" t="s">
        <v>972</v>
      </c>
      <c r="B837" s="7" t="s">
        <v>73</v>
      </c>
    </row>
    <row r="838" spans="1:2" ht="15.75" thickBot="1" x14ac:dyDescent="0.3">
      <c r="A838" s="6" t="s">
        <v>973</v>
      </c>
      <c r="B838" s="7" t="s">
        <v>73</v>
      </c>
    </row>
    <row r="839" spans="1:2" ht="15.75" thickBot="1" x14ac:dyDescent="0.3">
      <c r="A839" s="6" t="s">
        <v>974</v>
      </c>
      <c r="B839" s="7" t="s">
        <v>72</v>
      </c>
    </row>
    <row r="840" spans="1:2" ht="15.75" thickBot="1" x14ac:dyDescent="0.3">
      <c r="A840" s="6" t="s">
        <v>975</v>
      </c>
      <c r="B840" s="7" t="s">
        <v>72</v>
      </c>
    </row>
    <row r="841" spans="1:2" ht="15.75" thickBot="1" x14ac:dyDescent="0.3">
      <c r="A841" s="6" t="s">
        <v>976</v>
      </c>
      <c r="B841" s="7" t="s">
        <v>76</v>
      </c>
    </row>
    <row r="842" spans="1:2" ht="15.75" thickBot="1" x14ac:dyDescent="0.3">
      <c r="A842" s="6" t="s">
        <v>977</v>
      </c>
      <c r="B842" s="7" t="s">
        <v>76</v>
      </c>
    </row>
    <row r="843" spans="1:2" ht="15.75" thickBot="1" x14ac:dyDescent="0.3">
      <c r="A843" s="6" t="s">
        <v>978</v>
      </c>
      <c r="B843" s="7" t="s">
        <v>72</v>
      </c>
    </row>
    <row r="844" spans="1:2" ht="15.75" thickBot="1" x14ac:dyDescent="0.3">
      <c r="A844" s="6" t="s">
        <v>979</v>
      </c>
      <c r="B844" s="7" t="s">
        <v>72</v>
      </c>
    </row>
    <row r="845" spans="1:2" ht="15.75" thickBot="1" x14ac:dyDescent="0.3">
      <c r="A845" s="6" t="s">
        <v>980</v>
      </c>
      <c r="B845" s="7" t="s">
        <v>71</v>
      </c>
    </row>
    <row r="846" spans="1:2" ht="15.75" thickBot="1" x14ac:dyDescent="0.3">
      <c r="A846" s="6" t="s">
        <v>981</v>
      </c>
      <c r="B846" s="7" t="s">
        <v>71</v>
      </c>
    </row>
    <row r="847" spans="1:2" ht="15.75" thickBot="1" x14ac:dyDescent="0.3">
      <c r="A847" s="6" t="s">
        <v>982</v>
      </c>
      <c r="B847" s="7" t="s">
        <v>71</v>
      </c>
    </row>
    <row r="848" spans="1:2" ht="15.75" thickBot="1" x14ac:dyDescent="0.3">
      <c r="A848" s="6" t="s">
        <v>983</v>
      </c>
      <c r="B848" s="7" t="s">
        <v>75</v>
      </c>
    </row>
    <row r="849" spans="1:2" ht="15.75" thickBot="1" x14ac:dyDescent="0.3">
      <c r="A849" s="6" t="s">
        <v>984</v>
      </c>
      <c r="B849" s="7" t="s">
        <v>73</v>
      </c>
    </row>
    <row r="850" spans="1:2" ht="15.75" thickBot="1" x14ac:dyDescent="0.3">
      <c r="A850" s="6" t="s">
        <v>985</v>
      </c>
      <c r="B850" s="7" t="s">
        <v>73</v>
      </c>
    </row>
    <row r="851" spans="1:2" ht="15.75" thickBot="1" x14ac:dyDescent="0.3">
      <c r="A851" s="6" t="s">
        <v>986</v>
      </c>
      <c r="B851" s="7" t="s">
        <v>73</v>
      </c>
    </row>
    <row r="852" spans="1:2" ht="15.75" thickBot="1" x14ac:dyDescent="0.3">
      <c r="A852" s="6" t="s">
        <v>987</v>
      </c>
      <c r="B852" s="7" t="s">
        <v>76</v>
      </c>
    </row>
    <row r="853" spans="1:2" ht="15.75" thickBot="1" x14ac:dyDescent="0.3">
      <c r="A853" s="6" t="s">
        <v>988</v>
      </c>
      <c r="B853" s="7" t="s">
        <v>72</v>
      </c>
    </row>
    <row r="854" spans="1:2" ht="15.75" thickBot="1" x14ac:dyDescent="0.3">
      <c r="A854" s="6" t="s">
        <v>989</v>
      </c>
      <c r="B854" s="7" t="s">
        <v>71</v>
      </c>
    </row>
    <row r="855" spans="1:2" ht="15.75" thickBot="1" x14ac:dyDescent="0.3">
      <c r="A855" s="6" t="s">
        <v>990</v>
      </c>
      <c r="B855" s="7" t="s">
        <v>72</v>
      </c>
    </row>
    <row r="856" spans="1:2" ht="15.75" thickBot="1" x14ac:dyDescent="0.3">
      <c r="A856" s="6" t="s">
        <v>991</v>
      </c>
      <c r="B856" s="7" t="s">
        <v>72</v>
      </c>
    </row>
    <row r="857" spans="1:2" ht="15.75" thickBot="1" x14ac:dyDescent="0.3">
      <c r="A857" s="6" t="s">
        <v>992</v>
      </c>
      <c r="B857" s="7" t="s">
        <v>71</v>
      </c>
    </row>
    <row r="858" spans="1:2" ht="15.75" thickBot="1" x14ac:dyDescent="0.3">
      <c r="A858" s="6" t="s">
        <v>993</v>
      </c>
      <c r="B858" s="7" t="s">
        <v>72</v>
      </c>
    </row>
    <row r="859" spans="1:2" ht="15.75" thickBot="1" x14ac:dyDescent="0.3">
      <c r="A859" s="6" t="s">
        <v>994</v>
      </c>
      <c r="B859" s="7" t="s">
        <v>72</v>
      </c>
    </row>
    <row r="860" spans="1:2" ht="15.75" thickBot="1" x14ac:dyDescent="0.3">
      <c r="A860" s="6" t="s">
        <v>995</v>
      </c>
      <c r="B860" s="7" t="s">
        <v>73</v>
      </c>
    </row>
    <row r="861" spans="1:2" ht="15.75" thickBot="1" x14ac:dyDescent="0.3">
      <c r="A861" s="6" t="s">
        <v>996</v>
      </c>
      <c r="B861" s="7" t="s">
        <v>72</v>
      </c>
    </row>
    <row r="862" spans="1:2" ht="15.75" thickBot="1" x14ac:dyDescent="0.3">
      <c r="A862" s="6" t="s">
        <v>997</v>
      </c>
      <c r="B862" s="7" t="s">
        <v>71</v>
      </c>
    </row>
    <row r="863" spans="1:2" ht="15.75" thickBot="1" x14ac:dyDescent="0.3">
      <c r="A863" s="6" t="s">
        <v>998</v>
      </c>
      <c r="B863" s="7" t="s">
        <v>72</v>
      </c>
    </row>
    <row r="864" spans="1:2" ht="15.75" thickBot="1" x14ac:dyDescent="0.3">
      <c r="A864" s="6" t="s">
        <v>999</v>
      </c>
      <c r="B864" s="7" t="s">
        <v>75</v>
      </c>
    </row>
    <row r="865" spans="1:2" ht="15.75" thickBot="1" x14ac:dyDescent="0.3">
      <c r="A865" s="6" t="s">
        <v>1000</v>
      </c>
      <c r="B865" s="7" t="s">
        <v>72</v>
      </c>
    </row>
    <row r="866" spans="1:2" ht="15.75" thickBot="1" x14ac:dyDescent="0.3">
      <c r="A866" s="6" t="s">
        <v>1001</v>
      </c>
      <c r="B866" s="7" t="s">
        <v>75</v>
      </c>
    </row>
    <row r="867" spans="1:2" ht="15.75" thickBot="1" x14ac:dyDescent="0.3">
      <c r="A867" s="6" t="s">
        <v>1002</v>
      </c>
      <c r="B867" s="7" t="s">
        <v>75</v>
      </c>
    </row>
    <row r="868" spans="1:2" ht="15.75" thickBot="1" x14ac:dyDescent="0.3">
      <c r="A868" s="6" t="s">
        <v>1003</v>
      </c>
      <c r="B868" s="7" t="s">
        <v>74</v>
      </c>
    </row>
    <row r="869" spans="1:2" ht="15.75" thickBot="1" x14ac:dyDescent="0.3">
      <c r="A869" s="6" t="s">
        <v>1004</v>
      </c>
      <c r="B869" s="7" t="s">
        <v>71</v>
      </c>
    </row>
    <row r="870" spans="1:2" ht="15.75" thickBot="1" x14ac:dyDescent="0.3">
      <c r="A870" s="6" t="s">
        <v>1005</v>
      </c>
      <c r="B870" s="7" t="s">
        <v>74</v>
      </c>
    </row>
    <row r="871" spans="1:2" ht="15.75" thickBot="1" x14ac:dyDescent="0.3">
      <c r="A871" s="6" t="s">
        <v>1006</v>
      </c>
      <c r="B871" s="7" t="s">
        <v>75</v>
      </c>
    </row>
    <row r="872" spans="1:2" ht="15.75" thickBot="1" x14ac:dyDescent="0.3">
      <c r="A872" s="6" t="s">
        <v>1007</v>
      </c>
      <c r="B872" s="7" t="s">
        <v>74</v>
      </c>
    </row>
    <row r="873" spans="1:2" ht="15.75" thickBot="1" x14ac:dyDescent="0.3">
      <c r="A873" s="6" t="s">
        <v>1008</v>
      </c>
      <c r="B873" s="7" t="s">
        <v>74</v>
      </c>
    </row>
    <row r="874" spans="1:2" ht="15.75" thickBot="1" x14ac:dyDescent="0.3">
      <c r="A874" s="6" t="s">
        <v>1009</v>
      </c>
      <c r="B874" s="7" t="s">
        <v>74</v>
      </c>
    </row>
    <row r="875" spans="1:2" ht="15.75" thickBot="1" x14ac:dyDescent="0.3">
      <c r="A875" s="6" t="s">
        <v>1010</v>
      </c>
      <c r="B875" s="7" t="s">
        <v>73</v>
      </c>
    </row>
    <row r="876" spans="1:2" ht="15.75" thickBot="1" x14ac:dyDescent="0.3">
      <c r="A876" s="6" t="s">
        <v>1011</v>
      </c>
      <c r="B876" s="7" t="s">
        <v>73</v>
      </c>
    </row>
    <row r="877" spans="1:2" ht="15.75" thickBot="1" x14ac:dyDescent="0.3">
      <c r="A877" s="6" t="s">
        <v>1012</v>
      </c>
      <c r="B877" s="7" t="s">
        <v>73</v>
      </c>
    </row>
    <row r="878" spans="1:2" ht="15.75" thickBot="1" x14ac:dyDescent="0.3">
      <c r="A878" s="6" t="s">
        <v>1013</v>
      </c>
      <c r="B878" s="7" t="s">
        <v>73</v>
      </c>
    </row>
    <row r="879" spans="1:2" ht="15.75" thickBot="1" x14ac:dyDescent="0.3">
      <c r="A879" s="6" t="s">
        <v>1013</v>
      </c>
      <c r="B879" s="7" t="s">
        <v>71</v>
      </c>
    </row>
    <row r="880" spans="1:2" ht="15.75" thickBot="1" x14ac:dyDescent="0.3">
      <c r="A880" s="6" t="s">
        <v>1014</v>
      </c>
      <c r="B880" s="7" t="s">
        <v>76</v>
      </c>
    </row>
    <row r="881" spans="1:2" ht="15.75" thickBot="1" x14ac:dyDescent="0.3">
      <c r="A881" s="6" t="s">
        <v>1015</v>
      </c>
      <c r="B881" s="7" t="s">
        <v>73</v>
      </c>
    </row>
    <row r="882" spans="1:2" ht="15.75" thickBot="1" x14ac:dyDescent="0.3">
      <c r="A882" s="6" t="s">
        <v>1016</v>
      </c>
      <c r="B882" s="7" t="s">
        <v>71</v>
      </c>
    </row>
    <row r="883" spans="1:2" ht="15.75" thickBot="1" x14ac:dyDescent="0.3">
      <c r="A883" s="6" t="s">
        <v>1017</v>
      </c>
      <c r="B883" s="7" t="s">
        <v>72</v>
      </c>
    </row>
    <row r="884" spans="1:2" ht="15.75" thickBot="1" x14ac:dyDescent="0.3">
      <c r="A884" s="6" t="s">
        <v>1018</v>
      </c>
      <c r="B884" s="7" t="s">
        <v>76</v>
      </c>
    </row>
    <row r="885" spans="1:2" ht="15.75" thickBot="1" x14ac:dyDescent="0.3">
      <c r="A885" s="6" t="s">
        <v>1019</v>
      </c>
      <c r="B885" s="7" t="s">
        <v>72</v>
      </c>
    </row>
    <row r="886" spans="1:2" ht="15.75" thickBot="1" x14ac:dyDescent="0.3">
      <c r="A886" s="6" t="s">
        <v>1020</v>
      </c>
      <c r="B886" s="7" t="s">
        <v>76</v>
      </c>
    </row>
    <row r="887" spans="1:2" ht="15.75" thickBot="1" x14ac:dyDescent="0.3">
      <c r="A887" s="6" t="s">
        <v>1021</v>
      </c>
      <c r="B887" s="7" t="s">
        <v>74</v>
      </c>
    </row>
    <row r="888" spans="1:2" ht="15.75" thickBot="1" x14ac:dyDescent="0.3">
      <c r="A888" s="6" t="s">
        <v>1022</v>
      </c>
      <c r="B888" s="7" t="s">
        <v>77</v>
      </c>
    </row>
    <row r="889" spans="1:2" ht="15.75" thickBot="1" x14ac:dyDescent="0.3">
      <c r="A889" s="6" t="s">
        <v>1023</v>
      </c>
      <c r="B889" s="7" t="s">
        <v>71</v>
      </c>
    </row>
    <row r="890" spans="1:2" ht="15.75" thickBot="1" x14ac:dyDescent="0.3">
      <c r="A890" s="6" t="s">
        <v>1024</v>
      </c>
      <c r="B890" s="7" t="s">
        <v>71</v>
      </c>
    </row>
    <row r="891" spans="1:2" ht="15.75" thickBot="1" x14ac:dyDescent="0.3">
      <c r="A891" s="6" t="s">
        <v>1025</v>
      </c>
      <c r="B891" s="7" t="s">
        <v>71</v>
      </c>
    </row>
    <row r="892" spans="1:2" x14ac:dyDescent="0.25">
      <c r="A892" s="9" t="s">
        <v>1026</v>
      </c>
    </row>
    <row r="893" spans="1:2" x14ac:dyDescent="0.25">
      <c r="A893" s="10" t="s">
        <v>1027</v>
      </c>
    </row>
    <row r="894" spans="1:2" x14ac:dyDescent="0.25">
      <c r="A894" s="11" t="s">
        <v>1028</v>
      </c>
    </row>
    <row r="895" spans="1:2" x14ac:dyDescent="0.25">
      <c r="A895" s="11" t="s">
        <v>1029</v>
      </c>
    </row>
    <row r="896" spans="1:2" x14ac:dyDescent="0.25">
      <c r="A896" s="11" t="s">
        <v>1030</v>
      </c>
    </row>
    <row r="898" spans="1:2" ht="15" customHeight="1" x14ac:dyDescent="0.25"/>
    <row r="899" spans="1:2" x14ac:dyDescent="0.25">
      <c r="A899" s="142" t="s">
        <v>1031</v>
      </c>
      <c r="B899" s="142"/>
    </row>
    <row r="900" spans="1:2" x14ac:dyDescent="0.25">
      <c r="A900" s="12" t="s">
        <v>1032</v>
      </c>
    </row>
    <row r="901" spans="1:2" ht="15" customHeight="1" x14ac:dyDescent="0.25">
      <c r="A901" s="12" t="s">
        <v>1033</v>
      </c>
    </row>
    <row r="902" spans="1:2" x14ac:dyDescent="0.25">
      <c r="A902" s="142" t="s">
        <v>1034</v>
      </c>
      <c r="B902" s="142"/>
    </row>
  </sheetData>
  <autoFilter ref="A1:B896" xr:uid="{00000000-0009-0000-0000-000002000000}"/>
  <mergeCells count="2">
    <mergeCell ref="A899:B899"/>
    <mergeCell ref="A902:B902"/>
  </mergeCells>
  <hyperlinks>
    <hyperlink ref="A95" location="_ftn1" display="_ftn1" xr:uid="{00000000-0004-0000-0200-000000000000}"/>
    <hyperlink ref="A161" location="_ftn2" display="_ftn2" xr:uid="{00000000-0004-0000-0200-000001000000}"/>
    <hyperlink ref="A382" location="_ftn3" display="_ftn3" xr:uid="{00000000-0004-0000-0200-000002000000}"/>
    <hyperlink ref="A596" location="_ftn4" display="_ftn4" xr:uid="{00000000-0004-0000-0200-000003000000}"/>
    <hyperlink ref="A899" location="_ftnref1" display="_ftnref1" xr:uid="{00000000-0004-0000-0200-000004000000}"/>
    <hyperlink ref="A900" location="_ftnref2" display="_ftnref2" xr:uid="{00000000-0004-0000-0200-000005000000}"/>
    <hyperlink ref="A901" location="_ftnref3" display="_ftnref3" xr:uid="{00000000-0004-0000-0200-000006000000}"/>
    <hyperlink ref="A902" location="_ftnref4" display="_ftnref4" xr:uid="{00000000-0004-0000-0200-000007000000}"/>
  </hyperlink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Base Period</vt:lpstr>
      <vt:lpstr>Option</vt:lpstr>
      <vt:lpstr>CLIN Suffix Table</vt:lpstr>
      <vt:lpstr>CGC Cross Reference Table</vt:lpstr>
      <vt:lpstr>'CLIN Suffix Table'!Print_Area</vt:lpstr>
    </vt:vector>
  </TitlesOfParts>
  <Company>Defense Logistics Agency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Skarp, Benjamin D CIV DLA DISPOSITION SERVICES (US)</dc:creator>
  <cp:lastModifiedBy>Skarp, Benjamin D CIV DLA DISPOSITION SERVICES (USA)</cp:lastModifiedBy>
  <cp:lastPrinted>2024-01-11T16:43:55Z</cp:lastPrinted>
  <dcterms:created xsi:type="dcterms:W3CDTF">2020-01-27T17:37:09Z</dcterms:created>
  <dcterms:modified xsi:type="dcterms:W3CDTF">2026-06-23T13:58:52Z</dcterms:modified>
</cp:coreProperties>
</file>