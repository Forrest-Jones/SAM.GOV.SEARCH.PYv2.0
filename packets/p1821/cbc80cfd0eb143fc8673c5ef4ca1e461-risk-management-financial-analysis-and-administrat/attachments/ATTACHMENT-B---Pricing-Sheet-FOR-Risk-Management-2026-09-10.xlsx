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gridJBlair\Documents\"/>
    </mc:Choice>
  </mc:AlternateContent>
  <xr:revisionPtr revIDLastSave="0" documentId="13_ncr:1_{12620511-AA20-4E94-85DB-2A219F61C5C9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Cost Estimate" sheetId="1" r:id="rId1"/>
    <sheet name="Sheet2" sheetId="2" state="hidden" r:id="rId2"/>
    <sheet name="-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s7Ri9kcKBi2dg7f+Ek5VvN0BUX4w2Z7ngkYAAqrl+I="/>
    </ext>
  </extLst>
</workbook>
</file>

<file path=xl/calcChain.xml><?xml version="1.0" encoding="utf-8"?>
<calcChain xmlns="http://schemas.openxmlformats.org/spreadsheetml/2006/main">
  <c r="H60" i="1" l="1"/>
  <c r="H59" i="1"/>
  <c r="H58" i="1"/>
  <c r="H56" i="1"/>
  <c r="B14" i="2"/>
  <c r="B13" i="2"/>
  <c r="B15" i="2" s="1"/>
  <c r="H47" i="1"/>
  <c r="H46" i="1"/>
  <c r="H45" i="1"/>
  <c r="H42" i="1"/>
  <c r="H39" i="1"/>
  <c r="H38" i="1"/>
  <c r="H37" i="1"/>
  <c r="H30" i="1"/>
  <c r="H29" i="1"/>
  <c r="H28" i="1"/>
  <c r="F26" i="1"/>
  <c r="F35" i="1" s="1"/>
  <c r="F25" i="1"/>
  <c r="F34" i="1" s="1"/>
  <c r="H34" i="1" s="1"/>
  <c r="F24" i="1"/>
  <c r="F22" i="1"/>
  <c r="H21" i="1"/>
  <c r="H20" i="1"/>
  <c r="H19" i="1"/>
  <c r="F18" i="1"/>
  <c r="F27" i="1" s="1"/>
  <c r="A18" i="1"/>
  <c r="H17" i="1"/>
  <c r="A17" i="1"/>
  <c r="A26" i="1" s="1"/>
  <c r="A35" i="1" s="1"/>
  <c r="A43" i="1" s="1"/>
  <c r="H16" i="1"/>
  <c r="A16" i="1"/>
  <c r="A25" i="1" s="1"/>
  <c r="A34" i="1" s="1"/>
  <c r="A42" i="1" s="1"/>
  <c r="F13" i="1"/>
  <c r="H11" i="1"/>
  <c r="H10" i="1"/>
  <c r="H9" i="1"/>
  <c r="H8" i="1"/>
  <c r="H7" i="1"/>
  <c r="H6" i="1"/>
  <c r="F31" i="1" l="1"/>
  <c r="H26" i="1"/>
  <c r="I13" i="1"/>
  <c r="I22" i="1"/>
  <c r="B3" i="2" s="1"/>
  <c r="H18" i="1"/>
  <c r="H55" i="1"/>
  <c r="B2" i="2"/>
  <c r="F43" i="1"/>
  <c r="H43" i="1" s="1"/>
  <c r="H35" i="1"/>
  <c r="F36" i="1"/>
  <c r="H27" i="1"/>
  <c r="F33" i="1"/>
  <c r="H25" i="1"/>
  <c r="I31" i="1" l="1"/>
  <c r="B4" i="2" s="1"/>
  <c r="F48" i="1"/>
  <c r="F40" i="1"/>
  <c r="F44" i="1"/>
  <c r="H44" i="1" s="1"/>
  <c r="I48" i="1" s="1"/>
  <c r="B6" i="2" s="1"/>
  <c r="H36" i="1"/>
  <c r="I40" i="1" s="1"/>
  <c r="B5" i="2" s="1"/>
  <c r="H57" i="1" l="1"/>
  <c r="I61" i="1" s="1"/>
  <c r="F61" i="1"/>
  <c r="B7" i="2"/>
  <c r="I50" i="1"/>
</calcChain>
</file>

<file path=xl/sharedStrings.xml><?xml version="1.0" encoding="utf-8"?>
<sst xmlns="http://schemas.openxmlformats.org/spreadsheetml/2006/main" count="62" uniqueCount="30">
  <si>
    <t>Year</t>
  </si>
  <si>
    <t>Total Cost</t>
  </si>
  <si>
    <t>Project Title: Risk Management, Financial Analysis &amp; Administrative Support</t>
  </si>
  <si>
    <t>Base</t>
  </si>
  <si>
    <t>Solicitation: 47QACA26R0306</t>
  </si>
  <si>
    <t>Description of Cost Elements</t>
  </si>
  <si>
    <t>Option Year 1</t>
  </si>
  <si>
    <t>Direct Labor (list labor categories)</t>
  </si>
  <si>
    <t>Number of Employees</t>
  </si>
  <si>
    <t>Estimated Hours</t>
  </si>
  <si>
    <t>Rate per Hour ($)</t>
  </si>
  <si>
    <t>Estimated Cost ($)</t>
  </si>
  <si>
    <t>Total Estimated Cost ($)</t>
  </si>
  <si>
    <t>On Site Supervisor</t>
  </si>
  <si>
    <t>Option Year 2</t>
  </si>
  <si>
    <t>Option Year 3</t>
  </si>
  <si>
    <t>Option Year 4</t>
  </si>
  <si>
    <t>Total</t>
  </si>
  <si>
    <t>Financial Analyst</t>
  </si>
  <si>
    <t>Administrative Assistant</t>
  </si>
  <si>
    <t>Program Analyst I</t>
  </si>
  <si>
    <t>Program Analyst II</t>
  </si>
  <si>
    <t>Program Analyst III</t>
  </si>
  <si>
    <t>Total Base Amount</t>
  </si>
  <si>
    <t>Option Year 1 Amount</t>
  </si>
  <si>
    <t>Option Year 2 Amount</t>
  </si>
  <si>
    <t>Option Year 3 Amount</t>
  </si>
  <si>
    <t>Option Year 4 Amount</t>
  </si>
  <si>
    <t>TOTAL CONTRACT PRICE</t>
  </si>
  <si>
    <t>Option 5 (6 month Extension)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</si>
</sst>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Times New Roman"/>
    </font>
    <font>
      <b/>
      <sz val="11"/>
      <color theme="1"/>
      <name val="Calibri"/>
    </font>
    <font>
      <sz val="11"/>
      <color theme="1"/>
      <name val="Times New Roman"/>
    </font>
    <font>
      <b/>
      <sz val="10"/>
      <color theme="1"/>
      <name val="Tahoma"/>
    </font>
    <font>
      <sz val="1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" fillId="0" borderId="3" xfId="0" applyFont="1" applyBorder="1"/>
    <xf numFmtId="0" fontId="3" fillId="0" borderId="3" xfId="0" applyFont="1" applyBorder="1"/>
    <xf numFmtId="0" fontId="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0" xfId="0" applyFont="1"/>
    <xf numFmtId="0" fontId="1" fillId="0" borderId="7" xfId="0" applyFont="1" applyBorder="1"/>
    <xf numFmtId="0" fontId="1" fillId="0" borderId="8" xfId="0" applyFont="1" applyBorder="1"/>
    <xf numFmtId="44" fontId="4" fillId="0" borderId="4" xfId="0" applyNumberFormat="1" applyFont="1" applyBorder="1"/>
    <xf numFmtId="0" fontId="3" fillId="0" borderId="12" xfId="0" applyFont="1" applyBorder="1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4" xfId="0" applyFont="1" applyBorder="1" applyAlignment="1">
      <alignment wrapText="1"/>
    </xf>
    <xf numFmtId="44" fontId="3" fillId="0" borderId="4" xfId="0" applyNumberFormat="1" applyFont="1" applyBorder="1" applyAlignment="1">
      <alignment vertical="center"/>
    </xf>
    <xf numFmtId="44" fontId="3" fillId="0" borderId="9" xfId="0" applyNumberFormat="1" applyFont="1" applyBorder="1" applyAlignment="1">
      <alignment vertical="center"/>
    </xf>
    <xf numFmtId="0" fontId="3" fillId="0" borderId="13" xfId="0" applyFont="1" applyBorder="1" applyAlignment="1">
      <alignment horizontal="center" wrapText="1"/>
    </xf>
    <xf numFmtId="0" fontId="1" fillId="3" borderId="14" xfId="0" applyFont="1" applyFill="1" applyBorder="1"/>
    <xf numFmtId="0" fontId="3" fillId="0" borderId="11" xfId="0" applyFont="1" applyBorder="1" applyAlignment="1">
      <alignment horizontal="right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4" borderId="15" xfId="0" applyFont="1" applyFill="1" applyBorder="1"/>
    <xf numFmtId="0" fontId="1" fillId="4" borderId="16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vertical="center"/>
    </xf>
    <xf numFmtId="44" fontId="3" fillId="4" borderId="17" xfId="0" applyNumberFormat="1" applyFont="1" applyFill="1" applyBorder="1" applyAlignment="1">
      <alignment vertical="center"/>
    </xf>
    <xf numFmtId="0" fontId="1" fillId="4" borderId="17" xfId="0" applyFont="1" applyFill="1" applyBorder="1"/>
    <xf numFmtId="8" fontId="3" fillId="0" borderId="4" xfId="0" applyNumberFormat="1" applyFont="1" applyBorder="1" applyAlignment="1">
      <alignment vertical="center"/>
    </xf>
    <xf numFmtId="0" fontId="7" fillId="0" borderId="4" xfId="0" applyFont="1" applyBorder="1"/>
    <xf numFmtId="0" fontId="8" fillId="0" borderId="4" xfId="0" applyFont="1" applyBorder="1"/>
    <xf numFmtId="44" fontId="7" fillId="0" borderId="4" xfId="0" applyNumberFormat="1" applyFont="1" applyBorder="1"/>
    <xf numFmtId="0" fontId="1" fillId="0" borderId="2" xfId="0" applyFont="1" applyBorder="1"/>
    <xf numFmtId="0" fontId="0" fillId="0" borderId="1" xfId="0" applyBorder="1"/>
    <xf numFmtId="0" fontId="1" fillId="0" borderId="9" xfId="0" applyFont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3" fillId="0" borderId="1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18" xfId="0" applyFont="1" applyBorder="1" applyAlignment="1">
      <alignment horizontal="left" vertical="center"/>
    </xf>
    <xf numFmtId="0" fontId="0" fillId="0" borderId="18" xfId="0" applyBorder="1"/>
    <xf numFmtId="0" fontId="3" fillId="0" borderId="1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showGridLines="0" tabSelected="1" workbookViewId="0">
      <selection activeCell="D63" sqref="D63"/>
    </sheetView>
  </sheetViews>
  <sheetFormatPr defaultColWidth="14.42578125" defaultRowHeight="15" customHeight="1" x14ac:dyDescent="0.25"/>
  <cols>
    <col min="1" max="2" width="8.7109375" customWidth="1"/>
    <col min="3" max="3" width="12.5703125" customWidth="1"/>
    <col min="4" max="4" width="12" customWidth="1"/>
    <col min="5" max="6" width="10.85546875" customWidth="1"/>
    <col min="7" max="7" width="17.7109375" customWidth="1"/>
    <col min="8" max="8" width="15.42578125" customWidth="1"/>
    <col min="9" max="9" width="13.42578125" customWidth="1"/>
    <col min="10" max="27" width="8.7109375" customWidth="1"/>
  </cols>
  <sheetData>
    <row r="1" spans="1:9" ht="14.2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4.25" customHeight="1" x14ac:dyDescent="0.25">
      <c r="A2" s="3" t="s">
        <v>2</v>
      </c>
      <c r="B2" s="4"/>
      <c r="C2" s="5"/>
      <c r="D2" s="4"/>
      <c r="E2" s="5"/>
      <c r="F2" s="5"/>
      <c r="G2" s="4"/>
      <c r="H2" s="4"/>
      <c r="I2" s="7"/>
    </row>
    <row r="3" spans="1:9" ht="14.25" customHeight="1" x14ac:dyDescent="0.25">
      <c r="A3" s="8" t="s">
        <v>4</v>
      </c>
      <c r="B3" s="9"/>
      <c r="C3" s="10"/>
      <c r="D3" s="10"/>
      <c r="E3" s="10"/>
      <c r="F3" s="10"/>
      <c r="G3" s="10"/>
      <c r="H3" s="10"/>
      <c r="I3" s="11"/>
    </row>
    <row r="4" spans="1:9" ht="14.25" customHeight="1" x14ac:dyDescent="0.25">
      <c r="A4" s="42" t="s">
        <v>5</v>
      </c>
      <c r="B4" s="43"/>
      <c r="C4" s="43"/>
      <c r="D4" s="43"/>
      <c r="E4" s="43"/>
      <c r="F4" s="43"/>
      <c r="G4" s="43"/>
      <c r="H4" s="43"/>
      <c r="I4" s="44"/>
    </row>
    <row r="5" spans="1:9" ht="45" customHeight="1" x14ac:dyDescent="0.25">
      <c r="A5" s="13" t="s">
        <v>7</v>
      </c>
      <c r="E5" s="14" t="s">
        <v>8</v>
      </c>
      <c r="F5" s="15" t="s">
        <v>9</v>
      </c>
      <c r="G5" s="15" t="s">
        <v>10</v>
      </c>
      <c r="H5" s="16" t="s">
        <v>11</v>
      </c>
      <c r="I5" s="16" t="s">
        <v>12</v>
      </c>
    </row>
    <row r="6" spans="1:9" ht="14.25" customHeight="1" x14ac:dyDescent="0.25">
      <c r="A6" s="17" t="s">
        <v>13</v>
      </c>
      <c r="B6" s="18"/>
      <c r="C6" s="18"/>
      <c r="D6" s="19"/>
      <c r="E6" s="20">
        <v>1</v>
      </c>
      <c r="F6" s="21">
        <v>2080</v>
      </c>
      <c r="G6" s="22"/>
      <c r="H6" s="23">
        <f t="shared" ref="H6:H11" si="0">F6*G6</f>
        <v>0</v>
      </c>
      <c r="I6" s="24"/>
    </row>
    <row r="7" spans="1:9" ht="14.25" customHeight="1" x14ac:dyDescent="0.25">
      <c r="A7" s="17" t="s">
        <v>18</v>
      </c>
      <c r="B7" s="18"/>
      <c r="C7" s="18"/>
      <c r="D7" s="19"/>
      <c r="E7" s="20">
        <v>2</v>
      </c>
      <c r="F7" s="21">
        <v>4160</v>
      </c>
      <c r="G7" s="22"/>
      <c r="H7" s="23">
        <f t="shared" si="0"/>
        <v>0</v>
      </c>
      <c r="I7" s="24"/>
    </row>
    <row r="8" spans="1:9" ht="16.5" customHeight="1" x14ac:dyDescent="0.25">
      <c r="A8" s="17" t="s">
        <v>19</v>
      </c>
      <c r="B8" s="18"/>
      <c r="C8" s="18"/>
      <c r="D8" s="19"/>
      <c r="E8" s="20">
        <v>1</v>
      </c>
      <c r="F8" s="21">
        <v>2080</v>
      </c>
      <c r="G8" s="22"/>
      <c r="H8" s="23">
        <f t="shared" si="0"/>
        <v>0</v>
      </c>
      <c r="I8" s="25"/>
    </row>
    <row r="9" spans="1:9" ht="14.25" customHeight="1" x14ac:dyDescent="0.25">
      <c r="A9" s="17" t="s">
        <v>20</v>
      </c>
      <c r="B9" s="18"/>
      <c r="C9" s="18"/>
      <c r="D9" s="19"/>
      <c r="E9" s="20">
        <v>1</v>
      </c>
      <c r="F9" s="21">
        <v>2080</v>
      </c>
      <c r="G9" s="22"/>
      <c r="H9" s="23">
        <f t="shared" si="0"/>
        <v>0</v>
      </c>
      <c r="I9" s="25"/>
    </row>
    <row r="10" spans="1:9" ht="14.25" customHeight="1" x14ac:dyDescent="0.25">
      <c r="A10" s="17" t="s">
        <v>21</v>
      </c>
      <c r="B10" s="18"/>
      <c r="C10" s="18"/>
      <c r="D10" s="19"/>
      <c r="E10" s="20">
        <v>2</v>
      </c>
      <c r="F10" s="21">
        <v>4160</v>
      </c>
      <c r="G10" s="22"/>
      <c r="H10" s="23">
        <f t="shared" si="0"/>
        <v>0</v>
      </c>
      <c r="I10" s="25"/>
    </row>
    <row r="11" spans="1:9" ht="14.25" customHeight="1" x14ac:dyDescent="0.25">
      <c r="A11" s="17" t="s">
        <v>22</v>
      </c>
      <c r="B11" s="18"/>
      <c r="C11" s="18"/>
      <c r="D11" s="19"/>
      <c r="E11" s="20">
        <v>1</v>
      </c>
      <c r="F11" s="21">
        <v>2080</v>
      </c>
      <c r="G11" s="22"/>
      <c r="H11" s="23">
        <f t="shared" si="0"/>
        <v>0</v>
      </c>
      <c r="I11" s="25"/>
    </row>
    <row r="12" spans="1:9" ht="15" customHeight="1" x14ac:dyDescent="0.25">
      <c r="A12" s="17"/>
      <c r="B12" s="18"/>
      <c r="C12" s="18"/>
      <c r="D12" s="19"/>
      <c r="E12" s="20"/>
      <c r="F12" s="21"/>
      <c r="G12" s="22"/>
      <c r="H12" s="23"/>
      <c r="I12" s="25"/>
    </row>
    <row r="13" spans="1:9" ht="15" customHeight="1" x14ac:dyDescent="0.25">
      <c r="A13" s="17"/>
      <c r="B13" s="18"/>
      <c r="C13" s="18"/>
      <c r="D13" s="26" t="s">
        <v>23</v>
      </c>
      <c r="E13" s="27"/>
      <c r="F13" s="28">
        <f>SUM(F6:F12)</f>
        <v>16640</v>
      </c>
      <c r="G13" s="22"/>
      <c r="H13" s="23"/>
      <c r="I13" s="22">
        <f>SUM(H6:H12)</f>
        <v>0</v>
      </c>
    </row>
    <row r="14" spans="1:9" ht="15" customHeight="1" x14ac:dyDescent="0.25">
      <c r="A14" s="17"/>
      <c r="B14" s="29"/>
      <c r="C14" s="29"/>
      <c r="D14" s="30"/>
      <c r="E14" s="31"/>
      <c r="F14" s="32"/>
      <c r="G14" s="33"/>
      <c r="H14" s="34"/>
      <c r="I14" s="25"/>
    </row>
    <row r="15" spans="1:9" ht="15" customHeight="1" x14ac:dyDescent="0.25">
      <c r="A15" s="35"/>
      <c r="B15" s="18"/>
      <c r="C15" s="18"/>
      <c r="D15" s="19"/>
      <c r="E15" s="18"/>
      <c r="F15" s="17"/>
      <c r="G15" s="22"/>
      <c r="H15" s="23"/>
      <c r="I15" s="25"/>
    </row>
    <row r="16" spans="1:9" ht="15" customHeight="1" x14ac:dyDescent="0.25">
      <c r="A16" s="17" t="str">
        <f t="shared" ref="A16:A18" si="1">A6</f>
        <v>On Site Supervisor</v>
      </c>
      <c r="B16" s="18"/>
      <c r="C16" s="18"/>
      <c r="D16" s="19"/>
      <c r="E16" s="20">
        <v>1</v>
      </c>
      <c r="F16" s="17">
        <v>2080</v>
      </c>
      <c r="G16" s="22"/>
      <c r="H16" s="23">
        <f t="shared" ref="H16:H21" si="2">F16*G16</f>
        <v>0</v>
      </c>
      <c r="I16" s="25"/>
    </row>
    <row r="17" spans="1:9" ht="15" customHeight="1" x14ac:dyDescent="0.25">
      <c r="A17" s="17" t="str">
        <f t="shared" si="1"/>
        <v>Financial Analyst</v>
      </c>
      <c r="B17" s="18"/>
      <c r="C17" s="18"/>
      <c r="D17" s="19"/>
      <c r="E17" s="20">
        <v>2</v>
      </c>
      <c r="F17" s="17">
        <v>4160</v>
      </c>
      <c r="G17" s="22"/>
      <c r="H17" s="23">
        <f t="shared" si="2"/>
        <v>0</v>
      </c>
      <c r="I17" s="25"/>
    </row>
    <row r="18" spans="1:9" ht="15" customHeight="1" x14ac:dyDescent="0.25">
      <c r="A18" s="17" t="str">
        <f t="shared" si="1"/>
        <v>Administrative Assistant</v>
      </c>
      <c r="B18" s="18"/>
      <c r="C18" s="18"/>
      <c r="D18" s="19"/>
      <c r="E18" s="20">
        <v>1</v>
      </c>
      <c r="F18" s="17">
        <f>F9</f>
        <v>2080</v>
      </c>
      <c r="G18" s="22"/>
      <c r="H18" s="23">
        <f t="shared" si="2"/>
        <v>0</v>
      </c>
      <c r="I18" s="25"/>
    </row>
    <row r="19" spans="1:9" ht="15" customHeight="1" x14ac:dyDescent="0.25">
      <c r="A19" s="17" t="s">
        <v>20</v>
      </c>
      <c r="B19" s="18"/>
      <c r="C19" s="18"/>
      <c r="D19" s="19"/>
      <c r="E19" s="20">
        <v>1</v>
      </c>
      <c r="F19" s="21">
        <v>2080</v>
      </c>
      <c r="G19" s="22"/>
      <c r="H19" s="23">
        <f t="shared" si="2"/>
        <v>0</v>
      </c>
      <c r="I19" s="25"/>
    </row>
    <row r="20" spans="1:9" ht="15" customHeight="1" x14ac:dyDescent="0.25">
      <c r="A20" s="17" t="s">
        <v>21</v>
      </c>
      <c r="B20" s="18"/>
      <c r="C20" s="18"/>
      <c r="D20" s="19"/>
      <c r="E20" s="20">
        <v>2</v>
      </c>
      <c r="F20" s="21">
        <v>4160</v>
      </c>
      <c r="G20" s="22"/>
      <c r="H20" s="23">
        <f t="shared" si="2"/>
        <v>0</v>
      </c>
      <c r="I20" s="25"/>
    </row>
    <row r="21" spans="1:9" ht="15" customHeight="1" x14ac:dyDescent="0.25">
      <c r="A21" s="17" t="s">
        <v>22</v>
      </c>
      <c r="B21" s="18"/>
      <c r="C21" s="18"/>
      <c r="D21" s="19"/>
      <c r="E21" s="20">
        <v>1</v>
      </c>
      <c r="F21" s="21">
        <v>2080</v>
      </c>
      <c r="G21" s="22"/>
      <c r="H21" s="23">
        <f t="shared" si="2"/>
        <v>0</v>
      </c>
      <c r="I21" s="25"/>
    </row>
    <row r="22" spans="1:9" ht="15" customHeight="1" x14ac:dyDescent="0.25">
      <c r="A22" s="17"/>
      <c r="B22" s="18"/>
      <c r="C22" s="18"/>
      <c r="D22" s="26" t="s">
        <v>24</v>
      </c>
      <c r="E22" s="27"/>
      <c r="F22" s="28">
        <f>SUM(F15:F21)</f>
        <v>16640</v>
      </c>
      <c r="G22" s="22"/>
      <c r="H22" s="23"/>
      <c r="I22" s="22">
        <f>SUM(H15:H21)</f>
        <v>0</v>
      </c>
    </row>
    <row r="23" spans="1:9" ht="15" customHeight="1" x14ac:dyDescent="0.25">
      <c r="A23" s="17"/>
      <c r="B23" s="29"/>
      <c r="C23" s="29"/>
      <c r="D23" s="30"/>
      <c r="E23" s="31"/>
      <c r="F23" s="32"/>
      <c r="G23" s="33"/>
      <c r="H23" s="34"/>
      <c r="I23" s="25"/>
    </row>
    <row r="24" spans="1:9" ht="15" customHeight="1" x14ac:dyDescent="0.25">
      <c r="A24" s="35"/>
      <c r="B24" s="18"/>
      <c r="C24" s="18"/>
      <c r="D24" s="19"/>
      <c r="E24" s="18"/>
      <c r="F24" s="17">
        <f t="shared" ref="F24:F27" si="3">F15</f>
        <v>0</v>
      </c>
      <c r="G24" s="22"/>
      <c r="H24" s="23"/>
      <c r="I24" s="25"/>
    </row>
    <row r="25" spans="1:9" ht="15" customHeight="1" x14ac:dyDescent="0.25">
      <c r="A25" s="17" t="str">
        <f t="shared" ref="A25:A26" si="4">A16</f>
        <v>On Site Supervisor</v>
      </c>
      <c r="B25" s="18"/>
      <c r="C25" s="18"/>
      <c r="D25" s="19"/>
      <c r="E25" s="20">
        <v>1</v>
      </c>
      <c r="F25" s="17">
        <f t="shared" si="3"/>
        <v>2080</v>
      </c>
      <c r="G25" s="22"/>
      <c r="H25" s="23">
        <f t="shared" ref="H25:H30" si="5">F25*G25</f>
        <v>0</v>
      </c>
      <c r="I25" s="25"/>
    </row>
    <row r="26" spans="1:9" ht="15" customHeight="1" x14ac:dyDescent="0.25">
      <c r="A26" s="17" t="str">
        <f t="shared" si="4"/>
        <v>Financial Analyst</v>
      </c>
      <c r="B26" s="18"/>
      <c r="C26" s="18"/>
      <c r="D26" s="19"/>
      <c r="E26" s="20">
        <v>2</v>
      </c>
      <c r="F26" s="17">
        <f t="shared" si="3"/>
        <v>4160</v>
      </c>
      <c r="G26" s="22"/>
      <c r="H26" s="23">
        <f t="shared" si="5"/>
        <v>0</v>
      </c>
      <c r="I26" s="25"/>
    </row>
    <row r="27" spans="1:9" ht="15" customHeight="1" x14ac:dyDescent="0.25">
      <c r="A27" s="17" t="s">
        <v>19</v>
      </c>
      <c r="B27" s="18"/>
      <c r="C27" s="18"/>
      <c r="D27" s="19"/>
      <c r="E27" s="20">
        <v>1</v>
      </c>
      <c r="F27" s="17">
        <f t="shared" si="3"/>
        <v>2080</v>
      </c>
      <c r="G27" s="22"/>
      <c r="H27" s="23">
        <f t="shared" si="5"/>
        <v>0</v>
      </c>
      <c r="I27" s="25"/>
    </row>
    <row r="28" spans="1:9" ht="15" customHeight="1" x14ac:dyDescent="0.25">
      <c r="A28" s="17" t="s">
        <v>20</v>
      </c>
      <c r="B28" s="18"/>
      <c r="C28" s="18"/>
      <c r="D28" s="19"/>
      <c r="E28" s="20">
        <v>1</v>
      </c>
      <c r="F28" s="21">
        <v>2080</v>
      </c>
      <c r="G28" s="22"/>
      <c r="H28" s="23">
        <f t="shared" si="5"/>
        <v>0</v>
      </c>
      <c r="I28" s="25"/>
    </row>
    <row r="29" spans="1:9" ht="15" customHeight="1" x14ac:dyDescent="0.25">
      <c r="A29" s="17" t="s">
        <v>21</v>
      </c>
      <c r="B29" s="18"/>
      <c r="C29" s="18"/>
      <c r="D29" s="19"/>
      <c r="E29" s="20">
        <v>2</v>
      </c>
      <c r="F29" s="21">
        <v>4160</v>
      </c>
      <c r="G29" s="22"/>
      <c r="H29" s="23">
        <f t="shared" si="5"/>
        <v>0</v>
      </c>
      <c r="I29" s="25"/>
    </row>
    <row r="30" spans="1:9" ht="15" customHeight="1" x14ac:dyDescent="0.25">
      <c r="A30" s="17" t="s">
        <v>22</v>
      </c>
      <c r="B30" s="18"/>
      <c r="C30" s="18"/>
      <c r="D30" s="19"/>
      <c r="E30" s="20">
        <v>1</v>
      </c>
      <c r="F30" s="21">
        <v>2080</v>
      </c>
      <c r="G30" s="22"/>
      <c r="H30" s="23">
        <f t="shared" si="5"/>
        <v>0</v>
      </c>
      <c r="I30" s="25"/>
    </row>
    <row r="31" spans="1:9" ht="15" customHeight="1" x14ac:dyDescent="0.25">
      <c r="A31" s="17"/>
      <c r="B31" s="18"/>
      <c r="C31" s="18"/>
      <c r="D31" s="26" t="s">
        <v>25</v>
      </c>
      <c r="E31" s="27"/>
      <c r="F31" s="28">
        <f>SUM(F24:F30)</f>
        <v>16640</v>
      </c>
      <c r="G31" s="22"/>
      <c r="H31" s="23"/>
      <c r="I31" s="22">
        <f>SUM(H24:H30)</f>
        <v>0</v>
      </c>
    </row>
    <row r="32" spans="1:9" ht="15" customHeight="1" x14ac:dyDescent="0.25">
      <c r="A32" s="17"/>
      <c r="B32" s="29"/>
      <c r="C32" s="29"/>
      <c r="D32" s="30"/>
      <c r="E32" s="31"/>
      <c r="F32" s="32"/>
      <c r="G32" s="33"/>
      <c r="H32" s="34"/>
      <c r="I32" s="25"/>
    </row>
    <row r="33" spans="1:9" ht="15" customHeight="1" x14ac:dyDescent="0.25">
      <c r="A33" s="35"/>
      <c r="B33" s="18"/>
      <c r="C33" s="18"/>
      <c r="D33" s="19"/>
      <c r="E33" s="18"/>
      <c r="F33" s="17">
        <f t="shared" ref="F33:F36" si="6">F24</f>
        <v>0</v>
      </c>
      <c r="G33" s="22"/>
      <c r="H33" s="23"/>
      <c r="I33" s="25"/>
    </row>
    <row r="34" spans="1:9" ht="15" customHeight="1" x14ac:dyDescent="0.25">
      <c r="A34" s="17" t="str">
        <f t="shared" ref="A34:A35" si="7">A25</f>
        <v>On Site Supervisor</v>
      </c>
      <c r="B34" s="18"/>
      <c r="C34" s="18"/>
      <c r="D34" s="19"/>
      <c r="E34" s="20">
        <v>1</v>
      </c>
      <c r="F34" s="17">
        <f t="shared" si="6"/>
        <v>2080</v>
      </c>
      <c r="G34" s="22"/>
      <c r="H34" s="23">
        <f t="shared" ref="H34:H39" si="8">F34*G34</f>
        <v>0</v>
      </c>
      <c r="I34" s="25"/>
    </row>
    <row r="35" spans="1:9" ht="15" customHeight="1" x14ac:dyDescent="0.25">
      <c r="A35" s="17" t="str">
        <f t="shared" si="7"/>
        <v>Financial Analyst</v>
      </c>
      <c r="B35" s="18"/>
      <c r="C35" s="18"/>
      <c r="D35" s="19"/>
      <c r="E35" s="20">
        <v>2</v>
      </c>
      <c r="F35" s="17">
        <f t="shared" si="6"/>
        <v>4160</v>
      </c>
      <c r="G35" s="22"/>
      <c r="H35" s="23">
        <f t="shared" si="8"/>
        <v>0</v>
      </c>
      <c r="I35" s="25"/>
    </row>
    <row r="36" spans="1:9" ht="15" customHeight="1" x14ac:dyDescent="0.25">
      <c r="A36" s="17" t="s">
        <v>19</v>
      </c>
      <c r="B36" s="18"/>
      <c r="C36" s="18"/>
      <c r="D36" s="19"/>
      <c r="E36" s="20">
        <v>1</v>
      </c>
      <c r="F36" s="17">
        <f t="shared" si="6"/>
        <v>2080</v>
      </c>
      <c r="G36" s="22"/>
      <c r="H36" s="23">
        <f t="shared" si="8"/>
        <v>0</v>
      </c>
      <c r="I36" s="25"/>
    </row>
    <row r="37" spans="1:9" ht="15" customHeight="1" x14ac:dyDescent="0.25">
      <c r="A37" s="17" t="s">
        <v>20</v>
      </c>
      <c r="B37" s="18"/>
      <c r="C37" s="18"/>
      <c r="D37" s="19"/>
      <c r="E37" s="20">
        <v>1</v>
      </c>
      <c r="F37" s="21">
        <v>2080</v>
      </c>
      <c r="G37" s="22"/>
      <c r="H37" s="23">
        <f t="shared" si="8"/>
        <v>0</v>
      </c>
      <c r="I37" s="25"/>
    </row>
    <row r="38" spans="1:9" ht="15" customHeight="1" x14ac:dyDescent="0.25">
      <c r="A38" s="17" t="s">
        <v>21</v>
      </c>
      <c r="B38" s="18"/>
      <c r="C38" s="18"/>
      <c r="D38" s="19"/>
      <c r="E38" s="20">
        <v>2</v>
      </c>
      <c r="F38" s="21">
        <v>4160</v>
      </c>
      <c r="G38" s="22"/>
      <c r="H38" s="23">
        <f t="shared" si="8"/>
        <v>0</v>
      </c>
      <c r="I38" s="25"/>
    </row>
    <row r="39" spans="1:9" ht="15" customHeight="1" x14ac:dyDescent="0.25">
      <c r="A39" s="17" t="s">
        <v>22</v>
      </c>
      <c r="B39" s="18"/>
      <c r="C39" s="18"/>
      <c r="D39" s="19"/>
      <c r="E39" s="20">
        <v>1</v>
      </c>
      <c r="F39" s="21">
        <v>2080</v>
      </c>
      <c r="G39" s="22"/>
      <c r="H39" s="23">
        <f t="shared" si="8"/>
        <v>0</v>
      </c>
      <c r="I39" s="25"/>
    </row>
    <row r="40" spans="1:9" ht="15" customHeight="1" x14ac:dyDescent="0.25">
      <c r="A40" s="17"/>
      <c r="B40" s="18"/>
      <c r="C40" s="18"/>
      <c r="D40" s="26" t="s">
        <v>26</v>
      </c>
      <c r="E40" s="27"/>
      <c r="F40" s="28">
        <f>SUM(F33:F39)</f>
        <v>16640</v>
      </c>
      <c r="G40" s="22"/>
      <c r="H40" s="23"/>
      <c r="I40" s="22">
        <f>SUM(H33:H39)</f>
        <v>0</v>
      </c>
    </row>
    <row r="41" spans="1:9" ht="15" customHeight="1" x14ac:dyDescent="0.25">
      <c r="A41" s="17"/>
      <c r="B41" s="29"/>
      <c r="C41" s="29"/>
      <c r="D41" s="30"/>
      <c r="E41" s="31"/>
      <c r="F41" s="32"/>
      <c r="G41" s="33"/>
      <c r="H41" s="34"/>
      <c r="I41" s="25"/>
    </row>
    <row r="42" spans="1:9" ht="15" customHeight="1" x14ac:dyDescent="0.25">
      <c r="A42" s="17" t="str">
        <f>A34</f>
        <v>On Site Supervisor</v>
      </c>
      <c r="B42" s="18"/>
      <c r="C42" s="18"/>
      <c r="D42" s="19"/>
      <c r="E42" s="20">
        <v>1</v>
      </c>
      <c r="F42" s="17">
        <v>2080</v>
      </c>
      <c r="G42" s="22"/>
      <c r="H42" s="23">
        <f t="shared" ref="H42:H47" si="9">F42*G42</f>
        <v>0</v>
      </c>
      <c r="I42" s="25"/>
    </row>
    <row r="43" spans="1:9" ht="15" customHeight="1" x14ac:dyDescent="0.25">
      <c r="A43" s="17" t="str">
        <f>A35</f>
        <v>Financial Analyst</v>
      </c>
      <c r="B43" s="18"/>
      <c r="C43" s="18"/>
      <c r="D43" s="19"/>
      <c r="E43" s="20">
        <v>2</v>
      </c>
      <c r="F43" s="17">
        <f t="shared" ref="F43:F44" si="10">F35</f>
        <v>4160</v>
      </c>
      <c r="G43" s="22"/>
      <c r="H43" s="23">
        <f t="shared" si="9"/>
        <v>0</v>
      </c>
      <c r="I43" s="25"/>
    </row>
    <row r="44" spans="1:9" ht="15" customHeight="1" x14ac:dyDescent="0.25">
      <c r="A44" s="17" t="s">
        <v>19</v>
      </c>
      <c r="B44" s="18"/>
      <c r="C44" s="18"/>
      <c r="D44" s="19"/>
      <c r="E44" s="20">
        <v>1</v>
      </c>
      <c r="F44" s="17">
        <f t="shared" si="10"/>
        <v>2080</v>
      </c>
      <c r="G44" s="22"/>
      <c r="H44" s="23">
        <f t="shared" si="9"/>
        <v>0</v>
      </c>
      <c r="I44" s="25"/>
    </row>
    <row r="45" spans="1:9" ht="15" customHeight="1" x14ac:dyDescent="0.25">
      <c r="A45" s="17" t="s">
        <v>20</v>
      </c>
      <c r="B45" s="18"/>
      <c r="C45" s="18"/>
      <c r="D45" s="19"/>
      <c r="E45" s="20">
        <v>1</v>
      </c>
      <c r="F45" s="21">
        <v>2080</v>
      </c>
      <c r="G45" s="22"/>
      <c r="H45" s="23">
        <f t="shared" si="9"/>
        <v>0</v>
      </c>
      <c r="I45" s="25"/>
    </row>
    <row r="46" spans="1:9" ht="15" customHeight="1" x14ac:dyDescent="0.25">
      <c r="A46" s="17" t="s">
        <v>21</v>
      </c>
      <c r="B46" s="18"/>
      <c r="C46" s="18"/>
      <c r="D46" s="19"/>
      <c r="E46" s="20">
        <v>2</v>
      </c>
      <c r="F46" s="21">
        <v>4160</v>
      </c>
      <c r="G46" s="22"/>
      <c r="H46" s="23">
        <f t="shared" si="9"/>
        <v>0</v>
      </c>
      <c r="I46" s="25"/>
    </row>
    <row r="47" spans="1:9" ht="14.25" customHeight="1" x14ac:dyDescent="0.25">
      <c r="A47" s="17" t="s">
        <v>22</v>
      </c>
      <c r="B47" s="18"/>
      <c r="C47" s="18"/>
      <c r="D47" s="19"/>
      <c r="E47" s="20">
        <v>1</v>
      </c>
      <c r="F47" s="21">
        <v>2080</v>
      </c>
      <c r="G47" s="22"/>
      <c r="H47" s="23">
        <f t="shared" si="9"/>
        <v>0</v>
      </c>
      <c r="I47" s="25"/>
    </row>
    <row r="48" spans="1:9" ht="14.25" customHeight="1" x14ac:dyDescent="0.25">
      <c r="A48" s="17"/>
      <c r="B48" s="18"/>
      <c r="C48" s="18"/>
      <c r="D48" s="26" t="s">
        <v>27</v>
      </c>
      <c r="E48" s="27"/>
      <c r="F48" s="28">
        <f>SUM(F42:F47)</f>
        <v>16640</v>
      </c>
      <c r="G48" s="36"/>
      <c r="H48" s="23"/>
      <c r="I48" s="22">
        <f>SUM(H42:H47)</f>
        <v>0</v>
      </c>
    </row>
    <row r="49" spans="1:9" ht="14.25" customHeight="1" x14ac:dyDescent="0.25">
      <c r="A49" s="40"/>
    </row>
    <row r="50" spans="1:9" ht="14.25" customHeight="1" x14ac:dyDescent="0.25">
      <c r="A50" s="41"/>
      <c r="G50" s="37" t="s">
        <v>28</v>
      </c>
      <c r="H50" s="38"/>
      <c r="I50" s="39">
        <f>I13+I22+I31+I40+I48</f>
        <v>0</v>
      </c>
    </row>
    <row r="51" spans="1:9" ht="14.25" customHeight="1" x14ac:dyDescent="0.25"/>
    <row r="52" spans="1:9" ht="5.25" customHeight="1" x14ac:dyDescent="0.25"/>
    <row r="53" spans="1:9" ht="14.25" hidden="1" customHeight="1" x14ac:dyDescent="0.25"/>
    <row r="54" spans="1:9" ht="36" customHeight="1" x14ac:dyDescent="0.25">
      <c r="A54" s="47" t="s">
        <v>7</v>
      </c>
      <c r="B54" s="48"/>
      <c r="C54" s="48"/>
      <c r="D54" s="48"/>
      <c r="E54" s="49" t="s">
        <v>8</v>
      </c>
      <c r="F54" s="45" t="s">
        <v>9</v>
      </c>
      <c r="G54" s="15" t="s">
        <v>10</v>
      </c>
      <c r="H54" s="16" t="s">
        <v>11</v>
      </c>
      <c r="I54" s="16" t="s">
        <v>12</v>
      </c>
    </row>
    <row r="55" spans="1:9" ht="14.25" customHeight="1" x14ac:dyDescent="0.25">
      <c r="A55" s="8" t="s">
        <v>13</v>
      </c>
      <c r="B55" s="10"/>
      <c r="C55" s="10"/>
      <c r="D55" s="11"/>
      <c r="E55" s="46">
        <v>1</v>
      </c>
      <c r="F55" s="17">
        <v>1040</v>
      </c>
      <c r="G55" s="22"/>
      <c r="H55" s="23">
        <f t="shared" ref="H55:H60" si="11">F55*G55</f>
        <v>0</v>
      </c>
      <c r="I55" s="25"/>
    </row>
    <row r="56" spans="1:9" ht="14.25" customHeight="1" x14ac:dyDescent="0.25">
      <c r="A56" s="17" t="s">
        <v>18</v>
      </c>
      <c r="B56" s="18"/>
      <c r="C56" s="18"/>
      <c r="D56" s="19"/>
      <c r="E56" s="20">
        <v>2</v>
      </c>
      <c r="F56" s="17">
        <v>2080</v>
      </c>
      <c r="G56" s="22"/>
      <c r="H56" s="23">
        <f t="shared" si="11"/>
        <v>0</v>
      </c>
      <c r="I56" s="25"/>
    </row>
    <row r="57" spans="1:9" ht="14.25" customHeight="1" x14ac:dyDescent="0.25">
      <c r="A57" s="17" t="s">
        <v>19</v>
      </c>
      <c r="B57" s="18"/>
      <c r="C57" s="18"/>
      <c r="D57" s="19"/>
      <c r="E57" s="20">
        <v>1</v>
      </c>
      <c r="F57" s="17">
        <v>1040</v>
      </c>
      <c r="G57" s="22"/>
      <c r="H57" s="23">
        <f t="shared" si="11"/>
        <v>0</v>
      </c>
      <c r="I57" s="25"/>
    </row>
    <row r="58" spans="1:9" ht="14.25" customHeight="1" x14ac:dyDescent="0.25">
      <c r="A58" s="17" t="s">
        <v>20</v>
      </c>
      <c r="B58" s="18"/>
      <c r="C58" s="18"/>
      <c r="D58" s="19"/>
      <c r="E58" s="20">
        <v>1</v>
      </c>
      <c r="F58" s="21">
        <v>1040</v>
      </c>
      <c r="G58" s="22"/>
      <c r="H58" s="23">
        <f t="shared" si="11"/>
        <v>0</v>
      </c>
      <c r="I58" s="25"/>
    </row>
    <row r="59" spans="1:9" ht="14.25" customHeight="1" x14ac:dyDescent="0.25">
      <c r="A59" s="17" t="s">
        <v>21</v>
      </c>
      <c r="B59" s="18"/>
      <c r="C59" s="18"/>
      <c r="D59" s="19"/>
      <c r="E59" s="20">
        <v>2</v>
      </c>
      <c r="F59" s="21">
        <v>2080</v>
      </c>
      <c r="G59" s="22"/>
      <c r="H59" s="23">
        <f t="shared" si="11"/>
        <v>0</v>
      </c>
      <c r="I59" s="25"/>
    </row>
    <row r="60" spans="1:9" ht="14.25" customHeight="1" x14ac:dyDescent="0.25">
      <c r="A60" s="17" t="s">
        <v>22</v>
      </c>
      <c r="B60" s="18"/>
      <c r="C60" s="18"/>
      <c r="D60" s="19"/>
      <c r="E60" s="20">
        <v>1</v>
      </c>
      <c r="F60" s="21">
        <v>1040</v>
      </c>
      <c r="G60" s="22"/>
      <c r="H60" s="23">
        <f t="shared" si="11"/>
        <v>0</v>
      </c>
      <c r="I60" s="25"/>
    </row>
    <row r="61" spans="1:9" ht="14.25" customHeight="1" x14ac:dyDescent="0.25">
      <c r="A61" s="17"/>
      <c r="B61" s="18"/>
      <c r="C61" s="18"/>
      <c r="D61" s="26" t="s">
        <v>29</v>
      </c>
      <c r="E61" s="27"/>
      <c r="F61" s="28">
        <f>SUM(F54:F60)</f>
        <v>8320</v>
      </c>
      <c r="G61" s="22"/>
      <c r="H61" s="23"/>
      <c r="I61" s="22">
        <f>SUM(H54:H60)</f>
        <v>0</v>
      </c>
    </row>
    <row r="62" spans="1:9" ht="14.25" customHeight="1" x14ac:dyDescent="0.25"/>
    <row r="63" spans="1:9" ht="14.25" customHeight="1" x14ac:dyDescent="0.25"/>
    <row r="64" spans="1: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1">
    <mergeCell ref="A4:I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20.7109375" customWidth="1"/>
    <col min="2" max="2" width="14.42578125" customWidth="1"/>
    <col min="3" max="26" width="8.7109375" customWidth="1"/>
  </cols>
  <sheetData>
    <row r="1" spans="1:2" ht="14.25" customHeight="1" x14ac:dyDescent="0.25">
      <c r="A1" s="2" t="s">
        <v>0</v>
      </c>
      <c r="B1" s="2" t="s">
        <v>1</v>
      </c>
    </row>
    <row r="2" spans="1:2" ht="14.25" customHeight="1" x14ac:dyDescent="0.25">
      <c r="A2" s="6" t="s">
        <v>3</v>
      </c>
      <c r="B2" s="12">
        <f>'Cost Estimate'!I13</f>
        <v>0</v>
      </c>
    </row>
    <row r="3" spans="1:2" ht="14.25" customHeight="1" x14ac:dyDescent="0.25">
      <c r="A3" s="6" t="s">
        <v>6</v>
      </c>
      <c r="B3" s="12">
        <f>'Cost Estimate'!I22</f>
        <v>0</v>
      </c>
    </row>
    <row r="4" spans="1:2" ht="14.25" customHeight="1" x14ac:dyDescent="0.25">
      <c r="A4" s="6" t="s">
        <v>14</v>
      </c>
      <c r="B4" s="12">
        <f>'Cost Estimate'!I31</f>
        <v>0</v>
      </c>
    </row>
    <row r="5" spans="1:2" ht="14.25" customHeight="1" x14ac:dyDescent="0.25">
      <c r="A5" s="6" t="s">
        <v>15</v>
      </c>
      <c r="B5" s="12">
        <f>'Cost Estimate'!I40</f>
        <v>0</v>
      </c>
    </row>
    <row r="6" spans="1:2" ht="14.25" customHeight="1" x14ac:dyDescent="0.25">
      <c r="A6" s="6" t="s">
        <v>16</v>
      </c>
      <c r="B6" s="12">
        <f>'Cost Estimate'!I48</f>
        <v>0</v>
      </c>
    </row>
    <row r="7" spans="1:2" ht="14.25" customHeight="1" x14ac:dyDescent="0.25">
      <c r="A7" s="6" t="s">
        <v>17</v>
      </c>
      <c r="B7" s="12">
        <f>SUM(B2:B6)</f>
        <v>0</v>
      </c>
    </row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>
      <c r="A12" s="2" t="s">
        <v>0</v>
      </c>
      <c r="B12" s="2" t="s">
        <v>1</v>
      </c>
    </row>
    <row r="13" spans="1:2" ht="14.25" customHeight="1" x14ac:dyDescent="0.25">
      <c r="A13" s="6" t="s">
        <v>3</v>
      </c>
      <c r="B13" s="12" t="e">
        <f t="shared" ref="B13:B14" si="0">#REF!</f>
        <v>#REF!</v>
      </c>
    </row>
    <row r="14" spans="1:2" ht="14.25" customHeight="1" x14ac:dyDescent="0.25">
      <c r="A14" s="6" t="s">
        <v>6</v>
      </c>
      <c r="B14" s="12" t="e">
        <f t="shared" si="0"/>
        <v>#REF!</v>
      </c>
    </row>
    <row r="15" spans="1:2" ht="14.25" customHeight="1" x14ac:dyDescent="0.25">
      <c r="A15" s="6" t="s">
        <v>17</v>
      </c>
      <c r="B15" s="12" t="e">
        <f>SUM(B13:B14)</f>
        <v>#REF!</v>
      </c>
    </row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1" width="16" customWidth="1"/>
    <col min="2" max="2" width="19.7109375" customWidth="1"/>
    <col min="3" max="3" width="11" customWidth="1"/>
    <col min="4" max="6" width="12" customWidth="1"/>
    <col min="7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Estimate</vt:lpstr>
      <vt:lpstr>Sheet2</vt:lpstr>
      <vt:lpstr>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TempAdmin</dc:creator>
  <cp:lastModifiedBy>IngridJBlair</cp:lastModifiedBy>
  <dcterms:created xsi:type="dcterms:W3CDTF">2012-02-09T17:38:36Z</dcterms:created>
  <dcterms:modified xsi:type="dcterms:W3CDTF">2026-09-10T13:31:52Z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0x010100BEE57C7BD0110A4BA8C9233B032DD02D</vt:lpwstr>
  </property>
</Properties>
</file>