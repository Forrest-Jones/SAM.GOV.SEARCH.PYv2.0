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rmyeitaas.sharepoint-mil.us/teams/STEACCDreamTeam/Shared Documents/Brand New Start/Agile Professional Services/B. Solicitation/RFP/"/>
    </mc:Choice>
  </mc:AlternateContent>
  <xr:revisionPtr revIDLastSave="367" documentId="8_{9BBE9845-8D7C-48EB-A945-3AC86958EC20}" xr6:coauthVersionLast="47" xr6:coauthVersionMax="47" xr10:uidLastSave="{3C6A897D-0381-45BA-89CC-B89630DD9531}"/>
  <bookViews>
    <workbookView xWindow="28680" yWindow="-90" windowWidth="29040" windowHeight="15690" xr2:uid="{00000000-000D-0000-FFFF-FFFF00000000}"/>
  </bookViews>
  <sheets>
    <sheet name="Proposal Summary" sheetId="1" r:id="rId1"/>
    <sheet name="Base Period" sheetId="2" r:id="rId2"/>
    <sheet name="Option Period 1" sheetId="10" r:id="rId3"/>
    <sheet name="Option Period 2" sheetId="11" r:id="rId4"/>
    <sheet name="Option Period 3" sheetId="12" r:id="rId5"/>
    <sheet name="Option Period 4" sheetId="13" r:id="rId6"/>
    <sheet name="Option Period 5" sheetId="14" r:id="rId7"/>
    <sheet name="Option Period 6" sheetId="15" r:id="rId8"/>
    <sheet name="Section B" sheetId="16" r:id="rId9"/>
  </sheets>
  <definedNames>
    <definedName name="_xlnm._FilterDatabase" localSheetId="1" hidden="1">'Base Period'!$A$10:$CS$59</definedName>
    <definedName name="_xlnm._FilterDatabase" localSheetId="7" hidden="1">'Option Period 6'!$A$10:$BW$59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59" i="15" l="1"/>
  <c r="AW59" i="15" s="1"/>
  <c r="AX59" i="15" s="1"/>
  <c r="BM59" i="15"/>
  <c r="BN59" i="15" s="1"/>
  <c r="BE59" i="15"/>
  <c r="BF59" i="15" s="1"/>
  <c r="AK59" i="15"/>
  <c r="AL59" i="15" s="1"/>
  <c r="AH59" i="15"/>
  <c r="AG59" i="15"/>
  <c r="AC59" i="15"/>
  <c r="AD59" i="15" s="1"/>
  <c r="Y59" i="15"/>
  <c r="Z59" i="15" s="1"/>
  <c r="CQ58" i="15"/>
  <c r="AO58" i="15"/>
  <c r="AP58" i="15" s="1"/>
  <c r="AH58" i="15"/>
  <c r="AG58" i="15"/>
  <c r="AC58" i="15"/>
  <c r="AD58" i="15" s="1"/>
  <c r="Y58" i="15"/>
  <c r="Z58" i="15" s="1"/>
  <c r="CQ57" i="15"/>
  <c r="BY57" i="15"/>
  <c r="BZ57" i="15" s="1"/>
  <c r="BQ57" i="15"/>
  <c r="BR57" i="15" s="1"/>
  <c r="BN57" i="15"/>
  <c r="BM57" i="15"/>
  <c r="BE57" i="15"/>
  <c r="BF57" i="15" s="1"/>
  <c r="AG57" i="15"/>
  <c r="AH57" i="15" s="1"/>
  <c r="AC57" i="15"/>
  <c r="AD57" i="15" s="1"/>
  <c r="Z57" i="15"/>
  <c r="Y57" i="15"/>
  <c r="R57" i="15"/>
  <c r="Q57" i="15"/>
  <c r="I57" i="15"/>
  <c r="J57" i="15" s="1"/>
  <c r="CQ56" i="15"/>
  <c r="CK56" i="15"/>
  <c r="CL56" i="15" s="1"/>
  <c r="CH56" i="15"/>
  <c r="CG56" i="15"/>
  <c r="BZ56" i="15"/>
  <c r="BY56" i="15"/>
  <c r="BU56" i="15"/>
  <c r="BV56" i="15" s="1"/>
  <c r="BQ56" i="15"/>
  <c r="BR56" i="15" s="1"/>
  <c r="BM56" i="15"/>
  <c r="BN56" i="15" s="1"/>
  <c r="BI56" i="15"/>
  <c r="BJ56" i="15" s="1"/>
  <c r="BF56" i="15"/>
  <c r="BE56" i="15"/>
  <c r="BA56" i="15"/>
  <c r="BB56" i="15" s="1"/>
  <c r="AX56" i="15"/>
  <c r="AW56" i="15"/>
  <c r="AT56" i="15"/>
  <c r="AS56" i="15"/>
  <c r="AP56" i="15"/>
  <c r="AO56" i="15"/>
  <c r="AK56" i="15"/>
  <c r="AL56" i="15" s="1"/>
  <c r="AG56" i="15"/>
  <c r="AH56" i="15" s="1"/>
  <c r="AD56" i="15"/>
  <c r="AC56" i="15"/>
  <c r="Z56" i="15"/>
  <c r="Y56" i="15"/>
  <c r="U56" i="15"/>
  <c r="V56" i="15" s="1"/>
  <c r="R56" i="15"/>
  <c r="Q56" i="15"/>
  <c r="N56" i="15"/>
  <c r="M56" i="15"/>
  <c r="I56" i="15"/>
  <c r="J56" i="15" s="1"/>
  <c r="CQ55" i="15"/>
  <c r="BY55" i="15"/>
  <c r="BZ55" i="15" s="1"/>
  <c r="BU55" i="15"/>
  <c r="BV55" i="15" s="1"/>
  <c r="BM55" i="15"/>
  <c r="BN55" i="15" s="1"/>
  <c r="BE55" i="15"/>
  <c r="BF55" i="15" s="1"/>
  <c r="AH55" i="15"/>
  <c r="AG55" i="15"/>
  <c r="CQ54" i="15"/>
  <c r="BU54" i="15" s="1"/>
  <c r="BV54" i="15" s="1"/>
  <c r="CK54" i="15"/>
  <c r="CL54" i="15" s="1"/>
  <c r="CH54" i="15"/>
  <c r="CG54" i="15"/>
  <c r="BY54" i="15"/>
  <c r="BZ54" i="15" s="1"/>
  <c r="BQ54" i="15"/>
  <c r="BR54" i="15" s="1"/>
  <c r="BN54" i="15"/>
  <c r="BM54" i="15"/>
  <c r="BI54" i="15"/>
  <c r="BJ54" i="15" s="1"/>
  <c r="BF54" i="15"/>
  <c r="BE54" i="15"/>
  <c r="BA54" i="15"/>
  <c r="BB54" i="15" s="1"/>
  <c r="AX54" i="15"/>
  <c r="AW54" i="15"/>
  <c r="AO54" i="15"/>
  <c r="AP54" i="15" s="1"/>
  <c r="AL54" i="15"/>
  <c r="AK54" i="15"/>
  <c r="AH54" i="15"/>
  <c r="AG54" i="15"/>
  <c r="M54" i="15"/>
  <c r="N54" i="15" s="1"/>
  <c r="J54" i="15"/>
  <c r="I54" i="15"/>
  <c r="CQ53" i="15"/>
  <c r="CK53" i="15"/>
  <c r="CL53" i="15" s="1"/>
  <c r="BU53" i="15"/>
  <c r="BV53" i="15" s="1"/>
  <c r="BM53" i="15"/>
  <c r="BN53" i="15" s="1"/>
  <c r="BJ53" i="15"/>
  <c r="BI53" i="15"/>
  <c r="BF53" i="15"/>
  <c r="BE53" i="15"/>
  <c r="BA53" i="15"/>
  <c r="BB53" i="15" s="1"/>
  <c r="AK53" i="15"/>
  <c r="AL53" i="15" s="1"/>
  <c r="AH53" i="15"/>
  <c r="AG53" i="15"/>
  <c r="Q53" i="15"/>
  <c r="R53" i="15" s="1"/>
  <c r="I53" i="15"/>
  <c r="J53" i="15" s="1"/>
  <c r="CQ52" i="15"/>
  <c r="AW52" i="15" s="1"/>
  <c r="AX52" i="15" s="1"/>
  <c r="CK52" i="15"/>
  <c r="CL52" i="15" s="1"/>
  <c r="BY52" i="15"/>
  <c r="BZ52" i="15" s="1"/>
  <c r="BQ52" i="15"/>
  <c r="BR52" i="15" s="1"/>
  <c r="BN52" i="15"/>
  <c r="BM52" i="15"/>
  <c r="BI52" i="15"/>
  <c r="BJ52" i="15" s="1"/>
  <c r="BE52" i="15"/>
  <c r="BF52" i="15" s="1"/>
  <c r="AL52" i="15"/>
  <c r="AK52" i="15"/>
  <c r="AH52" i="15"/>
  <c r="AG52" i="15"/>
  <c r="J52" i="15"/>
  <c r="I52" i="15"/>
  <c r="CQ51" i="15"/>
  <c r="CK51" i="15"/>
  <c r="CL51" i="15" s="1"/>
  <c r="BU51" i="15"/>
  <c r="BV51" i="15" s="1"/>
  <c r="AK51" i="15"/>
  <c r="AL51" i="15" s="1"/>
  <c r="AH51" i="15"/>
  <c r="AG51" i="15"/>
  <c r="CQ50" i="15"/>
  <c r="CG50" i="15"/>
  <c r="CH50" i="15" s="1"/>
  <c r="BU50" i="15"/>
  <c r="BV50" i="15" s="1"/>
  <c r="AS50" i="15"/>
  <c r="AT50" i="15" s="1"/>
  <c r="AK50" i="15"/>
  <c r="AL50" i="15" s="1"/>
  <c r="AG50" i="15"/>
  <c r="AH50" i="15" s="1"/>
  <c r="R50" i="15"/>
  <c r="Q50" i="15"/>
  <c r="N50" i="15"/>
  <c r="M50" i="15"/>
  <c r="CQ49" i="15"/>
  <c r="CK49" i="15"/>
  <c r="CL49" i="15" s="1"/>
  <c r="CH49" i="15"/>
  <c r="CG49" i="15"/>
  <c r="BY49" i="15"/>
  <c r="BZ49" i="15" s="1"/>
  <c r="BV49" i="15"/>
  <c r="BU49" i="15"/>
  <c r="AS49" i="15"/>
  <c r="AT49" i="15" s="1"/>
  <c r="AP49" i="15"/>
  <c r="AO49" i="15"/>
  <c r="AK49" i="15"/>
  <c r="AL49" i="15" s="1"/>
  <c r="AG49" i="15"/>
  <c r="AH49" i="15" s="1"/>
  <c r="Q49" i="15"/>
  <c r="R49" i="15" s="1"/>
  <c r="M49" i="15"/>
  <c r="N49" i="15" s="1"/>
  <c r="I49" i="15"/>
  <c r="J49" i="15" s="1"/>
  <c r="CQ48" i="15"/>
  <c r="BY48" i="15"/>
  <c r="BZ48" i="15" s="1"/>
  <c r="BU48" i="15"/>
  <c r="BV48" i="15" s="1"/>
  <c r="AK48" i="15"/>
  <c r="AL48" i="15" s="1"/>
  <c r="AH48" i="15"/>
  <c r="AG48" i="15"/>
  <c r="Q48" i="15"/>
  <c r="R48" i="15" s="1"/>
  <c r="CQ47" i="15"/>
  <c r="CL47" i="15"/>
  <c r="CK47" i="15"/>
  <c r="CG47" i="15"/>
  <c r="CH47" i="15" s="1"/>
  <c r="BZ47" i="15"/>
  <c r="BY47" i="15"/>
  <c r="AO47" i="15"/>
  <c r="AP47" i="15" s="1"/>
  <c r="AK47" i="15"/>
  <c r="AL47" i="15" s="1"/>
  <c r="AG47" i="15"/>
  <c r="AH47" i="15" s="1"/>
  <c r="M47" i="15"/>
  <c r="N47" i="15" s="1"/>
  <c r="I47" i="15"/>
  <c r="J47" i="15" s="1"/>
  <c r="CQ46" i="15"/>
  <c r="CG46" i="15"/>
  <c r="CH46" i="15" s="1"/>
  <c r="AH46" i="15"/>
  <c r="AG46" i="15"/>
  <c r="Q46" i="15"/>
  <c r="R46" i="15" s="1"/>
  <c r="M46" i="15"/>
  <c r="N46" i="15" s="1"/>
  <c r="CQ45" i="15"/>
  <c r="CK45" i="15"/>
  <c r="CL45" i="15" s="1"/>
  <c r="CG45" i="15"/>
  <c r="CH45" i="15" s="1"/>
  <c r="BY45" i="15"/>
  <c r="BZ45" i="15" s="1"/>
  <c r="BU45" i="15"/>
  <c r="BV45" i="15" s="1"/>
  <c r="AS45" i="15"/>
  <c r="AT45" i="15" s="1"/>
  <c r="AO45" i="15"/>
  <c r="AP45" i="15" s="1"/>
  <c r="AL45" i="15"/>
  <c r="AK45" i="15"/>
  <c r="AG45" i="15"/>
  <c r="AH45" i="15" s="1"/>
  <c r="Q45" i="15"/>
  <c r="R45" i="15" s="1"/>
  <c r="M45" i="15"/>
  <c r="N45" i="15" s="1"/>
  <c r="J45" i="15"/>
  <c r="I45" i="15"/>
  <c r="CQ44" i="15"/>
  <c r="CK44" i="15"/>
  <c r="CL44" i="15" s="1"/>
  <c r="BU44" i="15"/>
  <c r="BV44" i="15" s="1"/>
  <c r="AG44" i="15"/>
  <c r="AH44" i="15" s="1"/>
  <c r="Q44" i="15"/>
  <c r="R44" i="15" s="1"/>
  <c r="CQ43" i="15"/>
  <c r="AS43" i="15"/>
  <c r="AT43" i="15" s="1"/>
  <c r="AP43" i="15"/>
  <c r="AO43" i="15"/>
  <c r="AK43" i="15"/>
  <c r="AL43" i="15" s="1"/>
  <c r="AG43" i="15"/>
  <c r="AH43" i="15" s="1"/>
  <c r="M43" i="15"/>
  <c r="N43" i="15" s="1"/>
  <c r="I43" i="15"/>
  <c r="J43" i="15" s="1"/>
  <c r="CQ42" i="15"/>
  <c r="M42" i="15" s="1"/>
  <c r="N42" i="15" s="1"/>
  <c r="CK42" i="15"/>
  <c r="CL42" i="15" s="1"/>
  <c r="CH42" i="15"/>
  <c r="CG42" i="15"/>
  <c r="BY42" i="15"/>
  <c r="BZ42" i="15" s="1"/>
  <c r="BU42" i="15"/>
  <c r="BV42" i="15" s="1"/>
  <c r="AS42" i="15"/>
  <c r="AT42" i="15" s="1"/>
  <c r="AO42" i="15"/>
  <c r="AP42" i="15" s="1"/>
  <c r="AK42" i="15"/>
  <c r="AL42" i="15" s="1"/>
  <c r="AG42" i="15"/>
  <c r="AH42" i="15" s="1"/>
  <c r="Q42" i="15"/>
  <c r="R42" i="15"/>
  <c r="I42" i="15"/>
  <c r="J42" i="15" s="1"/>
  <c r="CQ41" i="15"/>
  <c r="CL41" i="15"/>
  <c r="CK41" i="15"/>
  <c r="CG41" i="15"/>
  <c r="CH41" i="15" s="1"/>
  <c r="AG41" i="15"/>
  <c r="AH41" i="15" s="1"/>
  <c r="CQ40" i="15"/>
  <c r="CL40" i="15"/>
  <c r="CK40" i="15"/>
  <c r="CG40" i="15"/>
  <c r="CH40" i="15" s="1"/>
  <c r="AO40" i="15"/>
  <c r="AP40" i="15" s="1"/>
  <c r="AK40" i="15"/>
  <c r="AL40" i="15" s="1"/>
  <c r="AG40" i="15"/>
  <c r="AH40" i="15" s="1"/>
  <c r="M40" i="15"/>
  <c r="N40" i="15" s="1"/>
  <c r="J40" i="15"/>
  <c r="I40" i="15"/>
  <c r="CQ39" i="15"/>
  <c r="CK39" i="15"/>
  <c r="CL39" i="15" s="1"/>
  <c r="CG39" i="15"/>
  <c r="CH39" i="15" s="1"/>
  <c r="AS39" i="15"/>
  <c r="AT39" i="15" s="1"/>
  <c r="AO39" i="15"/>
  <c r="AP39" i="15" s="1"/>
  <c r="AG39" i="15"/>
  <c r="AH39" i="15" s="1"/>
  <c r="Q39" i="15"/>
  <c r="R39" i="15" s="1"/>
  <c r="CQ38" i="15"/>
  <c r="CK38" i="15"/>
  <c r="CL38" i="15" s="1"/>
  <c r="BY38" i="15"/>
  <c r="BZ38" i="15" s="1"/>
  <c r="BU38" i="15"/>
  <c r="BV38" i="15" s="1"/>
  <c r="AO38" i="15"/>
  <c r="AP38" i="15" s="1"/>
  <c r="AK38" i="15"/>
  <c r="AL38" i="15" s="1"/>
  <c r="AG38" i="15"/>
  <c r="AH38" i="15" s="1"/>
  <c r="R38" i="15"/>
  <c r="Q38" i="15"/>
  <c r="M38" i="15"/>
  <c r="N38" i="15" s="1"/>
  <c r="I38" i="15"/>
  <c r="J38" i="15" s="1"/>
  <c r="CQ37" i="15"/>
  <c r="AK37" i="15" s="1"/>
  <c r="AL37" i="15" s="1"/>
  <c r="BU37" i="15"/>
  <c r="BV37" i="15" s="1"/>
  <c r="AH37" i="15"/>
  <c r="AG37" i="15"/>
  <c r="CQ36" i="15"/>
  <c r="CK36" i="15"/>
  <c r="CL36" i="15" s="1"/>
  <c r="CG36" i="15"/>
  <c r="CH36" i="15" s="1"/>
  <c r="BY36" i="15"/>
  <c r="BZ36" i="15" s="1"/>
  <c r="BV36" i="15"/>
  <c r="BU36" i="15"/>
  <c r="AT36" i="15"/>
  <c r="AS36" i="15"/>
  <c r="AP36" i="15"/>
  <c r="AO36" i="15"/>
  <c r="AK36" i="15"/>
  <c r="AL36" i="15" s="1"/>
  <c r="AG36" i="15"/>
  <c r="AH36" i="15" s="1"/>
  <c r="Q36" i="15"/>
  <c r="R36" i="15" s="1"/>
  <c r="M36" i="15"/>
  <c r="N36" i="15" s="1"/>
  <c r="I36" i="15"/>
  <c r="J36" i="15" s="1"/>
  <c r="CQ35" i="15"/>
  <c r="CL35" i="15"/>
  <c r="CK35" i="15"/>
  <c r="CH35" i="15"/>
  <c r="CG35" i="15"/>
  <c r="BY35" i="15"/>
  <c r="BZ35" i="15" s="1"/>
  <c r="BV35" i="15"/>
  <c r="BU35" i="15"/>
  <c r="AT35" i="15"/>
  <c r="AS35" i="15"/>
  <c r="AK35" i="15"/>
  <c r="AL35" i="15" s="1"/>
  <c r="AG35" i="15"/>
  <c r="AH35" i="15" s="1"/>
  <c r="R35" i="15"/>
  <c r="Q35" i="15"/>
  <c r="I35" i="15"/>
  <c r="J35" i="15" s="1"/>
  <c r="CQ34" i="15"/>
  <c r="AO34" i="15" s="1"/>
  <c r="AP34" i="15" s="1"/>
  <c r="CG34" i="15"/>
  <c r="CH34" i="15" s="1"/>
  <c r="BY34" i="15"/>
  <c r="BZ34" i="15" s="1"/>
  <c r="AG34" i="15"/>
  <c r="AH34" i="15" s="1"/>
  <c r="I34" i="15"/>
  <c r="J34" i="15" s="1"/>
  <c r="CQ33" i="15"/>
  <c r="CL33" i="15"/>
  <c r="CK33" i="15"/>
  <c r="CG33" i="15"/>
  <c r="CH33" i="15" s="1"/>
  <c r="BU33" i="15"/>
  <c r="BV33" i="15" s="1"/>
  <c r="AS33" i="15"/>
  <c r="AT33" i="15" s="1"/>
  <c r="AL33" i="15"/>
  <c r="AK33" i="15"/>
  <c r="AH33" i="15"/>
  <c r="AG33" i="15"/>
  <c r="R33" i="15"/>
  <c r="Q33" i="15"/>
  <c r="M33" i="15"/>
  <c r="N33" i="15" s="1"/>
  <c r="I33" i="15"/>
  <c r="J33" i="15" s="1"/>
  <c r="CQ32" i="15"/>
  <c r="CG32" i="15"/>
  <c r="CH32" i="15" s="1"/>
  <c r="BY32" i="15"/>
  <c r="BZ32" i="15" s="1"/>
  <c r="AS32" i="15"/>
  <c r="AT32" i="15" s="1"/>
  <c r="AK32" i="15"/>
  <c r="AL32" i="15" s="1"/>
  <c r="AH32" i="15"/>
  <c r="AG32" i="15"/>
  <c r="Q32" i="15"/>
  <c r="R32" i="15" s="1"/>
  <c r="I32" i="15"/>
  <c r="J32" i="15" s="1"/>
  <c r="CQ31" i="15"/>
  <c r="CK31" i="15"/>
  <c r="CL31" i="15" s="1"/>
  <c r="CH31" i="15"/>
  <c r="CG31" i="15"/>
  <c r="BY31" i="15"/>
  <c r="BZ31" i="15" s="1"/>
  <c r="BU31" i="15"/>
  <c r="BV31" i="15" s="1"/>
  <c r="AS31" i="15"/>
  <c r="AT31" i="15" s="1"/>
  <c r="AO31" i="15"/>
  <c r="AP31" i="15" s="1"/>
  <c r="AL31" i="15"/>
  <c r="AK31" i="15"/>
  <c r="AG31" i="15"/>
  <c r="AH31" i="15" s="1"/>
  <c r="Q31" i="15"/>
  <c r="R31" i="15" s="1"/>
  <c r="M31" i="15"/>
  <c r="N31" i="15" s="1"/>
  <c r="J31" i="15"/>
  <c r="I31" i="15"/>
  <c r="CQ30" i="15"/>
  <c r="CK30" i="15"/>
  <c r="CL30" i="15" s="1"/>
  <c r="CG30" i="15"/>
  <c r="CH30" i="15" s="1"/>
  <c r="BU30" i="15"/>
  <c r="BV30" i="15" s="1"/>
  <c r="AS30" i="15"/>
  <c r="AT30" i="15" s="1"/>
  <c r="AK30" i="15"/>
  <c r="AL30" i="15" s="1"/>
  <c r="AH30" i="15"/>
  <c r="AG30" i="15"/>
  <c r="I30" i="15"/>
  <c r="J30" i="15" s="1"/>
  <c r="CQ29" i="15"/>
  <c r="CK29" i="15"/>
  <c r="CL29" i="15" s="1"/>
  <c r="AG29" i="15"/>
  <c r="AH29" i="15" s="1"/>
  <c r="I29" i="15"/>
  <c r="J29" i="15" s="1"/>
  <c r="CQ28" i="15"/>
  <c r="CK28" i="15"/>
  <c r="CL28" i="15" s="1"/>
  <c r="BU28" i="15"/>
  <c r="BV28" i="15" s="1"/>
  <c r="AS28" i="15"/>
  <c r="AT28" i="15" s="1"/>
  <c r="AP28" i="15"/>
  <c r="AO28" i="15"/>
  <c r="AK28" i="15"/>
  <c r="AL28" i="15" s="1"/>
  <c r="AH28" i="15"/>
  <c r="AG28" i="15"/>
  <c r="R28" i="15"/>
  <c r="Q28" i="15"/>
  <c r="M28" i="15"/>
  <c r="N28" i="15" s="1"/>
  <c r="I28" i="15"/>
  <c r="J28" i="15" s="1"/>
  <c r="CQ27" i="15"/>
  <c r="CG27" i="15"/>
  <c r="CH27" i="15" s="1"/>
  <c r="BY27" i="15"/>
  <c r="BZ27" i="15" s="1"/>
  <c r="BU27" i="15"/>
  <c r="BV27" i="15" s="1"/>
  <c r="AS27" i="15"/>
  <c r="AT27" i="15" s="1"/>
  <c r="AP27" i="15"/>
  <c r="AO27" i="15"/>
  <c r="AK27" i="15"/>
  <c r="AL27" i="15" s="1"/>
  <c r="AG27" i="15"/>
  <c r="AH27" i="15" s="1"/>
  <c r="Q27" i="15"/>
  <c r="R27" i="15" s="1"/>
  <c r="N27" i="15"/>
  <c r="J27" i="15"/>
  <c r="I27" i="15"/>
  <c r="CQ26" i="15"/>
  <c r="CL26" i="15"/>
  <c r="CK26" i="15"/>
  <c r="CH26" i="15"/>
  <c r="CG26" i="15"/>
  <c r="BY26" i="15"/>
  <c r="BZ26" i="15" s="1"/>
  <c r="BU26" i="15"/>
  <c r="BV26" i="15" s="1"/>
  <c r="AT26" i="15"/>
  <c r="AS26" i="15"/>
  <c r="AO26" i="15"/>
  <c r="AP26" i="15" s="1"/>
  <c r="AL26" i="15"/>
  <c r="AK26" i="15"/>
  <c r="AH26" i="15"/>
  <c r="AG26" i="15"/>
  <c r="Q26" i="15"/>
  <c r="R26" i="15" s="1"/>
  <c r="M26" i="15"/>
  <c r="N26" i="15" s="1"/>
  <c r="J26" i="15"/>
  <c r="I26" i="15"/>
  <c r="CQ25" i="15"/>
  <c r="CL25" i="15"/>
  <c r="CK25" i="15"/>
  <c r="CG25" i="15"/>
  <c r="CH25" i="15" s="1"/>
  <c r="BY25" i="15"/>
  <c r="BZ25" i="15" s="1"/>
  <c r="BU25" i="15"/>
  <c r="BV25" i="15" s="1"/>
  <c r="AS25" i="15"/>
  <c r="AT25" i="15" s="1"/>
  <c r="AL25" i="15"/>
  <c r="AK25" i="15"/>
  <c r="AG25" i="15"/>
  <c r="AH25" i="15" s="1"/>
  <c r="R25" i="15"/>
  <c r="Q25" i="15"/>
  <c r="J25" i="15"/>
  <c r="I25" i="15"/>
  <c r="CQ24" i="15"/>
  <c r="CK24" i="15"/>
  <c r="CL24" i="15" s="1"/>
  <c r="CG24" i="15"/>
  <c r="CH24" i="15" s="1"/>
  <c r="BY24" i="15"/>
  <c r="BZ24" i="15" s="1"/>
  <c r="AL24" i="15"/>
  <c r="AK24" i="15"/>
  <c r="AG24" i="15"/>
  <c r="AH24" i="15" s="1"/>
  <c r="I24" i="15"/>
  <c r="J24" i="15" s="1"/>
  <c r="CQ23" i="15"/>
  <c r="CG23" i="15" s="1"/>
  <c r="CH23" i="15" s="1"/>
  <c r="CK23" i="15"/>
  <c r="CL23" i="15" s="1"/>
  <c r="AG23" i="15"/>
  <c r="AH23" i="15" s="1"/>
  <c r="I23" i="15"/>
  <c r="J23" i="15" s="1"/>
  <c r="CQ22" i="15"/>
  <c r="CK22" i="15"/>
  <c r="CL22" i="15" s="1"/>
  <c r="CH22" i="15"/>
  <c r="CG22" i="15"/>
  <c r="BU22" i="15"/>
  <c r="BV22" i="15" s="1"/>
  <c r="AS22" i="15"/>
  <c r="AT22" i="15" s="1"/>
  <c r="AO22" i="15"/>
  <c r="AP22" i="15" s="1"/>
  <c r="AK22" i="15"/>
  <c r="AL22" i="15" s="1"/>
  <c r="AH22" i="15"/>
  <c r="AG22" i="15"/>
  <c r="R22" i="15"/>
  <c r="Q22" i="15"/>
  <c r="M22" i="15"/>
  <c r="N22" i="15" s="1"/>
  <c r="I22" i="15"/>
  <c r="J22" i="15" s="1"/>
  <c r="CQ21" i="15"/>
  <c r="CK21" i="15"/>
  <c r="CL21" i="15" s="1"/>
  <c r="AG21" i="15"/>
  <c r="AH21" i="15" s="1"/>
  <c r="CQ20" i="15"/>
  <c r="CH20" i="15"/>
  <c r="CG20" i="15"/>
  <c r="BY20" i="15"/>
  <c r="BZ20" i="15" s="1"/>
  <c r="AS20" i="15"/>
  <c r="AT20" i="15" s="1"/>
  <c r="AH20" i="15"/>
  <c r="AG20" i="15"/>
  <c r="Q20" i="15"/>
  <c r="R20" i="15" s="1"/>
  <c r="CQ19" i="15"/>
  <c r="CL19" i="15"/>
  <c r="CK19" i="15"/>
  <c r="CG19" i="15"/>
  <c r="CH19" i="15" s="1"/>
  <c r="BZ19" i="15"/>
  <c r="BY19" i="15"/>
  <c r="BU19" i="15"/>
  <c r="BV19" i="15" s="1"/>
  <c r="AT19" i="15"/>
  <c r="AS19" i="15"/>
  <c r="AP19" i="15"/>
  <c r="AO19" i="15"/>
  <c r="AL19" i="15"/>
  <c r="AK19" i="15"/>
  <c r="AH19" i="15"/>
  <c r="AG19" i="15"/>
  <c r="Q19" i="15"/>
  <c r="R19" i="15" s="1"/>
  <c r="N19" i="15"/>
  <c r="M19" i="15"/>
  <c r="J19" i="15"/>
  <c r="I19" i="15"/>
  <c r="CQ18" i="15"/>
  <c r="CK18" i="15"/>
  <c r="CL18" i="15" s="1"/>
  <c r="CG18" i="15"/>
  <c r="CH18" i="15" s="1"/>
  <c r="BY18" i="15"/>
  <c r="BZ18" i="15" s="1"/>
  <c r="AH18" i="15"/>
  <c r="AG18" i="15"/>
  <c r="Q18" i="15"/>
  <c r="R18" i="15" s="1"/>
  <c r="CQ17" i="15"/>
  <c r="CG17" i="15"/>
  <c r="CH17" i="15" s="1"/>
  <c r="BY17" i="15"/>
  <c r="BZ17" i="15" s="1"/>
  <c r="AG17" i="15"/>
  <c r="AH17" i="15" s="1"/>
  <c r="M17" i="15"/>
  <c r="N17" i="15" s="1"/>
  <c r="CQ16" i="15"/>
  <c r="CL16" i="15"/>
  <c r="CK16" i="15"/>
  <c r="CG16" i="15"/>
  <c r="CH16" i="15" s="1"/>
  <c r="BU16" i="15"/>
  <c r="BV16" i="15" s="1"/>
  <c r="AT16" i="15"/>
  <c r="AS16" i="15"/>
  <c r="AO16" i="15"/>
  <c r="AP16" i="15" s="1"/>
  <c r="AG16" i="15"/>
  <c r="AH16" i="15" s="1"/>
  <c r="R16" i="15"/>
  <c r="Q16" i="15"/>
  <c r="M16" i="15"/>
  <c r="N16" i="15" s="1"/>
  <c r="CQ15" i="15"/>
  <c r="CK15" i="15"/>
  <c r="CL15" i="15" s="1"/>
  <c r="CH15" i="15"/>
  <c r="CG15" i="15"/>
  <c r="BY15" i="15"/>
  <c r="BZ15" i="15" s="1"/>
  <c r="BV15" i="15"/>
  <c r="BU15" i="15"/>
  <c r="AS15" i="15"/>
  <c r="AT15" i="15" s="1"/>
  <c r="AO15" i="15"/>
  <c r="AP15" i="15" s="1"/>
  <c r="AL15" i="15"/>
  <c r="AK15" i="15"/>
  <c r="AG15" i="15"/>
  <c r="AH15" i="15" s="1"/>
  <c r="Q15" i="15"/>
  <c r="R15" i="15" s="1"/>
  <c r="M15" i="15"/>
  <c r="N15" i="15" s="1"/>
  <c r="J15" i="15"/>
  <c r="I15" i="15"/>
  <c r="CQ14" i="15"/>
  <c r="CK14" i="15"/>
  <c r="CL14" i="15" s="1"/>
  <c r="BZ14" i="15"/>
  <c r="BY14" i="15"/>
  <c r="BV14" i="15"/>
  <c r="BU14" i="15"/>
  <c r="AT14" i="15"/>
  <c r="AS14" i="15"/>
  <c r="AO14" i="15"/>
  <c r="AP14" i="15" s="1"/>
  <c r="AL14" i="15"/>
  <c r="AK14" i="15"/>
  <c r="AG14" i="15"/>
  <c r="AH14" i="15" s="1"/>
  <c r="Q14" i="15"/>
  <c r="R14" i="15" s="1"/>
  <c r="M14" i="15"/>
  <c r="N14" i="15" s="1"/>
  <c r="J14" i="15"/>
  <c r="I14" i="15"/>
  <c r="CQ13" i="15"/>
  <c r="CH13" i="15"/>
  <c r="CG13" i="15"/>
  <c r="BY13" i="15"/>
  <c r="BZ13" i="15" s="1"/>
  <c r="BV13" i="15"/>
  <c r="BU13" i="15"/>
  <c r="AT13" i="15"/>
  <c r="AS13" i="15"/>
  <c r="AO13" i="15"/>
  <c r="AP13" i="15" s="1"/>
  <c r="AL13" i="15"/>
  <c r="AK13" i="15"/>
  <c r="AH13" i="15"/>
  <c r="AG13" i="15"/>
  <c r="Q13" i="15"/>
  <c r="R13" i="15" s="1"/>
  <c r="M13" i="15"/>
  <c r="N13" i="15" s="1"/>
  <c r="J13" i="15"/>
  <c r="I13" i="15"/>
  <c r="CQ12" i="15"/>
  <c r="CK12" i="15"/>
  <c r="CL12" i="15" s="1"/>
  <c r="CH12" i="15"/>
  <c r="CG12" i="15"/>
  <c r="BY12" i="15"/>
  <c r="BZ12" i="15" s="1"/>
  <c r="BU12" i="15"/>
  <c r="BV12" i="15" s="1"/>
  <c r="AS12" i="15"/>
  <c r="AT12" i="15" s="1"/>
  <c r="AP12" i="15"/>
  <c r="AO12" i="15"/>
  <c r="AL12" i="15"/>
  <c r="AK12" i="15"/>
  <c r="AG12" i="15"/>
  <c r="AH12" i="15" s="1"/>
  <c r="Q12" i="15"/>
  <c r="R12" i="15" s="1"/>
  <c r="N12" i="15"/>
  <c r="M12" i="15"/>
  <c r="J12" i="15"/>
  <c r="I12" i="15"/>
  <c r="CQ11" i="15"/>
  <c r="CH11" i="15"/>
  <c r="CG11" i="15"/>
  <c r="BY11" i="15"/>
  <c r="BZ11" i="15" s="1"/>
  <c r="AT11" i="15"/>
  <c r="AS11" i="15"/>
  <c r="Q11" i="15"/>
  <c r="R11" i="15" s="1"/>
  <c r="CQ59" i="14"/>
  <c r="CG59" i="14"/>
  <c r="CH59" i="14" s="1"/>
  <c r="BQ59" i="14"/>
  <c r="BR59" i="14" s="1"/>
  <c r="BM59" i="14"/>
  <c r="BN59" i="14" s="1"/>
  <c r="BJ59" i="14"/>
  <c r="BI59" i="14"/>
  <c r="BE59" i="14"/>
  <c r="BF59" i="14" s="1"/>
  <c r="AH59" i="14"/>
  <c r="AG59" i="14"/>
  <c r="AC59" i="14"/>
  <c r="AD59" i="14" s="1"/>
  <c r="Z59" i="14"/>
  <c r="Y59" i="14"/>
  <c r="U59" i="14"/>
  <c r="V59" i="14" s="1"/>
  <c r="M59" i="14"/>
  <c r="N59" i="14" s="1"/>
  <c r="CQ58" i="14"/>
  <c r="BU58" i="14"/>
  <c r="BV58" i="14" s="1"/>
  <c r="BR58" i="14"/>
  <c r="BQ58" i="14"/>
  <c r="BM58" i="14"/>
  <c r="BN58" i="14" s="1"/>
  <c r="BA58" i="14"/>
  <c r="BB58" i="14" s="1"/>
  <c r="AP58" i="14"/>
  <c r="AO58" i="14"/>
  <c r="AK58" i="14"/>
  <c r="AL58" i="14" s="1"/>
  <c r="AG58" i="14"/>
  <c r="AH58" i="14" s="1"/>
  <c r="AD58" i="14"/>
  <c r="AC58" i="14"/>
  <c r="Z58" i="14"/>
  <c r="Y58" i="14"/>
  <c r="Q58" i="14"/>
  <c r="R58" i="14" s="1"/>
  <c r="I58" i="14"/>
  <c r="J58" i="14" s="1"/>
  <c r="CQ57" i="14"/>
  <c r="CG57" i="14"/>
  <c r="CH57" i="14" s="1"/>
  <c r="BY57" i="14"/>
  <c r="BZ57" i="14" s="1"/>
  <c r="BQ57" i="14"/>
  <c r="BR57" i="14" s="1"/>
  <c r="BE57" i="14"/>
  <c r="BF57" i="14" s="1"/>
  <c r="AW57" i="14"/>
  <c r="AX57" i="14" s="1"/>
  <c r="AS57" i="14"/>
  <c r="AT57" i="14" s="1"/>
  <c r="AO57" i="14"/>
  <c r="AP57" i="14" s="1"/>
  <c r="AH57" i="14"/>
  <c r="AG57" i="14"/>
  <c r="AD57" i="14"/>
  <c r="AC57" i="14"/>
  <c r="Z57" i="14"/>
  <c r="Y57" i="14"/>
  <c r="U57" i="14"/>
  <c r="V57" i="14" s="1"/>
  <c r="Q57" i="14"/>
  <c r="R57" i="14" s="1"/>
  <c r="M57" i="14"/>
  <c r="N57" i="14" s="1"/>
  <c r="I57" i="14"/>
  <c r="J57" i="14" s="1"/>
  <c r="CQ56" i="14"/>
  <c r="CK56" i="14"/>
  <c r="CL56" i="14" s="1"/>
  <c r="CH56" i="14"/>
  <c r="CG56" i="14"/>
  <c r="BZ56" i="14"/>
  <c r="BY56" i="14"/>
  <c r="BU56" i="14"/>
  <c r="BV56" i="14" s="1"/>
  <c r="BQ56" i="14"/>
  <c r="BR56" i="14" s="1"/>
  <c r="BN56" i="14"/>
  <c r="BM56" i="14"/>
  <c r="BI56" i="14"/>
  <c r="BJ56" i="14" s="1"/>
  <c r="BF56" i="14"/>
  <c r="BE56" i="14"/>
  <c r="BA56" i="14"/>
  <c r="BB56" i="14" s="1"/>
  <c r="AW56" i="14"/>
  <c r="AX56" i="14" s="1"/>
  <c r="AT56" i="14"/>
  <c r="AS56" i="14"/>
  <c r="AO56" i="14"/>
  <c r="AP56" i="14" s="1"/>
  <c r="AL56" i="14"/>
  <c r="AK56" i="14"/>
  <c r="AH56" i="14"/>
  <c r="AG56" i="14"/>
  <c r="AD56" i="14"/>
  <c r="AC56" i="14"/>
  <c r="Y56" i="14"/>
  <c r="Z56" i="14" s="1"/>
  <c r="U56" i="14"/>
  <c r="V56" i="14" s="1"/>
  <c r="Q56" i="14"/>
  <c r="R56" i="14" s="1"/>
  <c r="N56" i="14"/>
  <c r="M56" i="14"/>
  <c r="J56" i="14"/>
  <c r="I56" i="14"/>
  <c r="CQ55" i="14"/>
  <c r="AH55" i="14"/>
  <c r="AG55" i="14"/>
  <c r="AC55" i="14"/>
  <c r="AD55" i="14" s="1"/>
  <c r="Y55" i="14"/>
  <c r="Z55" i="14" s="1"/>
  <c r="CQ54" i="14"/>
  <c r="BU54" i="14" s="1"/>
  <c r="BV54" i="14" s="1"/>
  <c r="CK54" i="14"/>
  <c r="CL54" i="14" s="1"/>
  <c r="CG54" i="14"/>
  <c r="CH54" i="14" s="1"/>
  <c r="BY54" i="14"/>
  <c r="BZ54" i="14" s="1"/>
  <c r="AO54" i="14"/>
  <c r="AP54" i="14" s="1"/>
  <c r="AL54" i="14"/>
  <c r="AK54" i="14"/>
  <c r="AG54" i="14"/>
  <c r="AH54" i="14" s="1"/>
  <c r="AC54" i="14"/>
  <c r="AD54" i="14" s="1"/>
  <c r="Z54" i="14"/>
  <c r="Y54" i="14"/>
  <c r="U54" i="14"/>
  <c r="V54" i="14" s="1"/>
  <c r="M54" i="14"/>
  <c r="N54" i="14" s="1"/>
  <c r="J54" i="14"/>
  <c r="I54" i="14"/>
  <c r="CQ53" i="14"/>
  <c r="AH53" i="14"/>
  <c r="AG53" i="14"/>
  <c r="AC53" i="14"/>
  <c r="AD53" i="14" s="1"/>
  <c r="Y53" i="14"/>
  <c r="Z53" i="14" s="1"/>
  <c r="I53" i="14"/>
  <c r="J53" i="14" s="1"/>
  <c r="CQ52" i="14"/>
  <c r="CK52" i="14"/>
  <c r="CL52" i="14" s="1"/>
  <c r="CH52" i="14"/>
  <c r="CG52" i="14"/>
  <c r="BY52" i="14"/>
  <c r="BZ52" i="14" s="1"/>
  <c r="AO52" i="14"/>
  <c r="AP52" i="14" s="1"/>
  <c r="AK52" i="14"/>
  <c r="AL52" i="14" s="1"/>
  <c r="AG52" i="14"/>
  <c r="AH52" i="14" s="1"/>
  <c r="AC52" i="14"/>
  <c r="AD52" i="14" s="1"/>
  <c r="Z52" i="14"/>
  <c r="Y52" i="14"/>
  <c r="V52" i="14"/>
  <c r="U52" i="14"/>
  <c r="M52" i="14"/>
  <c r="N52" i="14" s="1"/>
  <c r="J52" i="14"/>
  <c r="I52" i="14"/>
  <c r="CQ51" i="14"/>
  <c r="CK51" i="14"/>
  <c r="CL51" i="14" s="1"/>
  <c r="BU51" i="14"/>
  <c r="BV51" i="14" s="1"/>
  <c r="AO51" i="14"/>
  <c r="AP51" i="14" s="1"/>
  <c r="AK51" i="14"/>
  <c r="AL51" i="14" s="1"/>
  <c r="AH51" i="14"/>
  <c r="AG51" i="14"/>
  <c r="AD51" i="14"/>
  <c r="AC51" i="14"/>
  <c r="Z51" i="14"/>
  <c r="Y51" i="14"/>
  <c r="Q51" i="14"/>
  <c r="R51" i="14" s="1"/>
  <c r="I51" i="14"/>
  <c r="J51" i="14" s="1"/>
  <c r="CQ50" i="14"/>
  <c r="BY50" i="14"/>
  <c r="BZ50" i="14" s="1"/>
  <c r="AH50" i="14"/>
  <c r="AG50" i="14"/>
  <c r="AD50" i="14"/>
  <c r="AC50" i="14"/>
  <c r="Z50" i="14"/>
  <c r="Y50" i="14"/>
  <c r="U50" i="14"/>
  <c r="V50" i="14" s="1"/>
  <c r="Q50" i="14"/>
  <c r="R50" i="14" s="1"/>
  <c r="CQ49" i="14"/>
  <c r="CK49" i="14"/>
  <c r="CL49" i="14" s="1"/>
  <c r="CH49" i="14"/>
  <c r="CG49" i="14"/>
  <c r="BY49" i="14"/>
  <c r="BZ49" i="14" s="1"/>
  <c r="BU49" i="14"/>
  <c r="BV49" i="14" s="1"/>
  <c r="AT49" i="14"/>
  <c r="AS49" i="14"/>
  <c r="AP49" i="14"/>
  <c r="AO49" i="14"/>
  <c r="AL49" i="14"/>
  <c r="AK49" i="14"/>
  <c r="AH49" i="14"/>
  <c r="AG49" i="14"/>
  <c r="AD49" i="14"/>
  <c r="AC49" i="14"/>
  <c r="Y49" i="14"/>
  <c r="Z49" i="14" s="1"/>
  <c r="V49" i="14"/>
  <c r="U49" i="14"/>
  <c r="R49" i="14"/>
  <c r="Q49" i="14"/>
  <c r="M49" i="14"/>
  <c r="N49" i="14" s="1"/>
  <c r="J49" i="14"/>
  <c r="I49" i="14"/>
  <c r="CQ48" i="14"/>
  <c r="BY48" i="14" s="1"/>
  <c r="BZ48" i="14" s="1"/>
  <c r="AS48" i="14"/>
  <c r="AT48" i="14" s="1"/>
  <c r="AH48" i="14"/>
  <c r="AG48" i="14"/>
  <c r="AC48" i="14"/>
  <c r="AD48" i="14" s="1"/>
  <c r="Z48" i="14"/>
  <c r="Y48" i="14"/>
  <c r="I48" i="14"/>
  <c r="J48" i="14" s="1"/>
  <c r="CQ47" i="14"/>
  <c r="BU47" i="14" s="1"/>
  <c r="BV47" i="14" s="1"/>
  <c r="CK47" i="14"/>
  <c r="CL47" i="14" s="1"/>
  <c r="CG47" i="14"/>
  <c r="CH47" i="14" s="1"/>
  <c r="BZ47" i="14"/>
  <c r="BY47" i="14"/>
  <c r="AP47" i="14"/>
  <c r="AO47" i="14"/>
  <c r="AL47" i="14"/>
  <c r="AK47" i="14"/>
  <c r="AG47" i="14"/>
  <c r="AH47" i="14" s="1"/>
  <c r="N47" i="14"/>
  <c r="M47" i="14"/>
  <c r="J47" i="14"/>
  <c r="I47" i="14"/>
  <c r="CQ46" i="14"/>
  <c r="CK46" i="14"/>
  <c r="CL46" i="14" s="1"/>
  <c r="CH46" i="14"/>
  <c r="CG46" i="14"/>
  <c r="BV46" i="14"/>
  <c r="BU46" i="14"/>
  <c r="AT46" i="14"/>
  <c r="AS46" i="14"/>
  <c r="AK46" i="14"/>
  <c r="AL46" i="14" s="1"/>
  <c r="AG46" i="14"/>
  <c r="AH46" i="14" s="1"/>
  <c r="R46" i="14"/>
  <c r="Q46" i="14"/>
  <c r="I46" i="14"/>
  <c r="J46" i="14" s="1"/>
  <c r="CQ45" i="14"/>
  <c r="CK45" i="14"/>
  <c r="CL45" i="14" s="1"/>
  <c r="CH45" i="14"/>
  <c r="CG45" i="14"/>
  <c r="BY45" i="14"/>
  <c r="BZ45" i="14" s="1"/>
  <c r="AO45" i="14"/>
  <c r="AP45" i="14" s="1"/>
  <c r="AL45" i="14"/>
  <c r="AK45" i="14"/>
  <c r="AG45" i="14"/>
  <c r="AH45" i="14" s="1"/>
  <c r="M45" i="14"/>
  <c r="N45" i="14" s="1"/>
  <c r="I45" i="14"/>
  <c r="J45" i="14" s="1"/>
  <c r="CQ44" i="14"/>
  <c r="CK44" i="14"/>
  <c r="CL44" i="14" s="1"/>
  <c r="BU44" i="14"/>
  <c r="BV44" i="14" s="1"/>
  <c r="AS44" i="14"/>
  <c r="AT44" i="14" s="1"/>
  <c r="AK44" i="14"/>
  <c r="AL44" i="14" s="1"/>
  <c r="AH44" i="14"/>
  <c r="AG44" i="14"/>
  <c r="CQ43" i="14"/>
  <c r="BY43" i="14"/>
  <c r="BZ43" i="14" s="1"/>
  <c r="BU43" i="14"/>
  <c r="BV43" i="14" s="1"/>
  <c r="AP43" i="14"/>
  <c r="AO43" i="14"/>
  <c r="AK43" i="14"/>
  <c r="AL43" i="14" s="1"/>
  <c r="AH43" i="14"/>
  <c r="AG43" i="14"/>
  <c r="M43" i="14"/>
  <c r="N43" i="14" s="1"/>
  <c r="I43" i="14"/>
  <c r="J43" i="14" s="1"/>
  <c r="CQ42" i="14"/>
  <c r="CK42" i="14"/>
  <c r="CL42" i="14" s="1"/>
  <c r="CH42" i="14"/>
  <c r="CG42" i="14"/>
  <c r="BY42" i="14"/>
  <c r="BZ42" i="14" s="1"/>
  <c r="BU42" i="14"/>
  <c r="BV42" i="14" s="1"/>
  <c r="AS42" i="14"/>
  <c r="AT42" i="14" s="1"/>
  <c r="AP42" i="14"/>
  <c r="AO42" i="14"/>
  <c r="AL42" i="14"/>
  <c r="AK42" i="14"/>
  <c r="AG42" i="14"/>
  <c r="AH42" i="14" s="1"/>
  <c r="Q42" i="14"/>
  <c r="R42" i="14"/>
  <c r="N42" i="14"/>
  <c r="M42" i="14"/>
  <c r="I42" i="14"/>
  <c r="J42" i="14" s="1"/>
  <c r="CQ41" i="14"/>
  <c r="AK41" i="14" s="1"/>
  <c r="CG41" i="14"/>
  <c r="CH41" i="14" s="1"/>
  <c r="BZ41" i="14"/>
  <c r="BY41" i="14"/>
  <c r="AO41" i="14"/>
  <c r="AP41" i="14" s="1"/>
  <c r="AL41" i="14"/>
  <c r="AG41" i="14"/>
  <c r="AH41" i="14" s="1"/>
  <c r="M41" i="14"/>
  <c r="N41" i="14" s="1"/>
  <c r="CQ40" i="14"/>
  <c r="BY40" i="14" s="1"/>
  <c r="BZ40" i="14" s="1"/>
  <c r="CK40" i="14"/>
  <c r="CL40" i="14" s="1"/>
  <c r="CG40" i="14"/>
  <c r="CH40" i="14" s="1"/>
  <c r="BU40" i="14"/>
  <c r="BV40" i="14" s="1"/>
  <c r="AS40" i="14"/>
  <c r="AT40" i="14" s="1"/>
  <c r="AP40" i="14"/>
  <c r="AO40" i="14"/>
  <c r="AK40" i="14"/>
  <c r="AL40" i="14" s="1"/>
  <c r="AG40" i="14"/>
  <c r="AH40" i="14" s="1"/>
  <c r="Q40" i="14"/>
  <c r="R40" i="14" s="1"/>
  <c r="M40" i="14"/>
  <c r="N40" i="14" s="1"/>
  <c r="I40" i="14"/>
  <c r="J40" i="14" s="1"/>
  <c r="CQ39" i="14"/>
  <c r="CL39" i="14"/>
  <c r="CK39" i="14"/>
  <c r="CG39" i="14"/>
  <c r="CH39" i="14" s="1"/>
  <c r="BY39" i="14"/>
  <c r="BZ39" i="14" s="1"/>
  <c r="BU39" i="14"/>
  <c r="BV39" i="14" s="1"/>
  <c r="AT39" i="14"/>
  <c r="AS39" i="14"/>
  <c r="AK39" i="14"/>
  <c r="AL39" i="14" s="1"/>
  <c r="AG39" i="14"/>
  <c r="AH39" i="14" s="1"/>
  <c r="Q39" i="14"/>
  <c r="R39" i="14" s="1"/>
  <c r="M39" i="14"/>
  <c r="N39" i="14" s="1"/>
  <c r="I39" i="14"/>
  <c r="J39" i="14" s="1"/>
  <c r="CQ38" i="14"/>
  <c r="CK38" i="14"/>
  <c r="CL38" i="14" s="1"/>
  <c r="BY38" i="14"/>
  <c r="BZ38" i="14" s="1"/>
  <c r="BU38" i="14"/>
  <c r="BV38" i="14" s="1"/>
  <c r="AO38" i="14"/>
  <c r="AP38" i="14" s="1"/>
  <c r="AG38" i="14"/>
  <c r="AH38" i="14" s="1"/>
  <c r="Q38" i="14"/>
  <c r="R38" i="14" s="1"/>
  <c r="I38" i="14"/>
  <c r="J38" i="14" s="1"/>
  <c r="CQ37" i="14"/>
  <c r="CG37" i="14"/>
  <c r="CH37" i="14" s="1"/>
  <c r="BY37" i="14"/>
  <c r="BZ37" i="14" s="1"/>
  <c r="BU37" i="14"/>
  <c r="BV37" i="14" s="1"/>
  <c r="AS37" i="14"/>
  <c r="AT37" i="14" s="1"/>
  <c r="AO37" i="14"/>
  <c r="AP37" i="14" s="1"/>
  <c r="AK37" i="14"/>
  <c r="AL37" i="14" s="1"/>
  <c r="AH37" i="14"/>
  <c r="AG37" i="14"/>
  <c r="R37" i="14"/>
  <c r="Q37" i="14"/>
  <c r="M37" i="14"/>
  <c r="N37" i="14" s="1"/>
  <c r="I37" i="14"/>
  <c r="J37" i="14"/>
  <c r="CQ36" i="14"/>
  <c r="CG36" i="14" s="1"/>
  <c r="CH36" i="14" s="1"/>
  <c r="CL36" i="14"/>
  <c r="CK36" i="14"/>
  <c r="BY36" i="14"/>
  <c r="BZ36" i="14" s="1"/>
  <c r="BU36" i="14"/>
  <c r="BV36" i="14" s="1"/>
  <c r="AS36" i="14"/>
  <c r="AT36" i="14" s="1"/>
  <c r="AO36" i="14"/>
  <c r="AP36" i="14" s="1"/>
  <c r="AK36" i="14"/>
  <c r="AL36" i="14" s="1"/>
  <c r="AH36" i="14"/>
  <c r="AG36" i="14"/>
  <c r="R36" i="14"/>
  <c r="Q36" i="14"/>
  <c r="M36" i="14"/>
  <c r="N36" i="14" s="1"/>
  <c r="I36" i="14"/>
  <c r="J36" i="14" s="1"/>
  <c r="CQ35" i="14"/>
  <c r="CH35" i="14"/>
  <c r="CG35" i="14"/>
  <c r="BY35" i="14"/>
  <c r="BZ35" i="14" s="1"/>
  <c r="AL35" i="14"/>
  <c r="AK35" i="14"/>
  <c r="AH35" i="14"/>
  <c r="AG35" i="14"/>
  <c r="Q35" i="14"/>
  <c r="R35" i="14" s="1"/>
  <c r="CQ34" i="14"/>
  <c r="CK34" i="14"/>
  <c r="CL34" i="14" s="1"/>
  <c r="CG34" i="14"/>
  <c r="CH34" i="14" s="1"/>
  <c r="BY34" i="14"/>
  <c r="BZ34" i="14" s="1"/>
  <c r="BU34" i="14"/>
  <c r="BV34" i="14" s="1"/>
  <c r="AS34" i="14"/>
  <c r="AT34" i="14" s="1"/>
  <c r="AO34" i="14"/>
  <c r="AP34" i="14" s="1"/>
  <c r="AL34" i="14"/>
  <c r="AK34" i="14"/>
  <c r="AH34" i="14"/>
  <c r="AG34" i="14"/>
  <c r="Q34" i="14"/>
  <c r="R34" i="14" s="1"/>
  <c r="M34" i="14"/>
  <c r="N34" i="14" s="1"/>
  <c r="J34" i="14"/>
  <c r="I34" i="14"/>
  <c r="CQ33" i="14"/>
  <c r="CG33" i="14" s="1"/>
  <c r="CH33" i="14"/>
  <c r="BU33" i="14"/>
  <c r="BV33" i="14" s="1"/>
  <c r="AS33" i="14"/>
  <c r="AT33" i="14" s="1"/>
  <c r="AK33" i="14"/>
  <c r="AL33" i="14" s="1"/>
  <c r="AH33" i="14"/>
  <c r="AG33" i="14"/>
  <c r="CQ32" i="14"/>
  <c r="CK32" i="14" s="1"/>
  <c r="CL32" i="14"/>
  <c r="CH32" i="14"/>
  <c r="CG32" i="14"/>
  <c r="AK32" i="14"/>
  <c r="AL32" i="14" s="1"/>
  <c r="AG32" i="14"/>
  <c r="AH32" i="14" s="1"/>
  <c r="CQ31" i="14"/>
  <c r="CG31" i="14" s="1"/>
  <c r="CH31" i="14" s="1"/>
  <c r="CK31" i="14"/>
  <c r="CL31" i="14" s="1"/>
  <c r="BU31" i="14"/>
  <c r="BV31" i="14" s="1"/>
  <c r="AO31" i="14"/>
  <c r="AP31" i="14" s="1"/>
  <c r="AK31" i="14"/>
  <c r="AL31" i="14" s="1"/>
  <c r="AG31" i="14"/>
  <c r="AH31" i="14" s="1"/>
  <c r="M31" i="14"/>
  <c r="N31" i="14" s="1"/>
  <c r="I31" i="14"/>
  <c r="J31" i="14" s="1"/>
  <c r="CQ30" i="14"/>
  <c r="CG30" i="14"/>
  <c r="CH30" i="14" s="1"/>
  <c r="BY30" i="14"/>
  <c r="BZ30" i="14" s="1"/>
  <c r="BU30" i="14"/>
  <c r="BV30" i="14" s="1"/>
  <c r="AS30" i="14"/>
  <c r="AT30" i="14" s="1"/>
  <c r="AO30" i="14"/>
  <c r="AP30" i="14" s="1"/>
  <c r="AK30" i="14"/>
  <c r="AL30" i="14" s="1"/>
  <c r="AG30" i="14"/>
  <c r="AH30" i="14" s="1"/>
  <c r="N30" i="14"/>
  <c r="M30" i="14"/>
  <c r="I30" i="14"/>
  <c r="J30" i="14" s="1"/>
  <c r="CQ29" i="14"/>
  <c r="CK29" i="14"/>
  <c r="CL29" i="14" s="1"/>
  <c r="AS29" i="14"/>
  <c r="AT29" i="14" s="1"/>
  <c r="AG29" i="14"/>
  <c r="AH29" i="14" s="1"/>
  <c r="M29" i="14"/>
  <c r="N29" i="14" s="1"/>
  <c r="CQ28" i="14"/>
  <c r="AH28" i="14"/>
  <c r="AG28" i="14"/>
  <c r="CQ27" i="14"/>
  <c r="CK27" i="14"/>
  <c r="CL27" i="14" s="1"/>
  <c r="CH27" i="14"/>
  <c r="CG27" i="14"/>
  <c r="BY27" i="14"/>
  <c r="BZ27" i="14" s="1"/>
  <c r="BU27" i="14"/>
  <c r="BV27" i="14" s="1"/>
  <c r="AS27" i="14"/>
  <c r="AT27" i="14" s="1"/>
  <c r="AO27" i="14"/>
  <c r="AP27" i="14" s="1"/>
  <c r="AL27" i="14"/>
  <c r="AK27" i="14"/>
  <c r="AG27" i="14"/>
  <c r="AH27" i="14" s="1"/>
  <c r="Q27" i="14"/>
  <c r="R27" i="14" s="1"/>
  <c r="N27" i="14"/>
  <c r="I27" i="14"/>
  <c r="J27" i="14" s="1"/>
  <c r="CQ26" i="14"/>
  <c r="BY26" i="14" s="1"/>
  <c r="BZ26" i="14" s="1"/>
  <c r="CK26" i="14"/>
  <c r="CL26" i="14" s="1"/>
  <c r="AG26" i="14"/>
  <c r="AH26" i="14" s="1"/>
  <c r="CQ25" i="14"/>
  <c r="CK25" i="14"/>
  <c r="CL25" i="14" s="1"/>
  <c r="CG25" i="14"/>
  <c r="CH25" i="14" s="1"/>
  <c r="BY25" i="14"/>
  <c r="BZ25" i="14" s="1"/>
  <c r="AS25" i="14"/>
  <c r="AT25" i="14" s="1"/>
  <c r="AG25" i="14"/>
  <c r="AH25" i="14" s="1"/>
  <c r="I25" i="14"/>
  <c r="J25" i="14" s="1"/>
  <c r="CQ24" i="14"/>
  <c r="CK24" i="14"/>
  <c r="CL24" i="14" s="1"/>
  <c r="CG24" i="14"/>
  <c r="CH24" i="14" s="1"/>
  <c r="BY24" i="14"/>
  <c r="BZ24" i="14" s="1"/>
  <c r="AO24" i="14"/>
  <c r="AP24" i="14" s="1"/>
  <c r="AK24" i="14"/>
  <c r="AL24" i="14" s="1"/>
  <c r="AG24" i="14"/>
  <c r="AH24" i="14" s="1"/>
  <c r="M24" i="14"/>
  <c r="N24" i="14" s="1"/>
  <c r="J24" i="14"/>
  <c r="I24" i="14"/>
  <c r="CQ23" i="14"/>
  <c r="CK23" i="14"/>
  <c r="CL23" i="14" s="1"/>
  <c r="BU23" i="14"/>
  <c r="BV23" i="14" s="1"/>
  <c r="AK23" i="14"/>
  <c r="AL23" i="14" s="1"/>
  <c r="AG23" i="14"/>
  <c r="AH23" i="14" s="1"/>
  <c r="CQ22" i="14"/>
  <c r="CK22" i="14"/>
  <c r="CL22" i="14" s="1"/>
  <c r="CH22" i="14"/>
  <c r="CG22" i="14"/>
  <c r="BY22" i="14"/>
  <c r="BZ22" i="14" s="1"/>
  <c r="AS22" i="14"/>
  <c r="AT22" i="14" s="1"/>
  <c r="AG22" i="14"/>
  <c r="AH22" i="14" s="1"/>
  <c r="Q22" i="14"/>
  <c r="R22" i="14" s="1"/>
  <c r="M22" i="14"/>
  <c r="N22" i="14" s="1"/>
  <c r="CQ21" i="14"/>
  <c r="CK21" i="14" s="1"/>
  <c r="CL21" i="14" s="1"/>
  <c r="BZ21" i="14"/>
  <c r="BY21" i="14"/>
  <c r="BU21" i="14"/>
  <c r="BV21" i="14" s="1"/>
  <c r="AT21" i="14"/>
  <c r="AS21" i="14"/>
  <c r="AO21" i="14"/>
  <c r="AP21" i="14" s="1"/>
  <c r="AL21" i="14"/>
  <c r="AK21" i="14"/>
  <c r="AG21" i="14"/>
  <c r="AH21" i="14" s="1"/>
  <c r="Q21" i="14"/>
  <c r="R21" i="14" s="1"/>
  <c r="M21" i="14"/>
  <c r="N21" i="14" s="1"/>
  <c r="J21" i="14"/>
  <c r="I21" i="14"/>
  <c r="CQ20" i="14"/>
  <c r="CG20" i="14"/>
  <c r="CH20" i="14" s="1"/>
  <c r="BY20" i="14"/>
  <c r="BZ20" i="14" s="1"/>
  <c r="BU20" i="14"/>
  <c r="BV20" i="14" s="1"/>
  <c r="AS20" i="14"/>
  <c r="AT20" i="14" s="1"/>
  <c r="AP20" i="14"/>
  <c r="AO20" i="14"/>
  <c r="AK20" i="14"/>
  <c r="AL20" i="14" s="1"/>
  <c r="AG20" i="14"/>
  <c r="AH20" i="14" s="1"/>
  <c r="R20" i="14"/>
  <c r="Q20" i="14"/>
  <c r="M20" i="14"/>
  <c r="N20" i="14" s="1"/>
  <c r="I20" i="14"/>
  <c r="J20" i="14" s="1"/>
  <c r="CQ19" i="14"/>
  <c r="CK19" i="14"/>
  <c r="CL19" i="14" s="1"/>
  <c r="CH19" i="14"/>
  <c r="CG19" i="14"/>
  <c r="BY19" i="14"/>
  <c r="BZ19" i="14" s="1"/>
  <c r="BU19" i="14"/>
  <c r="BV19" i="14" s="1"/>
  <c r="AT19" i="14"/>
  <c r="AS19" i="14"/>
  <c r="AO19" i="14"/>
  <c r="AP19" i="14" s="1"/>
  <c r="AK19" i="14"/>
  <c r="AL19" i="14" s="1"/>
  <c r="AG19" i="14"/>
  <c r="AH19" i="14" s="1"/>
  <c r="Q19" i="14"/>
  <c r="R19" i="14" s="1"/>
  <c r="M19" i="14"/>
  <c r="N19" i="14" s="1"/>
  <c r="I19" i="14"/>
  <c r="J19" i="14" s="1"/>
  <c r="CQ18" i="14"/>
  <c r="CK18" i="14"/>
  <c r="CL18" i="14" s="1"/>
  <c r="CG18" i="14"/>
  <c r="CH18" i="14" s="1"/>
  <c r="AG18" i="14"/>
  <c r="AH18" i="14" s="1"/>
  <c r="CQ17" i="14"/>
  <c r="BU17" i="14" s="1"/>
  <c r="BV17" i="14" s="1"/>
  <c r="CK17" i="14"/>
  <c r="CL17" i="14" s="1"/>
  <c r="CG17" i="14"/>
  <c r="CH17" i="14" s="1"/>
  <c r="BY17" i="14"/>
  <c r="BZ17" i="14" s="1"/>
  <c r="AS17" i="14"/>
  <c r="AT17" i="14" s="1"/>
  <c r="AO17" i="14"/>
  <c r="AP17" i="14" s="1"/>
  <c r="AL17" i="14"/>
  <c r="AK17" i="14"/>
  <c r="AH17" i="14"/>
  <c r="AG17" i="14"/>
  <c r="Q17" i="14"/>
  <c r="R17" i="14" s="1"/>
  <c r="I17" i="14"/>
  <c r="J17" i="14" s="1"/>
  <c r="CQ16" i="14"/>
  <c r="CK16" i="14"/>
  <c r="CL16" i="14" s="1"/>
  <c r="CG16" i="14"/>
  <c r="CH16" i="14" s="1"/>
  <c r="AS16" i="14"/>
  <c r="AT16" i="14" s="1"/>
  <c r="AG16" i="14"/>
  <c r="AH16" i="14" s="1"/>
  <c r="CQ15" i="14"/>
  <c r="CG15" i="14"/>
  <c r="CH15" i="14" s="1"/>
  <c r="BY15" i="14"/>
  <c r="BZ15" i="14" s="1"/>
  <c r="BU15" i="14"/>
  <c r="BV15" i="14" s="1"/>
  <c r="AS15" i="14"/>
  <c r="AT15" i="14" s="1"/>
  <c r="AP15" i="14"/>
  <c r="AO15" i="14"/>
  <c r="AH15" i="14"/>
  <c r="AG15" i="14"/>
  <c r="Q15" i="14"/>
  <c r="R15" i="14" s="1"/>
  <c r="M15" i="14"/>
  <c r="N15" i="14" s="1"/>
  <c r="CQ14" i="14"/>
  <c r="AK14" i="14" s="1"/>
  <c r="AL14" i="14" s="1"/>
  <c r="CK14" i="14"/>
  <c r="CL14" i="14" s="1"/>
  <c r="BZ14" i="14"/>
  <c r="BY14" i="14"/>
  <c r="BU14" i="14"/>
  <c r="BV14" i="14" s="1"/>
  <c r="AT14" i="14"/>
  <c r="AS14" i="14"/>
  <c r="AO14" i="14"/>
  <c r="AP14" i="14" s="1"/>
  <c r="AG14" i="14"/>
  <c r="AH14" i="14" s="1"/>
  <c r="Q14" i="14"/>
  <c r="R14" i="14" s="1"/>
  <c r="M14" i="14"/>
  <c r="N14" i="14" s="1"/>
  <c r="CQ13" i="14"/>
  <c r="CK13" i="14"/>
  <c r="CL13" i="14" s="1"/>
  <c r="CG13" i="14"/>
  <c r="CH13" i="14" s="1"/>
  <c r="BY13" i="14"/>
  <c r="BZ13" i="14" s="1"/>
  <c r="BU13" i="14"/>
  <c r="BV13" i="14" s="1"/>
  <c r="AT13" i="14"/>
  <c r="AS13" i="14"/>
  <c r="AK13" i="14"/>
  <c r="AL13" i="14" s="1"/>
  <c r="AG13" i="14"/>
  <c r="AH13" i="14" s="1"/>
  <c r="R13" i="14"/>
  <c r="Q13" i="14"/>
  <c r="I13" i="14"/>
  <c r="J13" i="14" s="1"/>
  <c r="CQ12" i="14"/>
  <c r="BY12" i="14"/>
  <c r="BZ12" i="14" s="1"/>
  <c r="AK12" i="14"/>
  <c r="AL12" i="14" s="1"/>
  <c r="AG12" i="14"/>
  <c r="AH12" i="14" s="1"/>
  <c r="CQ11" i="14"/>
  <c r="M11" i="14" s="1"/>
  <c r="N11" i="14" s="1"/>
  <c r="CG11" i="14"/>
  <c r="CH11" i="14" s="1"/>
  <c r="AK11" i="14"/>
  <c r="AL11" i="14" s="1"/>
  <c r="AG11" i="14"/>
  <c r="AH11" i="14" s="1"/>
  <c r="Z60" i="14"/>
  <c r="B66" i="14" s="1"/>
  <c r="CQ59" i="13"/>
  <c r="AW59" i="13" s="1"/>
  <c r="AX59" i="13" s="1"/>
  <c r="BY59" i="13"/>
  <c r="BZ59" i="13" s="1"/>
  <c r="BI59" i="13"/>
  <c r="BJ59" i="13" s="1"/>
  <c r="BF59" i="13"/>
  <c r="BE59" i="13"/>
  <c r="AK59" i="13"/>
  <c r="AL59" i="13" s="1"/>
  <c r="AG59" i="13"/>
  <c r="AH59" i="13" s="1"/>
  <c r="AC59" i="13"/>
  <c r="AD59" i="13" s="1"/>
  <c r="Z59" i="13"/>
  <c r="Y59" i="13"/>
  <c r="U59" i="13"/>
  <c r="V59" i="13" s="1"/>
  <c r="CQ58" i="13"/>
  <c r="BU58" i="13"/>
  <c r="BV58" i="13" s="1"/>
  <c r="BQ58" i="13"/>
  <c r="BR58" i="13" s="1"/>
  <c r="BN58" i="13"/>
  <c r="BM58" i="13"/>
  <c r="AS58" i="13"/>
  <c r="AT58" i="13" s="1"/>
  <c r="AO58" i="13"/>
  <c r="AP58" i="13" s="1"/>
  <c r="AK58" i="13"/>
  <c r="AL58" i="13" s="1"/>
  <c r="AH58" i="13"/>
  <c r="AG58" i="13"/>
  <c r="AD58" i="13"/>
  <c r="AC58" i="13"/>
  <c r="Z58" i="13"/>
  <c r="Y58" i="13"/>
  <c r="M58" i="13"/>
  <c r="N58" i="13" s="1"/>
  <c r="I58" i="13"/>
  <c r="J58" i="13" s="1"/>
  <c r="CQ57" i="13"/>
  <c r="I57" i="13" s="1"/>
  <c r="J57" i="13" s="1"/>
  <c r="BY57" i="13"/>
  <c r="BZ57" i="13" s="1"/>
  <c r="AH57" i="13"/>
  <c r="AG57" i="13"/>
  <c r="AC57" i="13"/>
  <c r="AD57" i="13" s="1"/>
  <c r="Z57" i="13"/>
  <c r="Y57" i="13"/>
  <c r="M57" i="13"/>
  <c r="N57" i="13" s="1"/>
  <c r="CQ56" i="13"/>
  <c r="CG56" i="13" s="1"/>
  <c r="CH56" i="13" s="1"/>
  <c r="CL56" i="13"/>
  <c r="CK56" i="13"/>
  <c r="BY56" i="13"/>
  <c r="BZ56" i="13" s="1"/>
  <c r="BU56" i="13"/>
  <c r="BV56" i="13" s="1"/>
  <c r="BR56" i="13"/>
  <c r="BQ56" i="13"/>
  <c r="BN56" i="13"/>
  <c r="BM56" i="13"/>
  <c r="BJ56" i="13"/>
  <c r="BI56" i="13"/>
  <c r="BB56" i="13"/>
  <c r="BA56" i="13"/>
  <c r="AW56" i="13"/>
  <c r="AX56" i="13" s="1"/>
  <c r="AT56" i="13"/>
  <c r="AS56" i="13"/>
  <c r="AO56" i="13"/>
  <c r="AP56" i="13" s="1"/>
  <c r="AL56" i="13"/>
  <c r="AK56" i="13"/>
  <c r="AH56" i="13"/>
  <c r="AG56" i="13"/>
  <c r="AD56" i="13"/>
  <c r="AC56" i="13"/>
  <c r="Z56" i="13"/>
  <c r="Y56" i="13"/>
  <c r="U56" i="13"/>
  <c r="V56" i="13" s="1"/>
  <c r="R56" i="13"/>
  <c r="Q56" i="13"/>
  <c r="M56" i="13"/>
  <c r="N56" i="13" s="1"/>
  <c r="J56" i="13"/>
  <c r="I56" i="13"/>
  <c r="CQ55" i="13"/>
  <c r="AH55" i="13"/>
  <c r="AG55" i="13"/>
  <c r="AD55" i="13"/>
  <c r="AC55" i="13"/>
  <c r="Z55" i="13"/>
  <c r="Y55" i="13"/>
  <c r="CQ54" i="13"/>
  <c r="CK54" i="13"/>
  <c r="CL54" i="13" s="1"/>
  <c r="CH54" i="13"/>
  <c r="CG54" i="13"/>
  <c r="BZ54" i="13"/>
  <c r="BY54" i="13"/>
  <c r="BV54" i="13"/>
  <c r="BU54" i="13"/>
  <c r="AT54" i="13"/>
  <c r="AS54" i="13"/>
  <c r="AP54" i="13"/>
  <c r="AO54" i="13"/>
  <c r="AL54" i="13"/>
  <c r="AK54" i="13"/>
  <c r="AG54" i="13"/>
  <c r="AH54" i="13" s="1"/>
  <c r="AD54" i="13"/>
  <c r="AC54" i="13"/>
  <c r="Z54" i="13"/>
  <c r="Y54" i="13"/>
  <c r="V54" i="13"/>
  <c r="U54" i="13"/>
  <c r="R54" i="13"/>
  <c r="Q54" i="13"/>
  <c r="N54" i="13"/>
  <c r="M54" i="13"/>
  <c r="J54" i="13"/>
  <c r="I54" i="13"/>
  <c r="CQ53" i="13"/>
  <c r="CG53" i="13"/>
  <c r="CH53" i="13" s="1"/>
  <c r="BU53" i="13"/>
  <c r="BV53" i="13" s="1"/>
  <c r="AS53" i="13"/>
  <c r="AT53" i="13" s="1"/>
  <c r="AK53" i="13"/>
  <c r="AL53" i="13" s="1"/>
  <c r="AH53" i="13"/>
  <c r="AG53" i="13"/>
  <c r="AD53" i="13"/>
  <c r="AC53" i="13"/>
  <c r="Z53" i="13"/>
  <c r="Y53" i="13"/>
  <c r="I53" i="13"/>
  <c r="J53" i="13" s="1"/>
  <c r="CQ52" i="13"/>
  <c r="CK52" i="13" s="1"/>
  <c r="CL52" i="13" s="1"/>
  <c r="CG52" i="13"/>
  <c r="CH52" i="13" s="1"/>
  <c r="AO52" i="13"/>
  <c r="AP52" i="13" s="1"/>
  <c r="AG52" i="13"/>
  <c r="AH52" i="13" s="1"/>
  <c r="AD52" i="13"/>
  <c r="AC52" i="13"/>
  <c r="Z52" i="13"/>
  <c r="Y52" i="13"/>
  <c r="U52" i="13"/>
  <c r="V52" i="13" s="1"/>
  <c r="CQ51" i="13"/>
  <c r="CL51" i="13"/>
  <c r="CK51" i="13"/>
  <c r="BU51" i="13"/>
  <c r="BV51" i="13" s="1"/>
  <c r="AS51" i="13"/>
  <c r="AT51" i="13" s="1"/>
  <c r="AP51" i="13"/>
  <c r="AO51" i="13"/>
  <c r="AK51" i="13"/>
  <c r="AL51" i="13" s="1"/>
  <c r="AH51" i="13"/>
  <c r="AG51" i="13"/>
  <c r="AD51" i="13"/>
  <c r="AC51" i="13"/>
  <c r="Z51" i="13"/>
  <c r="Y51" i="13"/>
  <c r="Q51" i="13"/>
  <c r="R51" i="13" s="1"/>
  <c r="N51" i="13"/>
  <c r="M51" i="13"/>
  <c r="I51" i="13"/>
  <c r="J51" i="13" s="1"/>
  <c r="CQ50" i="13"/>
  <c r="AK50" i="13" s="1"/>
  <c r="AL50" i="13" s="1"/>
  <c r="CG50" i="13"/>
  <c r="CH50" i="13" s="1"/>
  <c r="BU50" i="13"/>
  <c r="BV50" i="13" s="1"/>
  <c r="AS50" i="13"/>
  <c r="AT50" i="13" s="1"/>
  <c r="AO50" i="13"/>
  <c r="AP50" i="13" s="1"/>
  <c r="AH50" i="13"/>
  <c r="AG50" i="13"/>
  <c r="AC50" i="13"/>
  <c r="AD50" i="13" s="1"/>
  <c r="Z50" i="13"/>
  <c r="Y50" i="13"/>
  <c r="M50" i="13"/>
  <c r="N50" i="13" s="1"/>
  <c r="J50" i="13"/>
  <c r="I50" i="13"/>
  <c r="CQ49" i="13"/>
  <c r="CG49" i="13" s="1"/>
  <c r="CH49" i="13" s="1"/>
  <c r="CK49" i="13"/>
  <c r="CL49" i="13" s="1"/>
  <c r="BY49" i="13"/>
  <c r="BZ49" i="13" s="1"/>
  <c r="BV49" i="13"/>
  <c r="BU49" i="13"/>
  <c r="AT49" i="13"/>
  <c r="AS49" i="13"/>
  <c r="AP49" i="13"/>
  <c r="AO49" i="13"/>
  <c r="AL49" i="13"/>
  <c r="AK49" i="13"/>
  <c r="AG49" i="13"/>
  <c r="AH49" i="13" s="1"/>
  <c r="AD49" i="13"/>
  <c r="AC49" i="13"/>
  <c r="Y49" i="13"/>
  <c r="Z49" i="13" s="1"/>
  <c r="V49" i="13"/>
  <c r="U49" i="13"/>
  <c r="R49" i="13"/>
  <c r="Q49" i="13"/>
  <c r="N49" i="13"/>
  <c r="M49" i="13"/>
  <c r="J49" i="13"/>
  <c r="I49" i="13"/>
  <c r="CQ48" i="13"/>
  <c r="Q48" i="13" s="1"/>
  <c r="R48" i="13" s="1"/>
  <c r="BY48" i="13"/>
  <c r="BZ48" i="13" s="1"/>
  <c r="BU48" i="13"/>
  <c r="BV48" i="13" s="1"/>
  <c r="AH48" i="13"/>
  <c r="AG48" i="13"/>
  <c r="AD48" i="13"/>
  <c r="AC48" i="13"/>
  <c r="Y48" i="13"/>
  <c r="Z48" i="13" s="1"/>
  <c r="CQ47" i="13"/>
  <c r="CK47" i="13"/>
  <c r="CL47" i="13" s="1"/>
  <c r="CH47" i="13"/>
  <c r="CG47" i="13"/>
  <c r="BY47" i="13"/>
  <c r="BZ47" i="13" s="1"/>
  <c r="BV47" i="13"/>
  <c r="BU47" i="13"/>
  <c r="AT47" i="13"/>
  <c r="AS47" i="13"/>
  <c r="AO47" i="13"/>
  <c r="AP47" i="13" s="1"/>
  <c r="AL47" i="13"/>
  <c r="AK47" i="13"/>
  <c r="AG47" i="13"/>
  <c r="AH47" i="13" s="1"/>
  <c r="R47" i="13"/>
  <c r="Q47" i="13"/>
  <c r="M47" i="13"/>
  <c r="N47" i="13" s="1"/>
  <c r="J47" i="13"/>
  <c r="I47" i="13"/>
  <c r="CQ46" i="13"/>
  <c r="AH46" i="13"/>
  <c r="AG46" i="13"/>
  <c r="CQ45" i="13"/>
  <c r="CK45" i="13"/>
  <c r="CL45" i="13" s="1"/>
  <c r="CG45" i="13"/>
  <c r="CH45" i="13" s="1"/>
  <c r="AG45" i="13"/>
  <c r="AH45" i="13" s="1"/>
  <c r="N45" i="13"/>
  <c r="M45" i="13"/>
  <c r="I45" i="13"/>
  <c r="J45" i="13" s="1"/>
  <c r="CQ44" i="13"/>
  <c r="Q44" i="13" s="1"/>
  <c r="R44" i="13" s="1"/>
  <c r="AO44" i="13"/>
  <c r="AP44" i="13" s="1"/>
  <c r="AH44" i="13"/>
  <c r="AG44" i="13"/>
  <c r="M44" i="13"/>
  <c r="N44" i="13" s="1"/>
  <c r="I44" i="13"/>
  <c r="J44" i="13" s="1"/>
  <c r="CQ43" i="13"/>
  <c r="CH43" i="13"/>
  <c r="CG43" i="13"/>
  <c r="BY43" i="13"/>
  <c r="BZ43" i="13" s="1"/>
  <c r="AS43" i="13"/>
  <c r="AT43" i="13" s="1"/>
  <c r="AO43" i="13"/>
  <c r="AP43" i="13" s="1"/>
  <c r="AK43" i="13"/>
  <c r="AL43" i="13" s="1"/>
  <c r="AH43" i="13"/>
  <c r="AG43" i="13"/>
  <c r="Q43" i="13"/>
  <c r="R43" i="13" s="1"/>
  <c r="M43" i="13"/>
  <c r="N43" i="13" s="1"/>
  <c r="I43" i="13"/>
  <c r="J43" i="13" s="1"/>
  <c r="CQ42" i="13"/>
  <c r="CG42" i="13" s="1"/>
  <c r="CH42" i="13" s="1"/>
  <c r="CK42" i="13"/>
  <c r="CL42" i="13" s="1"/>
  <c r="BZ42" i="13"/>
  <c r="BY42" i="13"/>
  <c r="BU42" i="13"/>
  <c r="BV42" i="13" s="1"/>
  <c r="AS42" i="13"/>
  <c r="AT42" i="13" s="1"/>
  <c r="AO42" i="13"/>
  <c r="AP42" i="13" s="1"/>
  <c r="AL42" i="13"/>
  <c r="AK42" i="13"/>
  <c r="AG42" i="13"/>
  <c r="AH42" i="13" s="1"/>
  <c r="Q42" i="13"/>
  <c r="R42" i="13"/>
  <c r="N42" i="13"/>
  <c r="M42" i="13"/>
  <c r="I42" i="13"/>
  <c r="J42" i="13" s="1"/>
  <c r="CQ41" i="13"/>
  <c r="CK41" i="13" s="1"/>
  <c r="CL41" i="13" s="1"/>
  <c r="BV41" i="13"/>
  <c r="BU41" i="13"/>
  <c r="AL41" i="13"/>
  <c r="AK41" i="13"/>
  <c r="AG41" i="13"/>
  <c r="AH41" i="13" s="1"/>
  <c r="Q41" i="13"/>
  <c r="R41" i="13" s="1"/>
  <c r="CQ40" i="13"/>
  <c r="CG40" i="13"/>
  <c r="CH40" i="13" s="1"/>
  <c r="BZ40" i="13"/>
  <c r="BY40" i="13"/>
  <c r="BU40" i="13"/>
  <c r="BV40" i="13" s="1"/>
  <c r="AS40" i="13"/>
  <c r="AT40" i="13" s="1"/>
  <c r="AO40" i="13"/>
  <c r="AP40" i="13" s="1"/>
  <c r="AK40" i="13"/>
  <c r="AL40" i="13" s="1"/>
  <c r="AH40" i="13"/>
  <c r="AG40" i="13"/>
  <c r="Q40" i="13"/>
  <c r="R40" i="13" s="1"/>
  <c r="M40" i="13"/>
  <c r="N40" i="13" s="1"/>
  <c r="CQ39" i="13"/>
  <c r="CG39" i="13"/>
  <c r="CH39" i="13" s="1"/>
  <c r="AS39" i="13"/>
  <c r="AT39" i="13" s="1"/>
  <c r="AO39" i="13"/>
  <c r="AP39" i="13" s="1"/>
  <c r="AG39" i="13"/>
  <c r="AH39" i="13" s="1"/>
  <c r="Q39" i="13"/>
  <c r="R39" i="13" s="1"/>
  <c r="I39" i="13"/>
  <c r="J39" i="13" s="1"/>
  <c r="CQ38" i="13"/>
  <c r="CL38" i="13"/>
  <c r="CK38" i="13"/>
  <c r="CG38" i="13"/>
  <c r="CH38" i="13" s="1"/>
  <c r="BY38" i="13"/>
  <c r="BZ38" i="13" s="1"/>
  <c r="BU38" i="13"/>
  <c r="BV38" i="13" s="1"/>
  <c r="AO38" i="13"/>
  <c r="AP38" i="13" s="1"/>
  <c r="AG38" i="13"/>
  <c r="AH38" i="13" s="1"/>
  <c r="Q38" i="13"/>
  <c r="R38" i="13" s="1"/>
  <c r="I38" i="13"/>
  <c r="J38" i="13" s="1"/>
  <c r="CQ37" i="13"/>
  <c r="CL37" i="13"/>
  <c r="CK37" i="13"/>
  <c r="CG37" i="13"/>
  <c r="CH37" i="13" s="1"/>
  <c r="BY37" i="13"/>
  <c r="BZ37" i="13" s="1"/>
  <c r="BU37" i="13"/>
  <c r="BV37" i="13" s="1"/>
  <c r="AS37" i="13"/>
  <c r="AT37" i="13" s="1"/>
  <c r="AP37" i="13"/>
  <c r="AO37" i="13"/>
  <c r="AG37" i="13"/>
  <c r="AH37" i="13" s="1"/>
  <c r="Q37" i="13"/>
  <c r="R37" i="13" s="1"/>
  <c r="M37" i="13"/>
  <c r="N37" i="13" s="1"/>
  <c r="I37" i="13"/>
  <c r="J37" i="13"/>
  <c r="CQ36" i="13"/>
  <c r="CG36" i="13" s="1"/>
  <c r="CH36" i="13" s="1"/>
  <c r="CL36" i="13"/>
  <c r="CK36" i="13"/>
  <c r="BY36" i="13"/>
  <c r="BZ36" i="13" s="1"/>
  <c r="BV36" i="13"/>
  <c r="BU36" i="13"/>
  <c r="AS36" i="13"/>
  <c r="AT36" i="13" s="1"/>
  <c r="AO36" i="13"/>
  <c r="AP36" i="13" s="1"/>
  <c r="AK36" i="13"/>
  <c r="AL36" i="13" s="1"/>
  <c r="AG36" i="13"/>
  <c r="AH36" i="13" s="1"/>
  <c r="R36" i="13"/>
  <c r="Q36" i="13"/>
  <c r="M36" i="13"/>
  <c r="N36" i="13" s="1"/>
  <c r="I36" i="13"/>
  <c r="J36" i="13" s="1"/>
  <c r="CQ35" i="13"/>
  <c r="BY35" i="13"/>
  <c r="BZ35" i="13" s="1"/>
  <c r="BU35" i="13"/>
  <c r="BV35" i="13" s="1"/>
  <c r="AS35" i="13"/>
  <c r="AT35" i="13" s="1"/>
  <c r="AL35" i="13"/>
  <c r="AK35" i="13"/>
  <c r="AH35" i="13"/>
  <c r="AG35" i="13"/>
  <c r="R35" i="13"/>
  <c r="Q35" i="13"/>
  <c r="M35" i="13"/>
  <c r="N35" i="13" s="1"/>
  <c r="I35" i="13"/>
  <c r="J35" i="13" s="1"/>
  <c r="CQ34" i="13"/>
  <c r="CL34" i="13"/>
  <c r="CK34" i="13"/>
  <c r="CG34" i="13"/>
  <c r="CH34" i="13" s="1"/>
  <c r="BZ34" i="13"/>
  <c r="BY34" i="13"/>
  <c r="BU34" i="13"/>
  <c r="BV34" i="13" s="1"/>
  <c r="AS34" i="13"/>
  <c r="AT34" i="13" s="1"/>
  <c r="AO34" i="13"/>
  <c r="AP34" i="13" s="1"/>
  <c r="AL34" i="13"/>
  <c r="AK34" i="13"/>
  <c r="AH34" i="13"/>
  <c r="AG34" i="13"/>
  <c r="R34" i="13"/>
  <c r="Q34" i="13"/>
  <c r="M34" i="13"/>
  <c r="N34" i="13" s="1"/>
  <c r="J34" i="13"/>
  <c r="I34" i="13"/>
  <c r="CQ33" i="13"/>
  <c r="CK33" i="13" s="1"/>
  <c r="CL33" i="13" s="1"/>
  <c r="CG33" i="13"/>
  <c r="CH33" i="13" s="1"/>
  <c r="BY33" i="13"/>
  <c r="BZ33" i="13" s="1"/>
  <c r="BV33" i="13"/>
  <c r="BU33" i="13"/>
  <c r="AK33" i="13"/>
  <c r="AL33" i="13" s="1"/>
  <c r="AG33" i="13"/>
  <c r="AH33" i="13" s="1"/>
  <c r="Q33" i="13"/>
  <c r="R33" i="13" s="1"/>
  <c r="CQ32" i="13"/>
  <c r="CG32" i="13" s="1"/>
  <c r="CH32" i="13" s="1"/>
  <c r="AG32" i="13"/>
  <c r="AH32" i="13" s="1"/>
  <c r="CQ31" i="13"/>
  <c r="CK31" i="13"/>
  <c r="CL31" i="13" s="1"/>
  <c r="CG31" i="13"/>
  <c r="CH31" i="13" s="1"/>
  <c r="BV31" i="13"/>
  <c r="BU31" i="13"/>
  <c r="AP31" i="13"/>
  <c r="AO31" i="13"/>
  <c r="AK31" i="13"/>
  <c r="AL31" i="13" s="1"/>
  <c r="AG31" i="13"/>
  <c r="AH31" i="13" s="1"/>
  <c r="R31" i="13"/>
  <c r="Q31" i="13"/>
  <c r="M31" i="13"/>
  <c r="N31" i="13" s="1"/>
  <c r="I31" i="13"/>
  <c r="J31" i="13" s="1"/>
  <c r="CQ30" i="13"/>
  <c r="CK30" i="13"/>
  <c r="CL30" i="13" s="1"/>
  <c r="CH30" i="13"/>
  <c r="CG30" i="13"/>
  <c r="BY30" i="13"/>
  <c r="BZ30" i="13" s="1"/>
  <c r="BV30" i="13"/>
  <c r="BU30" i="13"/>
  <c r="AT30" i="13"/>
  <c r="AS30" i="13"/>
  <c r="AP30" i="13"/>
  <c r="AO30" i="13"/>
  <c r="AL30" i="13"/>
  <c r="AK30" i="13"/>
  <c r="AH30" i="13"/>
  <c r="AG30" i="13"/>
  <c r="R30" i="13"/>
  <c r="Q30" i="13"/>
  <c r="N30" i="13"/>
  <c r="M30" i="13"/>
  <c r="J30" i="13"/>
  <c r="I30" i="13"/>
  <c r="CQ29" i="13"/>
  <c r="CL29" i="13"/>
  <c r="CK29" i="13"/>
  <c r="BZ29" i="13"/>
  <c r="BY29" i="13"/>
  <c r="BV29" i="13"/>
  <c r="BU29" i="13"/>
  <c r="AT29" i="13"/>
  <c r="AS29" i="13"/>
  <c r="AP29" i="13"/>
  <c r="AO29" i="13"/>
  <c r="AK29" i="13"/>
  <c r="AL29" i="13" s="1"/>
  <c r="AH29" i="13"/>
  <c r="AG29" i="13"/>
  <c r="R29" i="13"/>
  <c r="Q29" i="13"/>
  <c r="N29" i="13"/>
  <c r="M29" i="13"/>
  <c r="I29" i="13"/>
  <c r="J29" i="13" s="1"/>
  <c r="CQ28" i="13"/>
  <c r="CH28" i="13"/>
  <c r="CG28" i="13"/>
  <c r="BY28" i="13"/>
  <c r="BZ28" i="13" s="1"/>
  <c r="BV28" i="13"/>
  <c r="BU28" i="13"/>
  <c r="AS28" i="13"/>
  <c r="AT28" i="13" s="1"/>
  <c r="AP28" i="13"/>
  <c r="AO28" i="13"/>
  <c r="AL28" i="13"/>
  <c r="AK28" i="13"/>
  <c r="AH28" i="13"/>
  <c r="AG28" i="13"/>
  <c r="R28" i="13"/>
  <c r="Q28" i="13"/>
  <c r="N28" i="13"/>
  <c r="M28" i="13"/>
  <c r="J28" i="13"/>
  <c r="I28" i="13"/>
  <c r="CQ27" i="13"/>
  <c r="CL27" i="13"/>
  <c r="CK27" i="13"/>
  <c r="CH27" i="13"/>
  <c r="CG27" i="13"/>
  <c r="BY27" i="13"/>
  <c r="BZ27" i="13" s="1"/>
  <c r="BV27" i="13"/>
  <c r="BU27" i="13"/>
  <c r="AT27" i="13"/>
  <c r="AS27" i="13"/>
  <c r="AP27" i="13"/>
  <c r="AO27" i="13"/>
  <c r="AL27" i="13"/>
  <c r="AK27" i="13"/>
  <c r="AH27" i="13"/>
  <c r="AG27" i="13"/>
  <c r="R27" i="13"/>
  <c r="Q27" i="13"/>
  <c r="N27" i="13"/>
  <c r="I27" i="13"/>
  <c r="J27" i="13" s="1"/>
  <c r="CQ26" i="13"/>
  <c r="CK26" i="13"/>
  <c r="CL26" i="13" s="1"/>
  <c r="CH26" i="13"/>
  <c r="CG26" i="13"/>
  <c r="BY26" i="13"/>
  <c r="BZ26" i="13" s="1"/>
  <c r="BV26" i="13"/>
  <c r="BU26" i="13"/>
  <c r="AS26" i="13"/>
  <c r="AT26" i="13" s="1"/>
  <c r="AO26" i="13"/>
  <c r="AP26" i="13" s="1"/>
  <c r="AK26" i="13"/>
  <c r="AL26" i="13" s="1"/>
  <c r="AH26" i="13"/>
  <c r="AG26" i="13"/>
  <c r="Q26" i="13"/>
  <c r="R26" i="13" s="1"/>
  <c r="M26" i="13"/>
  <c r="N26" i="13" s="1"/>
  <c r="I26" i="13"/>
  <c r="J26" i="13" s="1"/>
  <c r="CQ25" i="13"/>
  <c r="I25" i="13" s="1"/>
  <c r="J25" i="13" s="1"/>
  <c r="AS25" i="13"/>
  <c r="AT25" i="13" s="1"/>
  <c r="AK25" i="13"/>
  <c r="AL25" i="13" s="1"/>
  <c r="AH25" i="13"/>
  <c r="AG25" i="13"/>
  <c r="Q25" i="13"/>
  <c r="R25" i="13" s="1"/>
  <c r="M25" i="13"/>
  <c r="N25" i="13" s="1"/>
  <c r="CQ24" i="13"/>
  <c r="CL24" i="13"/>
  <c r="CK24" i="13"/>
  <c r="CH24" i="13"/>
  <c r="CG24" i="13"/>
  <c r="BZ24" i="13"/>
  <c r="BY24" i="13"/>
  <c r="BU24" i="13"/>
  <c r="BV24" i="13" s="1"/>
  <c r="AS24" i="13"/>
  <c r="AT24" i="13" s="1"/>
  <c r="AP24" i="13"/>
  <c r="AO24" i="13"/>
  <c r="AL24" i="13"/>
  <c r="AK24" i="13"/>
  <c r="AH24" i="13"/>
  <c r="AG24" i="13"/>
  <c r="Q24" i="13"/>
  <c r="R24" i="13" s="1"/>
  <c r="M24" i="13"/>
  <c r="N24" i="13" s="1"/>
  <c r="J24" i="13"/>
  <c r="I24" i="13"/>
  <c r="CQ23" i="13"/>
  <c r="CL23" i="13"/>
  <c r="CK23" i="13"/>
  <c r="CG23" i="13"/>
  <c r="CH23" i="13" s="1"/>
  <c r="BY23" i="13"/>
  <c r="BZ23" i="13" s="1"/>
  <c r="BU23" i="13"/>
  <c r="BV23" i="13" s="1"/>
  <c r="AS23" i="13"/>
  <c r="AT23" i="13" s="1"/>
  <c r="AL23" i="13"/>
  <c r="AK23" i="13"/>
  <c r="AH23" i="13"/>
  <c r="AG23" i="13"/>
  <c r="Q23" i="13"/>
  <c r="R23" i="13" s="1"/>
  <c r="J23" i="13"/>
  <c r="I23" i="13"/>
  <c r="CQ22" i="13"/>
  <c r="AK22" i="13" s="1"/>
  <c r="AL22" i="13" s="1"/>
  <c r="CK22" i="13"/>
  <c r="CL22" i="13" s="1"/>
  <c r="AG22" i="13"/>
  <c r="AH22" i="13" s="1"/>
  <c r="CQ21" i="13"/>
  <c r="AO21" i="13"/>
  <c r="AP21" i="13" s="1"/>
  <c r="AH21" i="13"/>
  <c r="AG21" i="13"/>
  <c r="Q21" i="13"/>
  <c r="R21" i="13" s="1"/>
  <c r="CQ20" i="13"/>
  <c r="CK20" i="13" s="1"/>
  <c r="CL20" i="13" s="1"/>
  <c r="CG20" i="13"/>
  <c r="CH20" i="13" s="1"/>
  <c r="BY20" i="13"/>
  <c r="BZ20" i="13" s="1"/>
  <c r="BV20" i="13"/>
  <c r="BU20" i="13"/>
  <c r="AS20" i="13"/>
  <c r="AT20" i="13" s="1"/>
  <c r="AK20" i="13"/>
  <c r="AL20" i="13" s="1"/>
  <c r="AG20" i="13"/>
  <c r="AH20" i="13" s="1"/>
  <c r="Q20" i="13"/>
  <c r="R20" i="13" s="1"/>
  <c r="I20" i="13"/>
  <c r="J20" i="13" s="1"/>
  <c r="CQ19" i="13"/>
  <c r="CK19" i="13"/>
  <c r="CL19" i="13" s="1"/>
  <c r="BU19" i="13"/>
  <c r="BV19" i="13" s="1"/>
  <c r="AS19" i="13"/>
  <c r="AT19" i="13" s="1"/>
  <c r="AK19" i="13"/>
  <c r="AL19" i="13" s="1"/>
  <c r="AH19" i="13"/>
  <c r="AG19" i="13"/>
  <c r="Q19" i="13"/>
  <c r="R19" i="13" s="1"/>
  <c r="I19" i="13"/>
  <c r="J19" i="13" s="1"/>
  <c r="CQ18" i="13"/>
  <c r="CG18" i="13" s="1"/>
  <c r="CH18" i="13" s="1"/>
  <c r="CL18" i="13"/>
  <c r="CK18" i="13"/>
  <c r="BY18" i="13"/>
  <c r="BZ18" i="13" s="1"/>
  <c r="AO18" i="13"/>
  <c r="AP18" i="13" s="1"/>
  <c r="AK18" i="13"/>
  <c r="AL18" i="13" s="1"/>
  <c r="AH18" i="13"/>
  <c r="AG18" i="13"/>
  <c r="CQ17" i="13"/>
  <c r="CK17" i="13"/>
  <c r="CL17" i="13" s="1"/>
  <c r="CG17" i="13"/>
  <c r="CH17" i="13" s="1"/>
  <c r="AS17" i="13"/>
  <c r="AT17" i="13" s="1"/>
  <c r="AP17" i="13"/>
  <c r="AO17" i="13"/>
  <c r="AK17" i="13"/>
  <c r="AL17" i="13" s="1"/>
  <c r="AG17" i="13"/>
  <c r="AH17" i="13" s="1"/>
  <c r="I17" i="13"/>
  <c r="J17" i="13" s="1"/>
  <c r="CQ16" i="13"/>
  <c r="BY16" i="13" s="1"/>
  <c r="BZ16" i="13" s="1"/>
  <c r="CK16" i="13"/>
  <c r="CL16" i="13" s="1"/>
  <c r="BU16" i="13"/>
  <c r="BV16" i="13" s="1"/>
  <c r="AO16" i="13"/>
  <c r="AP16" i="13" s="1"/>
  <c r="AK16" i="13"/>
  <c r="AL16" i="13" s="1"/>
  <c r="AG16" i="13"/>
  <c r="AH16" i="13" s="1"/>
  <c r="I16" i="13"/>
  <c r="J16" i="13" s="1"/>
  <c r="CQ15" i="13"/>
  <c r="CG15" i="13" s="1"/>
  <c r="CH15" i="13" s="1"/>
  <c r="CK15" i="13"/>
  <c r="CL15" i="13" s="1"/>
  <c r="BU15" i="13"/>
  <c r="BV15" i="13" s="1"/>
  <c r="AO15" i="13"/>
  <c r="AP15" i="13" s="1"/>
  <c r="AK15" i="13"/>
  <c r="AL15" i="13" s="1"/>
  <c r="AH15" i="13"/>
  <c r="AG15" i="13"/>
  <c r="J15" i="13"/>
  <c r="I15" i="13"/>
  <c r="CQ14" i="13"/>
  <c r="CK14" i="13"/>
  <c r="CL14" i="13" s="1"/>
  <c r="CG14" i="13"/>
  <c r="CH14" i="13" s="1"/>
  <c r="AK14" i="13"/>
  <c r="AL14" i="13" s="1"/>
  <c r="AH14" i="13"/>
  <c r="AG14" i="13"/>
  <c r="CQ13" i="13"/>
  <c r="CG13" i="13"/>
  <c r="CH13" i="13" s="1"/>
  <c r="BY13" i="13"/>
  <c r="BZ13" i="13" s="1"/>
  <c r="AS13" i="13"/>
  <c r="AT13" i="13" s="1"/>
  <c r="AK13" i="13"/>
  <c r="AL13" i="13" s="1"/>
  <c r="AG13" i="13"/>
  <c r="AH13" i="13" s="1"/>
  <c r="Q13" i="13"/>
  <c r="R13" i="13" s="1"/>
  <c r="CQ12" i="13"/>
  <c r="I12" i="13" s="1"/>
  <c r="J12" i="13" s="1"/>
  <c r="BY12" i="13"/>
  <c r="BZ12" i="13" s="1"/>
  <c r="AG12" i="13"/>
  <c r="AH12" i="13" s="1"/>
  <c r="CQ11" i="13"/>
  <c r="CK11" i="13"/>
  <c r="CL11" i="13" s="1"/>
  <c r="CG11" i="13"/>
  <c r="CH11" i="13" s="1"/>
  <c r="AP11" i="13"/>
  <c r="AO11" i="13"/>
  <c r="AK11" i="13"/>
  <c r="AL11" i="13" s="1"/>
  <c r="AG11" i="13"/>
  <c r="AH11" i="13" s="1"/>
  <c r="N11" i="13"/>
  <c r="M11" i="13"/>
  <c r="I11" i="13"/>
  <c r="J11" i="13" s="1"/>
  <c r="CQ59" i="12"/>
  <c r="U59" i="12" s="1"/>
  <c r="V59" i="12" s="1"/>
  <c r="BN59" i="12"/>
  <c r="BM59" i="12"/>
  <c r="BI59" i="12"/>
  <c r="BJ59" i="12" s="1"/>
  <c r="AG59" i="12"/>
  <c r="AH59" i="12" s="1"/>
  <c r="AC59" i="12"/>
  <c r="AD59" i="12" s="1"/>
  <c r="Y59" i="12"/>
  <c r="Z59" i="12" s="1"/>
  <c r="M59" i="12"/>
  <c r="N59" i="12" s="1"/>
  <c r="J59" i="12"/>
  <c r="I59" i="12"/>
  <c r="CQ58" i="12"/>
  <c r="CK58" i="12" s="1"/>
  <c r="CL58" i="12" s="1"/>
  <c r="BQ58" i="12"/>
  <c r="BR58" i="12" s="1"/>
  <c r="BN58" i="12"/>
  <c r="BM58" i="12"/>
  <c r="BI58" i="12"/>
  <c r="BJ58" i="12" s="1"/>
  <c r="BA58" i="12"/>
  <c r="BB58" i="12" s="1"/>
  <c r="AT58" i="12"/>
  <c r="AS58" i="12"/>
  <c r="AG58" i="12"/>
  <c r="AH58" i="12" s="1"/>
  <c r="AC58" i="12"/>
  <c r="AD58" i="12" s="1"/>
  <c r="Y58" i="12"/>
  <c r="Z58" i="12" s="1"/>
  <c r="R58" i="12"/>
  <c r="Q58" i="12"/>
  <c r="M58" i="12"/>
  <c r="N58" i="12" s="1"/>
  <c r="J58" i="12"/>
  <c r="I58" i="12"/>
  <c r="CQ57" i="12"/>
  <c r="CG57" i="12"/>
  <c r="CH57" i="12" s="1"/>
  <c r="BZ57" i="12"/>
  <c r="BY57" i="12"/>
  <c r="BU57" i="12"/>
  <c r="BV57" i="12" s="1"/>
  <c r="BQ57" i="12"/>
  <c r="BR57" i="12" s="1"/>
  <c r="BN57" i="12"/>
  <c r="BM57" i="12"/>
  <c r="BE57" i="12"/>
  <c r="BF57" i="12" s="1"/>
  <c r="AX57" i="12"/>
  <c r="AW57" i="12"/>
  <c r="AT57" i="12"/>
  <c r="AS57" i="12"/>
  <c r="AO57" i="12"/>
  <c r="AP57" i="12" s="1"/>
  <c r="AK57" i="12"/>
  <c r="AL57" i="12" s="1"/>
  <c r="AG57" i="12"/>
  <c r="AH57" i="12" s="1"/>
  <c r="AC57" i="12"/>
  <c r="AD57" i="12" s="1"/>
  <c r="Y57" i="12"/>
  <c r="Z57" i="12" s="1"/>
  <c r="U57" i="12"/>
  <c r="V57" i="12" s="1"/>
  <c r="R57" i="12"/>
  <c r="Q57" i="12"/>
  <c r="N57" i="12"/>
  <c r="M57" i="12"/>
  <c r="I57" i="12"/>
  <c r="J57" i="12" s="1"/>
  <c r="CQ56" i="12"/>
  <c r="CG56" i="12" s="1"/>
  <c r="CH56" i="12" s="1"/>
  <c r="CK56" i="12"/>
  <c r="CL56" i="12" s="1"/>
  <c r="BY56" i="12"/>
  <c r="BZ56" i="12" s="1"/>
  <c r="BU56" i="12"/>
  <c r="BV56" i="12" s="1"/>
  <c r="BQ56" i="12"/>
  <c r="BR56" i="12" s="1"/>
  <c r="BM56" i="12"/>
  <c r="BN56" i="12" s="1"/>
  <c r="BI56" i="12"/>
  <c r="BJ56" i="12" s="1"/>
  <c r="BA56" i="12"/>
  <c r="BB56" i="12" s="1"/>
  <c r="AX56" i="12"/>
  <c r="AW56" i="12"/>
  <c r="AS56" i="12"/>
  <c r="AT56" i="12" s="1"/>
  <c r="AP56" i="12"/>
  <c r="AO56" i="12"/>
  <c r="AK56" i="12"/>
  <c r="AL56" i="12" s="1"/>
  <c r="AG56" i="12"/>
  <c r="AH56" i="12" s="1"/>
  <c r="AC56" i="12"/>
  <c r="AD56" i="12" s="1"/>
  <c r="Z56" i="12"/>
  <c r="Y56" i="12"/>
  <c r="V56" i="12"/>
  <c r="U56" i="12"/>
  <c r="Q56" i="12"/>
  <c r="R56" i="12" s="1"/>
  <c r="M56" i="12"/>
  <c r="N56" i="12" s="1"/>
  <c r="I56" i="12"/>
  <c r="J56" i="12" s="1"/>
  <c r="CQ55" i="12"/>
  <c r="CH55" i="12"/>
  <c r="CG55" i="12"/>
  <c r="AK55" i="12"/>
  <c r="AL55" i="12" s="1"/>
  <c r="AG55" i="12"/>
  <c r="AH55" i="12" s="1"/>
  <c r="AD55" i="12"/>
  <c r="AC55" i="12"/>
  <c r="Y55" i="12"/>
  <c r="Z55" i="12" s="1"/>
  <c r="Q55" i="12"/>
  <c r="R55" i="12" s="1"/>
  <c r="I55" i="12"/>
  <c r="J55" i="12" s="1"/>
  <c r="CQ54" i="12"/>
  <c r="CK54" i="12"/>
  <c r="CL54" i="12" s="1"/>
  <c r="CH54" i="12"/>
  <c r="CG54" i="12"/>
  <c r="BY54" i="12"/>
  <c r="BZ54" i="12" s="1"/>
  <c r="BU54" i="12"/>
  <c r="BV54" i="12" s="1"/>
  <c r="AS54" i="12"/>
  <c r="AT54" i="12" s="1"/>
  <c r="AO54" i="12"/>
  <c r="AP54" i="12" s="1"/>
  <c r="AK54" i="12"/>
  <c r="AL54" i="12" s="1"/>
  <c r="AH54" i="12"/>
  <c r="AG54" i="12"/>
  <c r="AD54" i="12"/>
  <c r="AC54" i="12"/>
  <c r="Y54" i="12"/>
  <c r="Z54" i="12" s="1"/>
  <c r="U54" i="12"/>
  <c r="V54" i="12" s="1"/>
  <c r="Q54" i="12"/>
  <c r="R54" i="12" s="1"/>
  <c r="M54" i="12"/>
  <c r="N54" i="12" s="1"/>
  <c r="I54" i="12"/>
  <c r="J54" i="12" s="1"/>
  <c r="CQ53" i="12"/>
  <c r="CK53" i="12"/>
  <c r="CL53" i="12" s="1"/>
  <c r="CG53" i="12"/>
  <c r="CH53" i="12" s="1"/>
  <c r="BU53" i="12"/>
  <c r="BV53" i="12" s="1"/>
  <c r="AS53" i="12"/>
  <c r="AT53" i="12" s="1"/>
  <c r="AK53" i="12"/>
  <c r="AL53" i="12" s="1"/>
  <c r="AG53" i="12"/>
  <c r="AH53" i="12" s="1"/>
  <c r="AC53" i="12"/>
  <c r="AD53" i="12" s="1"/>
  <c r="Z53" i="12"/>
  <c r="Y53" i="12"/>
  <c r="Q53" i="12"/>
  <c r="R53" i="12" s="1"/>
  <c r="J53" i="12"/>
  <c r="I53" i="12"/>
  <c r="CQ52" i="12"/>
  <c r="CK52" i="12" s="1"/>
  <c r="CL52" i="12" s="1"/>
  <c r="CG52" i="12"/>
  <c r="CH52" i="12" s="1"/>
  <c r="BY52" i="12"/>
  <c r="BZ52" i="12" s="1"/>
  <c r="AK52" i="12"/>
  <c r="AL52" i="12" s="1"/>
  <c r="AH52" i="12"/>
  <c r="AG52" i="12"/>
  <c r="AD52" i="12"/>
  <c r="AC52" i="12"/>
  <c r="Y52" i="12"/>
  <c r="Z52" i="12" s="1"/>
  <c r="U52" i="12"/>
  <c r="V52" i="12" s="1"/>
  <c r="N52" i="12"/>
  <c r="M52" i="12"/>
  <c r="I52" i="12"/>
  <c r="J52" i="12" s="1"/>
  <c r="CQ51" i="12"/>
  <c r="CK51" i="12"/>
  <c r="CL51" i="12" s="1"/>
  <c r="BU51" i="12"/>
  <c r="BV51" i="12" s="1"/>
  <c r="AT51" i="12"/>
  <c r="AS51" i="12"/>
  <c r="AO51" i="12"/>
  <c r="AP51" i="12" s="1"/>
  <c r="AK51" i="12"/>
  <c r="AL51" i="12" s="1"/>
  <c r="AG51" i="12"/>
  <c r="AH51" i="12" s="1"/>
  <c r="AC51" i="12"/>
  <c r="AD51" i="12" s="1"/>
  <c r="Y51" i="12"/>
  <c r="Z51" i="12" s="1"/>
  <c r="R51" i="12"/>
  <c r="Q51" i="12"/>
  <c r="M51" i="12"/>
  <c r="N51" i="12" s="1"/>
  <c r="J51" i="12"/>
  <c r="I51" i="12"/>
  <c r="CQ50" i="12"/>
  <c r="CG50" i="12"/>
  <c r="CH50" i="12" s="1"/>
  <c r="BY50" i="12"/>
  <c r="BZ50" i="12" s="1"/>
  <c r="BV50" i="12"/>
  <c r="BU50" i="12"/>
  <c r="AK50" i="12"/>
  <c r="AL50" i="12" s="1"/>
  <c r="AG50" i="12"/>
  <c r="AH50" i="12" s="1"/>
  <c r="AC50" i="12"/>
  <c r="AD50" i="12" s="1"/>
  <c r="Z50" i="12"/>
  <c r="Y50" i="12"/>
  <c r="M50" i="12"/>
  <c r="N50" i="12" s="1"/>
  <c r="I50" i="12"/>
  <c r="J50" i="12" s="1"/>
  <c r="CQ49" i="12"/>
  <c r="CG49" i="12" s="1"/>
  <c r="CH49" i="12" s="1"/>
  <c r="CK49" i="12"/>
  <c r="CL49" i="12" s="1"/>
  <c r="BZ49" i="12"/>
  <c r="BY49" i="12"/>
  <c r="BU49" i="12"/>
  <c r="BV49" i="12" s="1"/>
  <c r="AS49" i="12"/>
  <c r="AT49" i="12" s="1"/>
  <c r="AP49" i="12"/>
  <c r="AO49" i="12"/>
  <c r="AK49" i="12"/>
  <c r="AL49" i="12" s="1"/>
  <c r="AG49" i="12"/>
  <c r="AH49" i="12" s="1"/>
  <c r="AD49" i="12"/>
  <c r="AC49" i="12"/>
  <c r="Y49" i="12"/>
  <c r="Z49" i="12" s="1"/>
  <c r="U49" i="12"/>
  <c r="V49" i="12" s="1"/>
  <c r="R49" i="12"/>
  <c r="Q49" i="12"/>
  <c r="M49" i="12"/>
  <c r="N49" i="12" s="1"/>
  <c r="I49" i="12"/>
  <c r="J49" i="12" s="1"/>
  <c r="CQ48" i="12"/>
  <c r="BZ48" i="12"/>
  <c r="BY48" i="12"/>
  <c r="BU48" i="12"/>
  <c r="BV48" i="12" s="1"/>
  <c r="AH48" i="12"/>
  <c r="AG48" i="12"/>
  <c r="AD48" i="12"/>
  <c r="AC48" i="12"/>
  <c r="Y48" i="12"/>
  <c r="Z48" i="12" s="1"/>
  <c r="V48" i="12"/>
  <c r="U48" i="12"/>
  <c r="R48" i="12"/>
  <c r="Q48" i="12"/>
  <c r="CQ47" i="12"/>
  <c r="CL47" i="12"/>
  <c r="CK47" i="12"/>
  <c r="CH47" i="12"/>
  <c r="CG47" i="12"/>
  <c r="BY47" i="12"/>
  <c r="BZ47" i="12" s="1"/>
  <c r="BU47" i="12"/>
  <c r="BV47" i="12" s="1"/>
  <c r="AS47" i="12"/>
  <c r="AT47" i="12" s="1"/>
  <c r="AO47" i="12"/>
  <c r="AP47" i="12" s="1"/>
  <c r="AL47" i="12"/>
  <c r="AK47" i="12"/>
  <c r="AH47" i="12"/>
  <c r="AG47" i="12"/>
  <c r="Q47" i="12"/>
  <c r="R47" i="12" s="1"/>
  <c r="M47" i="12"/>
  <c r="N47" i="12" s="1"/>
  <c r="J47" i="12"/>
  <c r="I47" i="12"/>
  <c r="CQ46" i="12"/>
  <c r="BU46" i="12"/>
  <c r="BV46" i="12" s="1"/>
  <c r="AH46" i="12"/>
  <c r="AG46" i="12"/>
  <c r="Q46" i="12"/>
  <c r="R46" i="12" s="1"/>
  <c r="J46" i="12"/>
  <c r="I46" i="12"/>
  <c r="CQ45" i="12"/>
  <c r="CK45" i="12" s="1"/>
  <c r="CL45" i="12" s="1"/>
  <c r="AG45" i="12"/>
  <c r="AH45" i="12" s="1"/>
  <c r="M45" i="12"/>
  <c r="N45" i="12" s="1"/>
  <c r="J45" i="12"/>
  <c r="I45" i="12"/>
  <c r="CQ44" i="12"/>
  <c r="CL44" i="12"/>
  <c r="CK44" i="12"/>
  <c r="BU44" i="12"/>
  <c r="BV44" i="12" s="1"/>
  <c r="AT44" i="12"/>
  <c r="AS44" i="12"/>
  <c r="AO44" i="12"/>
  <c r="AP44" i="12" s="1"/>
  <c r="AK44" i="12"/>
  <c r="AL44" i="12" s="1"/>
  <c r="AH44" i="12"/>
  <c r="AG44" i="12"/>
  <c r="R44" i="12"/>
  <c r="Q44" i="12"/>
  <c r="N44" i="12"/>
  <c r="M44" i="12"/>
  <c r="J44" i="12"/>
  <c r="I44" i="12"/>
  <c r="CQ43" i="12"/>
  <c r="CG43" i="12" s="1"/>
  <c r="CH43" i="12" s="1"/>
  <c r="BZ43" i="12"/>
  <c r="BY43" i="12"/>
  <c r="BU43" i="12"/>
  <c r="BV43" i="12" s="1"/>
  <c r="AS43" i="12"/>
  <c r="AT43" i="12" s="1"/>
  <c r="AO43" i="12"/>
  <c r="AP43" i="12" s="1"/>
  <c r="AL43" i="12"/>
  <c r="AK43" i="12"/>
  <c r="AG43" i="12"/>
  <c r="AH43" i="12" s="1"/>
  <c r="R43" i="12"/>
  <c r="Q43" i="12"/>
  <c r="M43" i="12"/>
  <c r="N43" i="12" s="1"/>
  <c r="I43" i="12"/>
  <c r="J43" i="12" s="1"/>
  <c r="CQ42" i="12"/>
  <c r="CG42" i="12" s="1"/>
  <c r="CH42" i="12" s="1"/>
  <c r="CK42" i="12"/>
  <c r="CL42" i="12" s="1"/>
  <c r="BY42" i="12"/>
  <c r="BZ42" i="12" s="1"/>
  <c r="BV42" i="12"/>
  <c r="BU42" i="12"/>
  <c r="AT42" i="12"/>
  <c r="AS42" i="12"/>
  <c r="AP42" i="12"/>
  <c r="AO42" i="12"/>
  <c r="AK42" i="12"/>
  <c r="AL42" i="12" s="1"/>
  <c r="AG42" i="12"/>
  <c r="AH42" i="12" s="1"/>
  <c r="R42" i="12"/>
  <c r="Q42" i="12"/>
  <c r="N42" i="12"/>
  <c r="M42" i="12"/>
  <c r="I42" i="12"/>
  <c r="J42" i="12" s="1"/>
  <c r="CQ41" i="12"/>
  <c r="CK41" i="12"/>
  <c r="CL41" i="12" s="1"/>
  <c r="CG41" i="12"/>
  <c r="CH41" i="12" s="1"/>
  <c r="BY41" i="12"/>
  <c r="BZ41" i="12" s="1"/>
  <c r="BV41" i="12"/>
  <c r="BU41" i="12"/>
  <c r="AT41" i="12"/>
  <c r="AS41" i="12"/>
  <c r="AO41" i="12"/>
  <c r="AP41" i="12" s="1"/>
  <c r="AL41" i="12"/>
  <c r="AK41" i="12"/>
  <c r="AG41" i="12"/>
  <c r="AH41" i="12" s="1"/>
  <c r="R41" i="12"/>
  <c r="Q41" i="12"/>
  <c r="M41" i="12"/>
  <c r="N41" i="12" s="1"/>
  <c r="J41" i="12"/>
  <c r="I41" i="12"/>
  <c r="CQ40" i="12"/>
  <c r="CL40" i="12"/>
  <c r="CK40" i="12"/>
  <c r="CG40" i="12"/>
  <c r="CH40" i="12" s="1"/>
  <c r="AH40" i="12"/>
  <c r="AG40" i="12"/>
  <c r="I40" i="12"/>
  <c r="J40" i="12" s="1"/>
  <c r="CQ39" i="12"/>
  <c r="AH39" i="12"/>
  <c r="AG39" i="12"/>
  <c r="CQ38" i="12"/>
  <c r="Q38" i="12" s="1"/>
  <c r="R38" i="12" s="1"/>
  <c r="AG38" i="12"/>
  <c r="AH38" i="12" s="1"/>
  <c r="M38" i="12"/>
  <c r="N38" i="12" s="1"/>
  <c r="J38" i="12"/>
  <c r="I38" i="12"/>
  <c r="CQ37" i="12"/>
  <c r="AO37" i="12" s="1"/>
  <c r="AP37" i="12" s="1"/>
  <c r="BU37" i="12"/>
  <c r="BV37" i="12" s="1"/>
  <c r="AT37" i="12"/>
  <c r="AS37" i="12"/>
  <c r="AH37" i="12"/>
  <c r="AG37" i="12"/>
  <c r="R37" i="12"/>
  <c r="Q37" i="12"/>
  <c r="N37" i="12"/>
  <c r="M37" i="12"/>
  <c r="CQ36" i="12"/>
  <c r="CG36" i="12" s="1"/>
  <c r="CH36" i="12" s="1"/>
  <c r="CK36" i="12"/>
  <c r="CL36" i="12" s="1"/>
  <c r="BY36" i="12"/>
  <c r="BZ36" i="12" s="1"/>
  <c r="BV36" i="12"/>
  <c r="BU36" i="12"/>
  <c r="AS36" i="12"/>
  <c r="AT36" i="12" s="1"/>
  <c r="AP36" i="12"/>
  <c r="AO36" i="12"/>
  <c r="AL36" i="12"/>
  <c r="AK36" i="12"/>
  <c r="AG36" i="12"/>
  <c r="AH36" i="12" s="1"/>
  <c r="R36" i="12"/>
  <c r="Q36" i="12"/>
  <c r="M36" i="12"/>
  <c r="N36" i="12" s="1"/>
  <c r="I36" i="12"/>
  <c r="J36" i="12" s="1"/>
  <c r="CQ35" i="12"/>
  <c r="CG35" i="12" s="1"/>
  <c r="CH35" i="12" s="1"/>
  <c r="AH35" i="12"/>
  <c r="AG35" i="12"/>
  <c r="CQ34" i="12"/>
  <c r="CL34" i="12"/>
  <c r="CK34" i="12"/>
  <c r="CG34" i="12"/>
  <c r="CH34" i="12" s="1"/>
  <c r="BY34" i="12"/>
  <c r="BZ34" i="12" s="1"/>
  <c r="BU34" i="12"/>
  <c r="BV34" i="12" s="1"/>
  <c r="AS34" i="12"/>
  <c r="AT34" i="12" s="1"/>
  <c r="AO34" i="12"/>
  <c r="AP34" i="12" s="1"/>
  <c r="AL34" i="12"/>
  <c r="AK34" i="12"/>
  <c r="AG34" i="12"/>
  <c r="AH34" i="12" s="1"/>
  <c r="Q34" i="12"/>
  <c r="R34" i="12" s="1"/>
  <c r="M34" i="12"/>
  <c r="N34" i="12" s="1"/>
  <c r="J34" i="12"/>
  <c r="I34" i="12"/>
  <c r="CQ33" i="12"/>
  <c r="AH33" i="12"/>
  <c r="AG33" i="12"/>
  <c r="CQ32" i="12"/>
  <c r="AO32" i="12" s="1"/>
  <c r="AP32" i="12" s="1"/>
  <c r="CK32" i="12"/>
  <c r="CL32" i="12" s="1"/>
  <c r="CG32" i="12"/>
  <c r="CH32" i="12" s="1"/>
  <c r="AG32" i="12"/>
  <c r="AH32" i="12" s="1"/>
  <c r="CQ31" i="12"/>
  <c r="BU31" i="12"/>
  <c r="BV31" i="12" s="1"/>
  <c r="AT31" i="12"/>
  <c r="AS31" i="12"/>
  <c r="AO31" i="12"/>
  <c r="AP31" i="12" s="1"/>
  <c r="AL31" i="12"/>
  <c r="AK31" i="12"/>
  <c r="AH31" i="12"/>
  <c r="AG31" i="12"/>
  <c r="Q31" i="12"/>
  <c r="R31" i="12" s="1"/>
  <c r="N31" i="12"/>
  <c r="M31" i="12"/>
  <c r="I31" i="12"/>
  <c r="J31" i="12" s="1"/>
  <c r="CQ30" i="12"/>
  <c r="AO30" i="12"/>
  <c r="AP30" i="12" s="1"/>
  <c r="AH30" i="12"/>
  <c r="AG30" i="12"/>
  <c r="Q30" i="12"/>
  <c r="R30" i="12" s="1"/>
  <c r="CQ29" i="12"/>
  <c r="Q29" i="12" s="1"/>
  <c r="R29" i="12" s="1"/>
  <c r="BZ29" i="12"/>
  <c r="BY29" i="12"/>
  <c r="BU29" i="12"/>
  <c r="BV29" i="12" s="1"/>
  <c r="AS29" i="12"/>
  <c r="AT29" i="12" s="1"/>
  <c r="AP29" i="12"/>
  <c r="AO29" i="12"/>
  <c r="AK29" i="12"/>
  <c r="AL29" i="12" s="1"/>
  <c r="AG29" i="12"/>
  <c r="AH29" i="12" s="1"/>
  <c r="M29" i="12"/>
  <c r="N29" i="12" s="1"/>
  <c r="J29" i="12"/>
  <c r="I29" i="12"/>
  <c r="CQ28" i="12"/>
  <c r="CK28" i="12" s="1"/>
  <c r="CL28" i="12" s="1"/>
  <c r="CG28" i="12"/>
  <c r="CH28" i="12" s="1"/>
  <c r="BZ28" i="12"/>
  <c r="BY28" i="12"/>
  <c r="BU28" i="12"/>
  <c r="BV28" i="12" s="1"/>
  <c r="AS28" i="12"/>
  <c r="AT28" i="12" s="1"/>
  <c r="AO28" i="12"/>
  <c r="AP28" i="12" s="1"/>
  <c r="AK28" i="12"/>
  <c r="AL28" i="12" s="1"/>
  <c r="AH28" i="12"/>
  <c r="AG28" i="12"/>
  <c r="Q28" i="12"/>
  <c r="R28" i="12" s="1"/>
  <c r="N28" i="12"/>
  <c r="M28" i="12"/>
  <c r="I28" i="12"/>
  <c r="J28" i="12" s="1"/>
  <c r="CQ27" i="12"/>
  <c r="CK27" i="12"/>
  <c r="CL27" i="12" s="1"/>
  <c r="CH27" i="12"/>
  <c r="CG27" i="12"/>
  <c r="BY27" i="12"/>
  <c r="BZ27" i="12" s="1"/>
  <c r="BV27" i="12"/>
  <c r="BU27" i="12"/>
  <c r="AS27" i="12"/>
  <c r="AT27" i="12" s="1"/>
  <c r="AO27" i="12"/>
  <c r="AP27" i="12" s="1"/>
  <c r="AL27" i="12"/>
  <c r="AK27" i="12"/>
  <c r="AG27" i="12"/>
  <c r="AH27" i="12" s="1"/>
  <c r="R27" i="12"/>
  <c r="Q27" i="12"/>
  <c r="N27" i="12"/>
  <c r="I27" i="12"/>
  <c r="J27" i="12" s="1"/>
  <c r="CQ26" i="12"/>
  <c r="AH26" i="12"/>
  <c r="AG26" i="12"/>
  <c r="CQ25" i="12"/>
  <c r="CK25" i="12"/>
  <c r="CL25" i="12" s="1"/>
  <c r="CH25" i="12"/>
  <c r="CG25" i="12"/>
  <c r="AO25" i="12"/>
  <c r="AP25" i="12" s="1"/>
  <c r="AK25" i="12"/>
  <c r="AL25" i="12" s="1"/>
  <c r="AG25" i="12"/>
  <c r="AH25" i="12" s="1"/>
  <c r="M25" i="12"/>
  <c r="N25" i="12" s="1"/>
  <c r="I25" i="12"/>
  <c r="J25" i="12" s="1"/>
  <c r="CQ24" i="12"/>
  <c r="CK24" i="12"/>
  <c r="CL24" i="12" s="1"/>
  <c r="CH24" i="12"/>
  <c r="CG24" i="12"/>
  <c r="BU24" i="12"/>
  <c r="BV24" i="12" s="1"/>
  <c r="AS24" i="12"/>
  <c r="AT24" i="12" s="1"/>
  <c r="AP24" i="12"/>
  <c r="AO24" i="12"/>
  <c r="AK24" i="12"/>
  <c r="AL24" i="12" s="1"/>
  <c r="AG24" i="12"/>
  <c r="AH24" i="12" s="1"/>
  <c r="Q24" i="12"/>
  <c r="R24" i="12" s="1"/>
  <c r="M24" i="12"/>
  <c r="N24" i="12" s="1"/>
  <c r="I24" i="12"/>
  <c r="J24" i="12" s="1"/>
  <c r="CQ23" i="12"/>
  <c r="AH23" i="12"/>
  <c r="AG23" i="12"/>
  <c r="Q23" i="12"/>
  <c r="R23" i="12" s="1"/>
  <c r="CQ22" i="12"/>
  <c r="BY22" i="12"/>
  <c r="BZ22" i="12" s="1"/>
  <c r="BU22" i="12"/>
  <c r="BV22" i="12" s="1"/>
  <c r="AT22" i="12"/>
  <c r="AS22" i="12"/>
  <c r="AO22" i="12"/>
  <c r="AP22" i="12" s="1"/>
  <c r="AL22" i="12"/>
  <c r="AK22" i="12"/>
  <c r="AH22" i="12"/>
  <c r="AG22" i="12"/>
  <c r="Q22" i="12"/>
  <c r="R22" i="12" s="1"/>
  <c r="N22" i="12"/>
  <c r="M22" i="12"/>
  <c r="I22" i="12"/>
  <c r="J22" i="12" s="1"/>
  <c r="CQ21" i="12"/>
  <c r="CK21" i="12" s="1"/>
  <c r="CL21" i="12" s="1"/>
  <c r="CG21" i="12"/>
  <c r="CH21" i="12" s="1"/>
  <c r="BY21" i="12"/>
  <c r="BZ21" i="12" s="1"/>
  <c r="BV21" i="12"/>
  <c r="BU21" i="12"/>
  <c r="AS21" i="12"/>
  <c r="AT21" i="12" s="1"/>
  <c r="AP21" i="12"/>
  <c r="AO21" i="12"/>
  <c r="AL21" i="12"/>
  <c r="AK21" i="12"/>
  <c r="AG21" i="12"/>
  <c r="AH21" i="12" s="1"/>
  <c r="Q21" i="12"/>
  <c r="R21" i="12" s="1"/>
  <c r="M21" i="12"/>
  <c r="N21" i="12" s="1"/>
  <c r="J21" i="12"/>
  <c r="I21" i="12"/>
  <c r="CQ20" i="12"/>
  <c r="CK20" i="12"/>
  <c r="CL20" i="12" s="1"/>
  <c r="CH20" i="12"/>
  <c r="CG20" i="12"/>
  <c r="BY20" i="12"/>
  <c r="BZ20" i="12" s="1"/>
  <c r="BV20" i="12"/>
  <c r="BU20" i="12"/>
  <c r="AT20" i="12"/>
  <c r="AS20" i="12"/>
  <c r="AP20" i="12"/>
  <c r="AO20" i="12"/>
  <c r="AL20" i="12"/>
  <c r="AK20" i="12"/>
  <c r="AG20" i="12"/>
  <c r="AH20" i="12" s="1"/>
  <c r="R20" i="12"/>
  <c r="Q20" i="12"/>
  <c r="N20" i="12"/>
  <c r="M20" i="12"/>
  <c r="J20" i="12"/>
  <c r="I20" i="12"/>
  <c r="CQ19" i="12"/>
  <c r="CG19" i="12"/>
  <c r="CH19" i="12" s="1"/>
  <c r="BY19" i="12"/>
  <c r="BZ19" i="12" s="1"/>
  <c r="BU19" i="12"/>
  <c r="BV19" i="12" s="1"/>
  <c r="AT19" i="12"/>
  <c r="AS19" i="12"/>
  <c r="AP19" i="12"/>
  <c r="AO19" i="12"/>
  <c r="AK19" i="12"/>
  <c r="AL19" i="12" s="1"/>
  <c r="AG19" i="12"/>
  <c r="AH19" i="12" s="1"/>
  <c r="Q19" i="12"/>
  <c r="R19" i="12" s="1"/>
  <c r="M19" i="12"/>
  <c r="N19" i="12" s="1"/>
  <c r="I19" i="12"/>
  <c r="J19" i="12" s="1"/>
  <c r="CQ18" i="12"/>
  <c r="CK18" i="12"/>
  <c r="CL18" i="12" s="1"/>
  <c r="CG18" i="12"/>
  <c r="CH18" i="12" s="1"/>
  <c r="BY18" i="12"/>
  <c r="BZ18" i="12" s="1"/>
  <c r="BV18" i="12"/>
  <c r="BU18" i="12"/>
  <c r="AS18" i="12"/>
  <c r="AT18" i="12" s="1"/>
  <c r="AO18" i="12"/>
  <c r="AP18" i="12" s="1"/>
  <c r="AL18" i="12"/>
  <c r="AK18" i="12"/>
  <c r="AH18" i="12"/>
  <c r="AG18" i="12"/>
  <c r="Q18" i="12"/>
  <c r="R18" i="12" s="1"/>
  <c r="M18" i="12"/>
  <c r="N18" i="12" s="1"/>
  <c r="I18" i="12"/>
  <c r="J18" i="12" s="1"/>
  <c r="CQ17" i="12"/>
  <c r="AK17" i="12" s="1"/>
  <c r="AL17" i="12" s="1"/>
  <c r="BU17" i="12"/>
  <c r="BV17" i="12" s="1"/>
  <c r="AG17" i="12"/>
  <c r="AH17" i="12" s="1"/>
  <c r="I17" i="12"/>
  <c r="J17" i="12" s="1"/>
  <c r="CQ16" i="12"/>
  <c r="AK16" i="12"/>
  <c r="AL16" i="12" s="1"/>
  <c r="AH16" i="12"/>
  <c r="AG16" i="12"/>
  <c r="I16" i="12"/>
  <c r="J16" i="12" s="1"/>
  <c r="CQ15" i="12"/>
  <c r="CK15" i="12" s="1"/>
  <c r="CL15" i="12" s="1"/>
  <c r="AK15" i="12"/>
  <c r="AL15" i="12" s="1"/>
  <c r="AG15" i="12"/>
  <c r="AH15" i="12" s="1"/>
  <c r="CQ14" i="12"/>
  <c r="I14" i="12" s="1"/>
  <c r="J14" i="12" s="1"/>
  <c r="AK14" i="12"/>
  <c r="AL14" i="12" s="1"/>
  <c r="AG14" i="12"/>
  <c r="AH14" i="12" s="1"/>
  <c r="CQ13" i="12"/>
  <c r="CK13" i="12"/>
  <c r="CL13" i="12" s="1"/>
  <c r="AO13" i="12"/>
  <c r="AP13" i="12" s="1"/>
  <c r="AL13" i="12"/>
  <c r="AK13" i="12"/>
  <c r="AH13" i="12"/>
  <c r="AG13" i="12"/>
  <c r="M13" i="12"/>
  <c r="N13" i="12" s="1"/>
  <c r="I13" i="12"/>
  <c r="J13" i="12" s="1"/>
  <c r="CQ12" i="12"/>
  <c r="BU12" i="12"/>
  <c r="BV12" i="12" s="1"/>
  <c r="AS12" i="12"/>
  <c r="AT12" i="12" s="1"/>
  <c r="AO12" i="12"/>
  <c r="AP12" i="12" s="1"/>
  <c r="AK12" i="12"/>
  <c r="AL12" i="12" s="1"/>
  <c r="AG12" i="12"/>
  <c r="AH12" i="12" s="1"/>
  <c r="CQ11" i="12"/>
  <c r="CK11" i="12" s="1"/>
  <c r="CL11" i="12" s="1"/>
  <c r="CG11" i="12"/>
  <c r="CH11" i="12" s="1"/>
  <c r="BZ11" i="12"/>
  <c r="BY11" i="12"/>
  <c r="BU11" i="12"/>
  <c r="BV11" i="12" s="1"/>
  <c r="AS11" i="12"/>
  <c r="AT11" i="12" s="1"/>
  <c r="AO11" i="12"/>
  <c r="AP11" i="12" s="1"/>
  <c r="AK11" i="12"/>
  <c r="AL11" i="12" s="1"/>
  <c r="AG11" i="12"/>
  <c r="AH11" i="12" s="1"/>
  <c r="Q11" i="12"/>
  <c r="R11" i="12" s="1"/>
  <c r="M11" i="12"/>
  <c r="N11" i="12" s="1"/>
  <c r="I11" i="12"/>
  <c r="J11" i="12" s="1"/>
  <c r="CQ59" i="11"/>
  <c r="CK59" i="11"/>
  <c r="CL59" i="11" s="1"/>
  <c r="BQ59" i="11"/>
  <c r="BR59" i="11" s="1"/>
  <c r="BI59" i="11"/>
  <c r="BJ59" i="11" s="1"/>
  <c r="AS59" i="11"/>
  <c r="AT59" i="11" s="1"/>
  <c r="AH59" i="11"/>
  <c r="AG59" i="11"/>
  <c r="AC59" i="11"/>
  <c r="AD59" i="11" s="1"/>
  <c r="Z59" i="11"/>
  <c r="Y59" i="11"/>
  <c r="M59" i="11"/>
  <c r="N59" i="11" s="1"/>
  <c r="CQ58" i="11"/>
  <c r="CK58" i="11"/>
  <c r="CL58" i="11" s="1"/>
  <c r="BZ58" i="11"/>
  <c r="BY58" i="11"/>
  <c r="BV58" i="11"/>
  <c r="BU58" i="11"/>
  <c r="BQ58" i="11"/>
  <c r="BR58" i="11" s="1"/>
  <c r="BM58" i="11"/>
  <c r="BN58" i="11" s="1"/>
  <c r="AW58" i="11"/>
  <c r="AX58" i="11" s="1"/>
  <c r="AT58" i="11"/>
  <c r="AS58" i="11"/>
  <c r="AO58" i="11"/>
  <c r="AP58" i="11" s="1"/>
  <c r="AL58" i="11"/>
  <c r="AK58" i="11"/>
  <c r="AH58" i="11"/>
  <c r="AG58" i="11"/>
  <c r="AD58" i="11"/>
  <c r="AC58" i="11"/>
  <c r="Z58" i="11"/>
  <c r="Y58" i="11"/>
  <c r="U58" i="11"/>
  <c r="V58" i="11" s="1"/>
  <c r="R58" i="11"/>
  <c r="Q58" i="11"/>
  <c r="M58" i="11"/>
  <c r="N58" i="11" s="1"/>
  <c r="J58" i="11"/>
  <c r="I58" i="11"/>
  <c r="CQ57" i="11"/>
  <c r="BY57" i="11"/>
  <c r="BZ57" i="11" s="1"/>
  <c r="BV57" i="11"/>
  <c r="BU57" i="11"/>
  <c r="BQ57" i="11"/>
  <c r="BR57" i="11" s="1"/>
  <c r="BN57" i="11"/>
  <c r="BM57" i="11"/>
  <c r="BA57" i="11"/>
  <c r="BB57" i="11" s="1"/>
  <c r="AP57" i="11"/>
  <c r="AO57" i="11"/>
  <c r="AK57" i="11"/>
  <c r="AL57" i="11" s="1"/>
  <c r="AH57" i="11"/>
  <c r="AG57" i="11"/>
  <c r="AD57" i="11"/>
  <c r="AC57" i="11"/>
  <c r="Y57" i="11"/>
  <c r="Z57" i="11" s="1"/>
  <c r="N57" i="11"/>
  <c r="M57" i="11"/>
  <c r="I57" i="11"/>
  <c r="J57" i="11" s="1"/>
  <c r="CQ56" i="11"/>
  <c r="CK56" i="11" s="1"/>
  <c r="CL56" i="11" s="1"/>
  <c r="CG56" i="11"/>
  <c r="CH56" i="11" s="1"/>
  <c r="BZ56" i="11"/>
  <c r="BY56" i="11"/>
  <c r="BU56" i="11"/>
  <c r="BV56" i="11" s="1"/>
  <c r="BQ56" i="11"/>
  <c r="BR56" i="11" s="1"/>
  <c r="BN56" i="11"/>
  <c r="BM56" i="11"/>
  <c r="BF56" i="11"/>
  <c r="BE56" i="11"/>
  <c r="BA56" i="11"/>
  <c r="BB56" i="11" s="1"/>
  <c r="AW56" i="11"/>
  <c r="AX56" i="11" s="1"/>
  <c r="AT56" i="11"/>
  <c r="AS56" i="11"/>
  <c r="AO56" i="11"/>
  <c r="AP56" i="11" s="1"/>
  <c r="AL56" i="11"/>
  <c r="AK56" i="11"/>
  <c r="AH56" i="11"/>
  <c r="AG56" i="11"/>
  <c r="AC56" i="11"/>
  <c r="AD56" i="11" s="1"/>
  <c r="Y56" i="11"/>
  <c r="Z56" i="11" s="1"/>
  <c r="U56" i="11"/>
  <c r="V56" i="11" s="1"/>
  <c r="R56" i="11"/>
  <c r="Q56" i="11"/>
  <c r="M56" i="11"/>
  <c r="N56" i="11" s="1"/>
  <c r="J56" i="11"/>
  <c r="I56" i="11"/>
  <c r="CQ55" i="11"/>
  <c r="CK55" i="11"/>
  <c r="CL55" i="11" s="1"/>
  <c r="CG55" i="11"/>
  <c r="CH55" i="11" s="1"/>
  <c r="BY55" i="11"/>
  <c r="BZ55" i="11" s="1"/>
  <c r="BV55" i="11"/>
  <c r="BU55" i="11"/>
  <c r="AT55" i="11"/>
  <c r="AS55" i="11"/>
  <c r="AP55" i="11"/>
  <c r="AO55" i="11"/>
  <c r="AL55" i="11"/>
  <c r="AK55" i="11"/>
  <c r="AG55" i="11"/>
  <c r="AH55" i="11" s="1"/>
  <c r="AC55" i="11"/>
  <c r="AD55" i="11" s="1"/>
  <c r="Y55" i="11"/>
  <c r="Z55" i="11" s="1"/>
  <c r="U55" i="11"/>
  <c r="V55" i="11" s="1"/>
  <c r="R55" i="11"/>
  <c r="Q55" i="11"/>
  <c r="N55" i="11"/>
  <c r="M55" i="11"/>
  <c r="J55" i="11"/>
  <c r="I55" i="11"/>
  <c r="CQ54" i="11"/>
  <c r="CK54" i="11" s="1"/>
  <c r="CL54" i="11" s="1"/>
  <c r="AG54" i="11"/>
  <c r="AH54" i="11" s="1"/>
  <c r="AC54" i="11"/>
  <c r="AD54" i="11" s="1"/>
  <c r="Y54" i="11"/>
  <c r="Z54" i="11" s="1"/>
  <c r="I54" i="11"/>
  <c r="J54" i="11" s="1"/>
  <c r="CQ53" i="11"/>
  <c r="CH53" i="11"/>
  <c r="CG53" i="11"/>
  <c r="AO53" i="11"/>
  <c r="AP53" i="11" s="1"/>
  <c r="AK53" i="11"/>
  <c r="AL53" i="11" s="1"/>
  <c r="AG53" i="11"/>
  <c r="AH53" i="11" s="1"/>
  <c r="AD53" i="11"/>
  <c r="AC53" i="11"/>
  <c r="Z53" i="11"/>
  <c r="Y53" i="11"/>
  <c r="M53" i="11"/>
  <c r="N53" i="11" s="1"/>
  <c r="J53" i="11"/>
  <c r="I53" i="11"/>
  <c r="CQ52" i="11"/>
  <c r="CL52" i="11"/>
  <c r="CK52" i="11"/>
  <c r="CG52" i="11"/>
  <c r="CH52" i="11" s="1"/>
  <c r="AS52" i="11"/>
  <c r="AT52" i="11" s="1"/>
  <c r="AO52" i="11"/>
  <c r="AP52" i="11" s="1"/>
  <c r="AG52" i="11"/>
  <c r="AH52" i="11" s="1"/>
  <c r="AD52" i="11"/>
  <c r="AC52" i="11"/>
  <c r="Z52" i="11"/>
  <c r="Y52" i="11"/>
  <c r="R52" i="11"/>
  <c r="Q52" i="11"/>
  <c r="M52" i="11"/>
  <c r="N52" i="11" s="1"/>
  <c r="J52" i="11"/>
  <c r="I52" i="11"/>
  <c r="CQ51" i="11"/>
  <c r="CK51" i="11"/>
  <c r="CL51" i="11" s="1"/>
  <c r="BY51" i="11"/>
  <c r="BZ51" i="11" s="1"/>
  <c r="BV51" i="11"/>
  <c r="BU51" i="11"/>
  <c r="AS51" i="11"/>
  <c r="AT51" i="11" s="1"/>
  <c r="AO51" i="11"/>
  <c r="AP51" i="11" s="1"/>
  <c r="AK51" i="11"/>
  <c r="AL51" i="11" s="1"/>
  <c r="AH51" i="11"/>
  <c r="AG51" i="11"/>
  <c r="AD51" i="11"/>
  <c r="AC51" i="11"/>
  <c r="Z51" i="11"/>
  <c r="Y51" i="11"/>
  <c r="U51" i="11"/>
  <c r="V51" i="11" s="1"/>
  <c r="R51" i="11"/>
  <c r="Q51" i="11"/>
  <c r="M51" i="11"/>
  <c r="N51" i="11" s="1"/>
  <c r="I51" i="11"/>
  <c r="J51" i="11" s="1"/>
  <c r="CQ50" i="11"/>
  <c r="AO50" i="11" s="1"/>
  <c r="AP50" i="11" s="1"/>
  <c r="BV50" i="11"/>
  <c r="BU50" i="11"/>
  <c r="AK50" i="11"/>
  <c r="AL50" i="11" s="1"/>
  <c r="AH50" i="11"/>
  <c r="AG50" i="11"/>
  <c r="AD50" i="11"/>
  <c r="AC50" i="11"/>
  <c r="Y50" i="11"/>
  <c r="Z50" i="11" s="1"/>
  <c r="M50" i="11"/>
  <c r="N50" i="11" s="1"/>
  <c r="CQ49" i="11"/>
  <c r="CK49" i="11" s="1"/>
  <c r="CL49" i="11" s="1"/>
  <c r="CH49" i="11"/>
  <c r="CG49" i="11"/>
  <c r="BY49" i="11"/>
  <c r="BZ49" i="11" s="1"/>
  <c r="BV49" i="11"/>
  <c r="BU49" i="11"/>
  <c r="AS49" i="11"/>
  <c r="AT49" i="11" s="1"/>
  <c r="AP49" i="11"/>
  <c r="AO49" i="11"/>
  <c r="AL49" i="11"/>
  <c r="AK49" i="11"/>
  <c r="AH49" i="11"/>
  <c r="AG49" i="11"/>
  <c r="AC49" i="11"/>
  <c r="AD49" i="11" s="1"/>
  <c r="Z49" i="11"/>
  <c r="Y49" i="11"/>
  <c r="U49" i="11"/>
  <c r="V49" i="11" s="1"/>
  <c r="Q49" i="11"/>
  <c r="R49" i="11" s="1"/>
  <c r="N49" i="11"/>
  <c r="M49" i="11"/>
  <c r="J49" i="11"/>
  <c r="I49" i="11"/>
  <c r="CQ48" i="11"/>
  <c r="CL48" i="11"/>
  <c r="CK48" i="11"/>
  <c r="CG48" i="11"/>
  <c r="CH48" i="11" s="1"/>
  <c r="BZ48" i="11"/>
  <c r="BY48" i="11"/>
  <c r="BU48" i="11"/>
  <c r="BV48" i="11" s="1"/>
  <c r="AS48" i="11"/>
  <c r="AT48" i="11" s="1"/>
  <c r="AP48" i="11"/>
  <c r="AO48" i="11"/>
  <c r="AL48" i="11"/>
  <c r="AK48" i="11"/>
  <c r="AG48" i="11"/>
  <c r="AH48" i="11" s="1"/>
  <c r="AD48" i="11"/>
  <c r="AC48" i="11"/>
  <c r="Z48" i="11"/>
  <c r="Y48" i="11"/>
  <c r="V48" i="11"/>
  <c r="U48" i="11"/>
  <c r="Q48" i="11"/>
  <c r="R48" i="11" s="1"/>
  <c r="N48" i="11"/>
  <c r="M48" i="11"/>
  <c r="J48" i="11"/>
  <c r="I48" i="11"/>
  <c r="CQ47" i="11"/>
  <c r="CK47" i="11"/>
  <c r="CL47" i="11" s="1"/>
  <c r="AG47" i="11"/>
  <c r="AH47" i="11" s="1"/>
  <c r="CQ46" i="11"/>
  <c r="CG46" i="11"/>
  <c r="CH46" i="11" s="1"/>
  <c r="AP46" i="11"/>
  <c r="AO46" i="11"/>
  <c r="AK46" i="11"/>
  <c r="AL46" i="11" s="1"/>
  <c r="AH46" i="11"/>
  <c r="AG46" i="11"/>
  <c r="I46" i="11"/>
  <c r="J46" i="11" s="1"/>
  <c r="CQ45" i="11"/>
  <c r="CG45" i="11"/>
  <c r="CH45" i="11" s="1"/>
  <c r="BU45" i="11"/>
  <c r="BV45" i="11" s="1"/>
  <c r="AO45" i="11"/>
  <c r="AP45" i="11" s="1"/>
  <c r="AK45" i="11"/>
  <c r="AL45" i="11" s="1"/>
  <c r="AG45" i="11"/>
  <c r="AH45" i="11" s="1"/>
  <c r="CQ44" i="11"/>
  <c r="BU44" i="11"/>
  <c r="BV44" i="11" s="1"/>
  <c r="AS44" i="11"/>
  <c r="AT44" i="11" s="1"/>
  <c r="AK44" i="11"/>
  <c r="AL44" i="11" s="1"/>
  <c r="AG44" i="11"/>
  <c r="AH44" i="11" s="1"/>
  <c r="I44" i="11"/>
  <c r="J44" i="11" s="1"/>
  <c r="CQ43" i="11"/>
  <c r="AS43" i="11"/>
  <c r="AT43" i="11" s="1"/>
  <c r="AH43" i="11"/>
  <c r="AG43" i="11"/>
  <c r="I43" i="11"/>
  <c r="J43" i="11" s="1"/>
  <c r="CQ42" i="11"/>
  <c r="CK42" i="11" s="1"/>
  <c r="CL42" i="11" s="1"/>
  <c r="CH42" i="11"/>
  <c r="CG42" i="11"/>
  <c r="BY42" i="11"/>
  <c r="BZ42" i="11" s="1"/>
  <c r="BU42" i="11"/>
  <c r="BV42" i="11" s="1"/>
  <c r="AS42" i="11"/>
  <c r="AT42" i="11" s="1"/>
  <c r="AO42" i="11"/>
  <c r="AP42" i="11" s="1"/>
  <c r="AL42" i="11"/>
  <c r="AK42" i="11"/>
  <c r="AH42" i="11"/>
  <c r="AG42" i="11"/>
  <c r="Q42" i="11"/>
  <c r="R42" i="11"/>
  <c r="N42" i="11"/>
  <c r="M42" i="11"/>
  <c r="I42" i="11"/>
  <c r="J42" i="11" s="1"/>
  <c r="CQ41" i="11"/>
  <c r="AG41" i="11"/>
  <c r="AH41" i="11" s="1"/>
  <c r="CQ40" i="11"/>
  <c r="CL40" i="11"/>
  <c r="CK40" i="11"/>
  <c r="CG40" i="11"/>
  <c r="CH40" i="11" s="1"/>
  <c r="BY40" i="11"/>
  <c r="BZ40" i="11" s="1"/>
  <c r="AK40" i="11"/>
  <c r="AL40" i="11" s="1"/>
  <c r="AG40" i="11"/>
  <c r="AH40" i="11" s="1"/>
  <c r="M40" i="11"/>
  <c r="N40" i="11" s="1"/>
  <c r="CQ39" i="11"/>
  <c r="CG39" i="11"/>
  <c r="CH39" i="11" s="1"/>
  <c r="BU39" i="11"/>
  <c r="BV39" i="11" s="1"/>
  <c r="AO39" i="11"/>
  <c r="AP39" i="11" s="1"/>
  <c r="AG39" i="11"/>
  <c r="AH39" i="11" s="1"/>
  <c r="Q39" i="11"/>
  <c r="R39" i="11" s="1"/>
  <c r="M39" i="11"/>
  <c r="N39" i="11" s="1"/>
  <c r="CQ38" i="11"/>
  <c r="AG38" i="11"/>
  <c r="AH38" i="11" s="1"/>
  <c r="CQ37" i="11"/>
  <c r="CK37" i="11"/>
  <c r="CL37" i="11" s="1"/>
  <c r="BY37" i="11"/>
  <c r="BZ37" i="11" s="1"/>
  <c r="AK37" i="11"/>
  <c r="AL37" i="11" s="1"/>
  <c r="AG37" i="11"/>
  <c r="AH37" i="11" s="1"/>
  <c r="Q37" i="11"/>
  <c r="R37" i="11" s="1"/>
  <c r="M37" i="11"/>
  <c r="N37" i="11" s="1"/>
  <c r="CQ36" i="11"/>
  <c r="CK36" i="11" s="1"/>
  <c r="CL36" i="11" s="1"/>
  <c r="CH36" i="11"/>
  <c r="CG36" i="11"/>
  <c r="BY36" i="11"/>
  <c r="BZ36" i="11" s="1"/>
  <c r="BU36" i="11"/>
  <c r="BV36" i="11" s="1"/>
  <c r="AS36" i="11"/>
  <c r="AT36" i="11" s="1"/>
  <c r="AO36" i="11"/>
  <c r="AP36" i="11" s="1"/>
  <c r="AL36" i="11"/>
  <c r="AK36" i="11"/>
  <c r="AH36" i="11"/>
  <c r="AG36" i="11"/>
  <c r="Q36" i="11"/>
  <c r="R36" i="11" s="1"/>
  <c r="M36" i="11"/>
  <c r="N36" i="11" s="1"/>
  <c r="J36" i="11"/>
  <c r="I36" i="11"/>
  <c r="CQ35" i="11"/>
  <c r="CL35" i="11"/>
  <c r="CK35" i="11"/>
  <c r="CG35" i="11"/>
  <c r="CH35" i="11" s="1"/>
  <c r="BY35" i="11"/>
  <c r="BZ35" i="11" s="1"/>
  <c r="BU35" i="11"/>
  <c r="BV35" i="11" s="1"/>
  <c r="AT35" i="11"/>
  <c r="AS35" i="11"/>
  <c r="AP35" i="11"/>
  <c r="AO35" i="11"/>
  <c r="AL35" i="11"/>
  <c r="AK35" i="11"/>
  <c r="AH35" i="11"/>
  <c r="AG35" i="11"/>
  <c r="Q35" i="11"/>
  <c r="R35" i="11" s="1"/>
  <c r="N35" i="11"/>
  <c r="M35" i="11"/>
  <c r="J35" i="11"/>
  <c r="I35" i="11"/>
  <c r="CQ34" i="11"/>
  <c r="AK34" i="11"/>
  <c r="AL34" i="11" s="1"/>
  <c r="AH34" i="11"/>
  <c r="AG34" i="11"/>
  <c r="CQ33" i="11"/>
  <c r="AO33" i="11"/>
  <c r="AP33" i="11" s="1"/>
  <c r="AH33" i="11"/>
  <c r="AG33" i="11"/>
  <c r="I33" i="11"/>
  <c r="J33" i="11" s="1"/>
  <c r="CQ32" i="11"/>
  <c r="AG32" i="11"/>
  <c r="AH32" i="11" s="1"/>
  <c r="Q32" i="11"/>
  <c r="R32" i="11" s="1"/>
  <c r="I32" i="11"/>
  <c r="J32" i="11" s="1"/>
  <c r="CQ31" i="11"/>
  <c r="CL31" i="11"/>
  <c r="CK31" i="11"/>
  <c r="BY31" i="11"/>
  <c r="BZ31" i="11" s="1"/>
  <c r="BU31" i="11"/>
  <c r="BV31" i="11" s="1"/>
  <c r="AT31" i="11"/>
  <c r="AS31" i="11"/>
  <c r="AO31" i="11"/>
  <c r="AP31" i="11" s="1"/>
  <c r="AL31" i="11"/>
  <c r="AK31" i="11"/>
  <c r="AG31" i="11"/>
  <c r="AH31" i="11" s="1"/>
  <c r="Q31" i="11"/>
  <c r="R31" i="11" s="1"/>
  <c r="M31" i="11"/>
  <c r="N31" i="11" s="1"/>
  <c r="I31" i="11"/>
  <c r="J31" i="11" s="1"/>
  <c r="CQ30" i="11"/>
  <c r="BY30" i="11"/>
  <c r="BZ30" i="11" s="1"/>
  <c r="BU30" i="11"/>
  <c r="BV30" i="11" s="1"/>
  <c r="AS30" i="11"/>
  <c r="AT30" i="11" s="1"/>
  <c r="AO30" i="11"/>
  <c r="AP30" i="11" s="1"/>
  <c r="AL30" i="11"/>
  <c r="AK30" i="11"/>
  <c r="AH30" i="11"/>
  <c r="AG30" i="11"/>
  <c r="Q30" i="11"/>
  <c r="R30" i="11" s="1"/>
  <c r="N30" i="11"/>
  <c r="M30" i="11"/>
  <c r="I30" i="11"/>
  <c r="J30" i="11" s="1"/>
  <c r="CQ29" i="11"/>
  <c r="CK29" i="11" s="1"/>
  <c r="CL29" i="11" s="1"/>
  <c r="CH29" i="11"/>
  <c r="CG29" i="11"/>
  <c r="BY29" i="11"/>
  <c r="BZ29" i="11" s="1"/>
  <c r="BU29" i="11"/>
  <c r="BV29" i="11" s="1"/>
  <c r="AS29" i="11"/>
  <c r="AT29" i="11" s="1"/>
  <c r="AP29" i="11"/>
  <c r="AO29" i="11"/>
  <c r="AL29" i="11"/>
  <c r="AK29" i="11"/>
  <c r="AH29" i="11"/>
  <c r="AG29" i="11"/>
  <c r="Q29" i="11"/>
  <c r="R29" i="11" s="1"/>
  <c r="M29" i="11"/>
  <c r="N29" i="11" s="1"/>
  <c r="J29" i="11"/>
  <c r="I29" i="11"/>
  <c r="CQ28" i="11"/>
  <c r="CK28" i="11"/>
  <c r="CL28" i="11" s="1"/>
  <c r="CG28" i="11"/>
  <c r="CH28" i="11" s="1"/>
  <c r="BZ28" i="11"/>
  <c r="BY28" i="11"/>
  <c r="BU28" i="11"/>
  <c r="BV28" i="11" s="1"/>
  <c r="AS28" i="11"/>
  <c r="AT28" i="11" s="1"/>
  <c r="AP28" i="11"/>
  <c r="AO28" i="11"/>
  <c r="AL28" i="11"/>
  <c r="AK28" i="11"/>
  <c r="AG28" i="11"/>
  <c r="AH28" i="11" s="1"/>
  <c r="Q28" i="11"/>
  <c r="R28" i="11" s="1"/>
  <c r="N28" i="11"/>
  <c r="M28" i="11"/>
  <c r="J28" i="11"/>
  <c r="I28" i="11"/>
  <c r="CQ27" i="11"/>
  <c r="AG27" i="11"/>
  <c r="AH27" i="11" s="1"/>
  <c r="N27" i="11"/>
  <c r="CQ26" i="11"/>
  <c r="CK26" i="11"/>
  <c r="CL26" i="11" s="1"/>
  <c r="AG26" i="11"/>
  <c r="AH26" i="11" s="1"/>
  <c r="CQ25" i="11"/>
  <c r="CK25" i="11"/>
  <c r="CL25" i="11" s="1"/>
  <c r="CG25" i="11"/>
  <c r="CH25" i="11" s="1"/>
  <c r="BY25" i="11"/>
  <c r="BZ25" i="11" s="1"/>
  <c r="BU25" i="11"/>
  <c r="BV25" i="11" s="1"/>
  <c r="AS25" i="11"/>
  <c r="AT25" i="11" s="1"/>
  <c r="AO25" i="11"/>
  <c r="AP25" i="11" s="1"/>
  <c r="AL25" i="11"/>
  <c r="AK25" i="11"/>
  <c r="AH25" i="11"/>
  <c r="AG25" i="11"/>
  <c r="Q25" i="11"/>
  <c r="R25" i="11" s="1"/>
  <c r="M25" i="11"/>
  <c r="N25" i="11" s="1"/>
  <c r="I25" i="11"/>
  <c r="J25" i="11" s="1"/>
  <c r="CQ24" i="11"/>
  <c r="CK24" i="11"/>
  <c r="CL24" i="11" s="1"/>
  <c r="BU24" i="11"/>
  <c r="BV24" i="11" s="1"/>
  <c r="AT24" i="11"/>
  <c r="AS24" i="11"/>
  <c r="AO24" i="11"/>
  <c r="AP24" i="11" s="1"/>
  <c r="AH24" i="11"/>
  <c r="AG24" i="11"/>
  <c r="M24" i="11"/>
  <c r="N24" i="11" s="1"/>
  <c r="J24" i="11"/>
  <c r="I24" i="11"/>
  <c r="CQ23" i="11"/>
  <c r="BY23" i="11"/>
  <c r="BZ23" i="11" s="1"/>
  <c r="BU23" i="11"/>
  <c r="BV23" i="11" s="1"/>
  <c r="AH23" i="11"/>
  <c r="AG23" i="11"/>
  <c r="Q23" i="11"/>
  <c r="R23" i="11" s="1"/>
  <c r="I23" i="11"/>
  <c r="J23" i="11" s="1"/>
  <c r="CQ22" i="11"/>
  <c r="AK22" i="11" s="1"/>
  <c r="AL22" i="11" s="1"/>
  <c r="CL22" i="11"/>
  <c r="CK22" i="11"/>
  <c r="BU22" i="11"/>
  <c r="BV22" i="11" s="1"/>
  <c r="AS22" i="11"/>
  <c r="AT22" i="11" s="1"/>
  <c r="AO22" i="11"/>
  <c r="AP22" i="11" s="1"/>
  <c r="AG22" i="11"/>
  <c r="AH22" i="11" s="1"/>
  <c r="M22" i="11"/>
  <c r="N22" i="11" s="1"/>
  <c r="J22" i="11"/>
  <c r="I22" i="11"/>
  <c r="CQ21" i="11"/>
  <c r="CK21" i="11"/>
  <c r="CL21" i="11" s="1"/>
  <c r="AG21" i="11"/>
  <c r="AH21" i="11" s="1"/>
  <c r="M21" i="11"/>
  <c r="N21" i="11" s="1"/>
  <c r="I21" i="11"/>
  <c r="J21" i="11" s="1"/>
  <c r="CQ20" i="11"/>
  <c r="CK20" i="11"/>
  <c r="CL20" i="11" s="1"/>
  <c r="BU20" i="11"/>
  <c r="BV20" i="11" s="1"/>
  <c r="AS20" i="11"/>
  <c r="AT20" i="11" s="1"/>
  <c r="AO20" i="11"/>
  <c r="AP20" i="11" s="1"/>
  <c r="AK20" i="11"/>
  <c r="AL20" i="11" s="1"/>
  <c r="AH20" i="11"/>
  <c r="AG20" i="11"/>
  <c r="Q20" i="11"/>
  <c r="R20" i="11" s="1"/>
  <c r="M20" i="11"/>
  <c r="N20" i="11" s="1"/>
  <c r="J20" i="11"/>
  <c r="I20" i="11"/>
  <c r="CQ19" i="11"/>
  <c r="BY19" i="11"/>
  <c r="BZ19" i="11" s="1"/>
  <c r="BU19" i="11"/>
  <c r="BV19" i="11" s="1"/>
  <c r="AK19" i="11"/>
  <c r="AL19" i="11" s="1"/>
  <c r="AH19" i="11"/>
  <c r="AG19" i="11"/>
  <c r="Q19" i="11"/>
  <c r="R19" i="11" s="1"/>
  <c r="I19" i="11"/>
  <c r="J19" i="11" s="1"/>
  <c r="CQ18" i="11"/>
  <c r="CL18" i="11"/>
  <c r="CK18" i="11"/>
  <c r="CG18" i="11"/>
  <c r="CH18" i="11" s="1"/>
  <c r="BY18" i="11"/>
  <c r="BZ18" i="11" s="1"/>
  <c r="BV18" i="11"/>
  <c r="BU18" i="11"/>
  <c r="AT18" i="11"/>
  <c r="AS18" i="11"/>
  <c r="AP18" i="11"/>
  <c r="AO18" i="11"/>
  <c r="AL18" i="11"/>
  <c r="AK18" i="11"/>
  <c r="AH18" i="11"/>
  <c r="AG18" i="11"/>
  <c r="Q18" i="11"/>
  <c r="R18" i="11" s="1"/>
  <c r="N18" i="11"/>
  <c r="M18" i="11"/>
  <c r="J18" i="11"/>
  <c r="I18" i="11"/>
  <c r="CQ17" i="11"/>
  <c r="CK17" i="11"/>
  <c r="CL17" i="11" s="1"/>
  <c r="CG17" i="11"/>
  <c r="CH17" i="11" s="1"/>
  <c r="BZ17" i="11"/>
  <c r="BY17" i="11"/>
  <c r="BV17" i="11"/>
  <c r="BU17" i="11"/>
  <c r="AT17" i="11"/>
  <c r="AS17" i="11"/>
  <c r="AP17" i="11"/>
  <c r="AO17" i="11"/>
  <c r="AL17" i="11"/>
  <c r="AK17" i="11"/>
  <c r="AG17" i="11"/>
  <c r="AH17" i="11" s="1"/>
  <c r="Q17" i="11"/>
  <c r="R17" i="11" s="1"/>
  <c r="N17" i="11"/>
  <c r="M17" i="11"/>
  <c r="J17" i="11"/>
  <c r="I17" i="11"/>
  <c r="CQ16" i="11"/>
  <c r="BU16" i="11" s="1"/>
  <c r="CK16" i="11"/>
  <c r="CL16" i="11" s="1"/>
  <c r="CH16" i="11"/>
  <c r="CG16" i="11"/>
  <c r="BY16" i="11"/>
  <c r="BZ16" i="11" s="1"/>
  <c r="BV16" i="11"/>
  <c r="AK16" i="11"/>
  <c r="AL16" i="11" s="1"/>
  <c r="AH16" i="11"/>
  <c r="AG16" i="11"/>
  <c r="I16" i="11"/>
  <c r="J16" i="11" s="1"/>
  <c r="CQ15" i="11"/>
  <c r="CL15" i="11"/>
  <c r="CK15" i="11"/>
  <c r="CG15" i="11"/>
  <c r="CH15" i="11" s="1"/>
  <c r="AK15" i="11"/>
  <c r="AL15" i="11" s="1"/>
  <c r="AG15" i="11"/>
  <c r="AH15" i="11" s="1"/>
  <c r="M15" i="11"/>
  <c r="N15" i="11" s="1"/>
  <c r="CQ14" i="11"/>
  <c r="CK14" i="11"/>
  <c r="CL14" i="11" s="1"/>
  <c r="BU14" i="11"/>
  <c r="BV14" i="11" s="1"/>
  <c r="AS14" i="11"/>
  <c r="AT14" i="11" s="1"/>
  <c r="AP14" i="11"/>
  <c r="AO14" i="11"/>
  <c r="AK14" i="11"/>
  <c r="AL14" i="11" s="1"/>
  <c r="AH14" i="11"/>
  <c r="AG14" i="11"/>
  <c r="M14" i="11"/>
  <c r="N14" i="11" s="1"/>
  <c r="CQ13" i="11"/>
  <c r="AK13" i="11"/>
  <c r="AL13" i="11" s="1"/>
  <c r="AH13" i="11"/>
  <c r="AG13" i="11"/>
  <c r="I13" i="11"/>
  <c r="J13" i="11" s="1"/>
  <c r="CQ12" i="11"/>
  <c r="BY12" i="11"/>
  <c r="BZ12" i="11" s="1"/>
  <c r="AS12" i="11"/>
  <c r="AT12" i="11" s="1"/>
  <c r="AH12" i="11"/>
  <c r="AG12" i="11"/>
  <c r="Q12" i="11"/>
  <c r="R12" i="11" s="1"/>
  <c r="CQ11" i="11"/>
  <c r="CK11" i="11" s="1"/>
  <c r="CL11" i="11"/>
  <c r="CG11" i="11"/>
  <c r="CH11" i="11" s="1"/>
  <c r="BY11" i="11"/>
  <c r="BZ11" i="11" s="1"/>
  <c r="BU11" i="11"/>
  <c r="BV11" i="11" s="1"/>
  <c r="AT11" i="11"/>
  <c r="AS11" i="11"/>
  <c r="AO11" i="11"/>
  <c r="AP11" i="11" s="1"/>
  <c r="AL11" i="11"/>
  <c r="AK11" i="11"/>
  <c r="AH11" i="11"/>
  <c r="AG11" i="11"/>
  <c r="Q11" i="11"/>
  <c r="R11" i="11" s="1"/>
  <c r="M11" i="11"/>
  <c r="N11" i="11" s="1"/>
  <c r="J11" i="11"/>
  <c r="I11" i="11"/>
  <c r="CQ59" i="10"/>
  <c r="CK59" i="10"/>
  <c r="CL59" i="10" s="1"/>
  <c r="CG59" i="10"/>
  <c r="CH59" i="10" s="1"/>
  <c r="CC59" i="10"/>
  <c r="CD59" i="10" s="1"/>
  <c r="BZ59" i="10"/>
  <c r="BY59" i="10"/>
  <c r="BV59" i="10"/>
  <c r="BU59" i="10"/>
  <c r="BM59" i="10"/>
  <c r="BN59" i="10" s="1"/>
  <c r="BJ59" i="10"/>
  <c r="BI59" i="10"/>
  <c r="BE59" i="10"/>
  <c r="BF59" i="10" s="1"/>
  <c r="BA59" i="10"/>
  <c r="BB59" i="10" s="1"/>
  <c r="AW59" i="10"/>
  <c r="AX59" i="10" s="1"/>
  <c r="AS59" i="10"/>
  <c r="AT59" i="10" s="1"/>
  <c r="AK59" i="10"/>
  <c r="AL59" i="10" s="1"/>
  <c r="AH59" i="10"/>
  <c r="AG59" i="10"/>
  <c r="AC59" i="10"/>
  <c r="AD59" i="10" s="1"/>
  <c r="Y59" i="10"/>
  <c r="Z59" i="10" s="1"/>
  <c r="U59" i="10"/>
  <c r="V59" i="10" s="1"/>
  <c r="Q59" i="10"/>
  <c r="R59" i="10" s="1"/>
  <c r="I59" i="10"/>
  <c r="J59" i="10" s="1"/>
  <c r="CQ58" i="10"/>
  <c r="CK58" i="10"/>
  <c r="CL58" i="10" s="1"/>
  <c r="CG58" i="10"/>
  <c r="CH58" i="10" s="1"/>
  <c r="BY58" i="10"/>
  <c r="BZ58" i="10" s="1"/>
  <c r="BI58" i="10"/>
  <c r="BJ58" i="10" s="1"/>
  <c r="AG58" i="10"/>
  <c r="AH58" i="10" s="1"/>
  <c r="AD58" i="10"/>
  <c r="AC58" i="10"/>
  <c r="Y58" i="10"/>
  <c r="Z58" i="10" s="1"/>
  <c r="CQ57" i="10"/>
  <c r="CG57" i="10"/>
  <c r="CH57" i="10" s="1"/>
  <c r="AH57" i="10"/>
  <c r="AG57" i="10"/>
  <c r="AC57" i="10"/>
  <c r="AD57" i="10" s="1"/>
  <c r="Z57" i="10"/>
  <c r="Y57" i="10"/>
  <c r="Q57" i="10"/>
  <c r="R57" i="10" s="1"/>
  <c r="CQ56" i="10"/>
  <c r="CL56" i="10"/>
  <c r="CK56" i="10"/>
  <c r="CG56" i="10"/>
  <c r="CH56" i="10" s="1"/>
  <c r="BY56" i="10"/>
  <c r="BZ56" i="10" s="1"/>
  <c r="BV56" i="10"/>
  <c r="BU56" i="10"/>
  <c r="BQ56" i="10"/>
  <c r="BR56" i="10" s="1"/>
  <c r="BM56" i="10"/>
  <c r="BN56" i="10" s="1"/>
  <c r="BI56" i="10"/>
  <c r="BJ56" i="10" s="1"/>
  <c r="BF56" i="10"/>
  <c r="BE56" i="10"/>
  <c r="AW56" i="10"/>
  <c r="AX56" i="10" s="1"/>
  <c r="AT56" i="10"/>
  <c r="AS56" i="10"/>
  <c r="AO56" i="10"/>
  <c r="AP56" i="10" s="1"/>
  <c r="AK56" i="10"/>
  <c r="AL56" i="10" s="1"/>
  <c r="AG56" i="10"/>
  <c r="AH56" i="10" s="1"/>
  <c r="AC56" i="10"/>
  <c r="AD56" i="10" s="1"/>
  <c r="Z56" i="10"/>
  <c r="Y56" i="10"/>
  <c r="U56" i="10"/>
  <c r="V56" i="10" s="1"/>
  <c r="R56" i="10"/>
  <c r="Q56" i="10"/>
  <c r="M56" i="10"/>
  <c r="N56" i="10" s="1"/>
  <c r="J56" i="10"/>
  <c r="I56" i="10"/>
  <c r="CQ55" i="10"/>
  <c r="BY55" i="10"/>
  <c r="BZ55" i="10" s="1"/>
  <c r="BU55" i="10"/>
  <c r="BV55" i="10" s="1"/>
  <c r="BQ55" i="10"/>
  <c r="BR55" i="10" s="1"/>
  <c r="BM55" i="10"/>
  <c r="BN55" i="10" s="1"/>
  <c r="AL55" i="10"/>
  <c r="AK55" i="10"/>
  <c r="AG55" i="10"/>
  <c r="AH55" i="10" s="1"/>
  <c r="AD55" i="10"/>
  <c r="AC55" i="10"/>
  <c r="Z55" i="10"/>
  <c r="Y55" i="10"/>
  <c r="U55" i="10"/>
  <c r="V55" i="10" s="1"/>
  <c r="I55" i="10"/>
  <c r="J55" i="10" s="1"/>
  <c r="CQ54" i="10"/>
  <c r="CG54" i="10"/>
  <c r="CH54" i="10" s="1"/>
  <c r="BU54" i="10"/>
  <c r="BV54" i="10" s="1"/>
  <c r="BQ54" i="10"/>
  <c r="BR54" i="10" s="1"/>
  <c r="BE54" i="10"/>
  <c r="BF54" i="10" s="1"/>
  <c r="BA54" i="10"/>
  <c r="BB54" i="10" s="1"/>
  <c r="AW54" i="10"/>
  <c r="AX54" i="10" s="1"/>
  <c r="AP54" i="10"/>
  <c r="AO54" i="10"/>
  <c r="AK54" i="10"/>
  <c r="AL54" i="10" s="1"/>
  <c r="AH54" i="10"/>
  <c r="AG54" i="10"/>
  <c r="AC54" i="10"/>
  <c r="AD54" i="10" s="1"/>
  <c r="Y54" i="10"/>
  <c r="Z54" i="10" s="1"/>
  <c r="U54" i="10"/>
  <c r="V54" i="10" s="1"/>
  <c r="CQ53" i="10"/>
  <c r="CK53" i="10"/>
  <c r="CL53" i="10" s="1"/>
  <c r="CG53" i="10"/>
  <c r="CH53" i="10" s="1"/>
  <c r="BZ53" i="10"/>
  <c r="BY53" i="10"/>
  <c r="BU53" i="10"/>
  <c r="BV53" i="10" s="1"/>
  <c r="BQ53" i="10"/>
  <c r="BR53" i="10" s="1"/>
  <c r="BN53" i="10"/>
  <c r="BM53" i="10"/>
  <c r="BJ53" i="10"/>
  <c r="BI53" i="10"/>
  <c r="BE53" i="10"/>
  <c r="BF53" i="10" s="1"/>
  <c r="BA53" i="10"/>
  <c r="BB53" i="10" s="1"/>
  <c r="AW53" i="10"/>
  <c r="AX53" i="10" s="1"/>
  <c r="AT53" i="10"/>
  <c r="AS53" i="10"/>
  <c r="AO53" i="10"/>
  <c r="AP53" i="10" s="1"/>
  <c r="AL53" i="10"/>
  <c r="AK53" i="10"/>
  <c r="AG53" i="10"/>
  <c r="AH53" i="10" s="1"/>
  <c r="AC53" i="10"/>
  <c r="AD53" i="10" s="1"/>
  <c r="Y53" i="10"/>
  <c r="Z53" i="10" s="1"/>
  <c r="U53" i="10"/>
  <c r="V53" i="10" s="1"/>
  <c r="Q53" i="10"/>
  <c r="R53" i="10" s="1"/>
  <c r="M53" i="10"/>
  <c r="N53" i="10" s="1"/>
  <c r="J53" i="10"/>
  <c r="I53" i="10"/>
  <c r="CQ52" i="10"/>
  <c r="CG52" i="10"/>
  <c r="CH52" i="10" s="1"/>
  <c r="BY52" i="10"/>
  <c r="BZ52" i="10" s="1"/>
  <c r="AS52" i="10"/>
  <c r="AT52" i="10" s="1"/>
  <c r="AG52" i="10"/>
  <c r="AH52" i="10" s="1"/>
  <c r="AC52" i="10"/>
  <c r="AD52" i="10" s="1"/>
  <c r="Y52" i="10"/>
  <c r="Z52" i="10" s="1"/>
  <c r="Q52" i="10"/>
  <c r="R52" i="10" s="1"/>
  <c r="CQ51" i="10"/>
  <c r="CG51" i="10" s="1"/>
  <c r="CH51" i="10" s="1"/>
  <c r="CK51" i="10"/>
  <c r="CL51" i="10" s="1"/>
  <c r="BY51" i="10"/>
  <c r="BZ51" i="10" s="1"/>
  <c r="AO51" i="10"/>
  <c r="AP51" i="10" s="1"/>
  <c r="AK51" i="10"/>
  <c r="AL51" i="10" s="1"/>
  <c r="AG51" i="10"/>
  <c r="AH51" i="10" s="1"/>
  <c r="AD51" i="10"/>
  <c r="AC51" i="10"/>
  <c r="Y51" i="10"/>
  <c r="Z51" i="10" s="1"/>
  <c r="N51" i="10"/>
  <c r="M51" i="10"/>
  <c r="I51" i="10"/>
  <c r="J51" i="10" s="1"/>
  <c r="CQ50" i="10"/>
  <c r="CK50" i="10"/>
  <c r="CL50" i="10" s="1"/>
  <c r="AG50" i="10"/>
  <c r="AH50" i="10" s="1"/>
  <c r="AC50" i="10"/>
  <c r="AD50" i="10" s="1"/>
  <c r="Y50" i="10"/>
  <c r="Z50" i="10" s="1"/>
  <c r="CQ49" i="10"/>
  <c r="U49" i="10" s="1"/>
  <c r="V49" i="10" s="1"/>
  <c r="AH49" i="10"/>
  <c r="AG49" i="10"/>
  <c r="AC49" i="10"/>
  <c r="AD49" i="10" s="1"/>
  <c r="Z49" i="10"/>
  <c r="Y49" i="10"/>
  <c r="Q49" i="10"/>
  <c r="R49" i="10" s="1"/>
  <c r="M49" i="10"/>
  <c r="N49" i="10" s="1"/>
  <c r="CQ48" i="10"/>
  <c r="CK48" i="10"/>
  <c r="CL48" i="10" s="1"/>
  <c r="CH48" i="10"/>
  <c r="CG48" i="10"/>
  <c r="BZ48" i="10"/>
  <c r="BY48" i="10"/>
  <c r="BU48" i="10"/>
  <c r="BV48" i="10" s="1"/>
  <c r="AS48" i="10"/>
  <c r="AT48" i="10" s="1"/>
  <c r="AO48" i="10"/>
  <c r="AP48" i="10" s="1"/>
  <c r="AH48" i="10"/>
  <c r="AG48" i="10"/>
  <c r="AC48" i="10"/>
  <c r="AD48" i="10" s="1"/>
  <c r="Y48" i="10"/>
  <c r="Z48" i="10" s="1"/>
  <c r="U48" i="10"/>
  <c r="V48" i="10" s="1"/>
  <c r="Q48" i="10"/>
  <c r="R48" i="10" s="1"/>
  <c r="M48" i="10"/>
  <c r="N48" i="10" s="1"/>
  <c r="CQ47" i="10"/>
  <c r="CG47" i="10"/>
  <c r="CH47" i="10" s="1"/>
  <c r="BY47" i="10"/>
  <c r="BZ47" i="10" s="1"/>
  <c r="BU47" i="10"/>
  <c r="BV47" i="10" s="1"/>
  <c r="AS47" i="10"/>
  <c r="AT47" i="10" s="1"/>
  <c r="AO47" i="10"/>
  <c r="AP47" i="10" s="1"/>
  <c r="AG47" i="10"/>
  <c r="AH47" i="10" s="1"/>
  <c r="AD47" i="10"/>
  <c r="AC47" i="10"/>
  <c r="Y47" i="10"/>
  <c r="Z47" i="10" s="1"/>
  <c r="U47" i="10"/>
  <c r="V47" i="10" s="1"/>
  <c r="Q47" i="10"/>
  <c r="R47" i="10" s="1"/>
  <c r="M47" i="10"/>
  <c r="N47" i="10" s="1"/>
  <c r="I47" i="10"/>
  <c r="J47" i="10" s="1"/>
  <c r="CQ46" i="10"/>
  <c r="CL46" i="10"/>
  <c r="CK46" i="10"/>
  <c r="CG46" i="10"/>
  <c r="CH46" i="10" s="1"/>
  <c r="BY46" i="10"/>
  <c r="BZ46" i="10" s="1"/>
  <c r="BV46" i="10"/>
  <c r="BU46" i="10"/>
  <c r="AS46" i="10"/>
  <c r="AT46" i="10" s="1"/>
  <c r="AP46" i="10"/>
  <c r="AO46" i="10"/>
  <c r="AK46" i="10"/>
  <c r="AL46" i="10" s="1"/>
  <c r="AG46" i="10"/>
  <c r="AH46" i="10" s="1"/>
  <c r="AC46" i="10"/>
  <c r="AD46" i="10" s="1"/>
  <c r="Y46" i="10"/>
  <c r="Z46" i="10" s="1"/>
  <c r="U46" i="10"/>
  <c r="V46" i="10" s="1"/>
  <c r="Q46" i="10"/>
  <c r="R46" i="10" s="1"/>
  <c r="M46" i="10"/>
  <c r="N46" i="10" s="1"/>
  <c r="I46" i="10"/>
  <c r="J46" i="10" s="1"/>
  <c r="CQ45" i="10"/>
  <c r="CK45" i="10"/>
  <c r="CL45" i="10" s="1"/>
  <c r="CG45" i="10"/>
  <c r="CH45" i="10" s="1"/>
  <c r="BY45" i="10"/>
  <c r="BZ45" i="10" s="1"/>
  <c r="BV45" i="10"/>
  <c r="BU45" i="10"/>
  <c r="AS45" i="10"/>
  <c r="AT45" i="10" s="1"/>
  <c r="AO45" i="10"/>
  <c r="AP45" i="10" s="1"/>
  <c r="AL45" i="10"/>
  <c r="AK45" i="10"/>
  <c r="AH45" i="10"/>
  <c r="AG45" i="10"/>
  <c r="AC45" i="10"/>
  <c r="AD45" i="10" s="1"/>
  <c r="Y45" i="10"/>
  <c r="Z45" i="10" s="1"/>
  <c r="U45" i="10"/>
  <c r="V45" i="10" s="1"/>
  <c r="R45" i="10"/>
  <c r="Q45" i="10"/>
  <c r="N45" i="10"/>
  <c r="M45" i="10"/>
  <c r="J45" i="10"/>
  <c r="I45" i="10"/>
  <c r="CQ44" i="10"/>
  <c r="CG44" i="10"/>
  <c r="CH44" i="10" s="1"/>
  <c r="BY44" i="10"/>
  <c r="BZ44" i="10" s="1"/>
  <c r="BV44" i="10"/>
  <c r="BU44" i="10"/>
  <c r="AT44" i="10"/>
  <c r="AS44" i="10"/>
  <c r="AP44" i="10"/>
  <c r="AO44" i="10"/>
  <c r="AL44" i="10"/>
  <c r="AK44" i="10"/>
  <c r="AG44" i="10"/>
  <c r="AH44" i="10" s="1"/>
  <c r="Y44" i="10"/>
  <c r="Z44" i="10" s="1"/>
  <c r="Q44" i="10"/>
  <c r="R44" i="10" s="1"/>
  <c r="N44" i="10"/>
  <c r="M44" i="10"/>
  <c r="I44" i="10"/>
  <c r="J44" i="10" s="1"/>
  <c r="CQ43" i="10"/>
  <c r="AG43" i="10"/>
  <c r="AH43" i="10" s="1"/>
  <c r="AC43" i="10"/>
  <c r="AD43" i="10" s="1"/>
  <c r="Y43" i="10"/>
  <c r="Z43" i="10" s="1"/>
  <c r="U43" i="10"/>
  <c r="V43" i="10" s="1"/>
  <c r="M43" i="10"/>
  <c r="N43" i="10" s="1"/>
  <c r="I43" i="10"/>
  <c r="J43" i="10" s="1"/>
  <c r="CQ42" i="10"/>
  <c r="CK42" i="10"/>
  <c r="CL42" i="10" s="1"/>
  <c r="BU42" i="10"/>
  <c r="BV42" i="10" s="1"/>
  <c r="AS42" i="10"/>
  <c r="AT42" i="10" s="1"/>
  <c r="AO42" i="10"/>
  <c r="AP42" i="10" s="1"/>
  <c r="AL42" i="10"/>
  <c r="AK42" i="10"/>
  <c r="AH42" i="10"/>
  <c r="AG42" i="10"/>
  <c r="AC42" i="10"/>
  <c r="AD42" i="10" s="1"/>
  <c r="Z42" i="10"/>
  <c r="Y42" i="10"/>
  <c r="U42" i="10"/>
  <c r="V42" i="10" s="1"/>
  <c r="N42" i="10"/>
  <c r="M42" i="10"/>
  <c r="I42" i="10"/>
  <c r="J42" i="10" s="1"/>
  <c r="CQ41" i="10"/>
  <c r="CK41" i="10" s="1"/>
  <c r="CL41" i="10"/>
  <c r="BU41" i="10"/>
  <c r="BV41" i="10" s="1"/>
  <c r="AG41" i="10"/>
  <c r="AH41" i="10" s="1"/>
  <c r="AC41" i="10"/>
  <c r="AD41" i="10" s="1"/>
  <c r="Y41" i="10"/>
  <c r="Z41" i="10" s="1"/>
  <c r="M41" i="10"/>
  <c r="N41" i="10" s="1"/>
  <c r="CQ40" i="10"/>
  <c r="CK40" i="10"/>
  <c r="CL40" i="10" s="1"/>
  <c r="BY40" i="10"/>
  <c r="BZ40" i="10" s="1"/>
  <c r="BU40" i="10"/>
  <c r="BV40" i="10" s="1"/>
  <c r="AO40" i="10"/>
  <c r="AP40" i="10" s="1"/>
  <c r="AK40" i="10"/>
  <c r="AL40" i="10" s="1"/>
  <c r="AH40" i="10"/>
  <c r="AG40" i="10"/>
  <c r="AC40" i="10"/>
  <c r="AD40" i="10" s="1"/>
  <c r="Z40" i="10"/>
  <c r="Y40" i="10"/>
  <c r="U40" i="10"/>
  <c r="V40" i="10" s="1"/>
  <c r="M40" i="10"/>
  <c r="N40" i="10" s="1"/>
  <c r="I40" i="10"/>
  <c r="J40" i="10" s="1"/>
  <c r="CQ39" i="10"/>
  <c r="BU39" i="10"/>
  <c r="BV39" i="10" s="1"/>
  <c r="AO39" i="10"/>
  <c r="AP39" i="10" s="1"/>
  <c r="AK39" i="10"/>
  <c r="AL39" i="10" s="1"/>
  <c r="AG39" i="10"/>
  <c r="AH39" i="10" s="1"/>
  <c r="AD39" i="10"/>
  <c r="AC39" i="10"/>
  <c r="Z39" i="10"/>
  <c r="Y39" i="10"/>
  <c r="M39" i="10"/>
  <c r="N39" i="10" s="1"/>
  <c r="CQ38" i="10"/>
  <c r="CG38" i="10" s="1"/>
  <c r="CH38" i="10" s="1"/>
  <c r="AO38" i="10"/>
  <c r="AP38" i="10" s="1"/>
  <c r="AH38" i="10"/>
  <c r="AG38" i="10"/>
  <c r="AC38" i="10"/>
  <c r="AD38" i="10" s="1"/>
  <c r="Z38" i="10"/>
  <c r="Y38" i="10"/>
  <c r="CQ37" i="10"/>
  <c r="CL37" i="10"/>
  <c r="CK37" i="10"/>
  <c r="CH37" i="10"/>
  <c r="CG37" i="10"/>
  <c r="BZ37" i="10"/>
  <c r="BY37" i="10"/>
  <c r="BU37" i="10"/>
  <c r="BV37" i="10" s="1"/>
  <c r="AS37" i="10"/>
  <c r="AT37" i="10" s="1"/>
  <c r="AP37" i="10"/>
  <c r="AO37" i="10"/>
  <c r="AL37" i="10"/>
  <c r="AK37" i="10"/>
  <c r="AH37" i="10"/>
  <c r="AG37" i="10"/>
  <c r="AD37" i="10"/>
  <c r="AC37" i="10"/>
  <c r="Z37" i="10"/>
  <c r="Y37" i="10"/>
  <c r="V37" i="10"/>
  <c r="U37" i="10"/>
  <c r="Q37" i="10"/>
  <c r="R37" i="10" s="1"/>
  <c r="N37" i="10"/>
  <c r="M37" i="10"/>
  <c r="I37" i="10"/>
  <c r="J37" i="10"/>
  <c r="CQ36" i="10"/>
  <c r="CK36" i="10" s="1"/>
  <c r="CL36" i="10" s="1"/>
  <c r="CG36" i="10"/>
  <c r="CH36" i="10" s="1"/>
  <c r="BY36" i="10"/>
  <c r="BZ36" i="10" s="1"/>
  <c r="BU36" i="10"/>
  <c r="BV36" i="10" s="1"/>
  <c r="AS36" i="10"/>
  <c r="AT36" i="10" s="1"/>
  <c r="AK36" i="10"/>
  <c r="AL36" i="10" s="1"/>
  <c r="AG36" i="10"/>
  <c r="AH36" i="10" s="1"/>
  <c r="AC36" i="10"/>
  <c r="AD36" i="10" s="1"/>
  <c r="Z36" i="10"/>
  <c r="Y36" i="10"/>
  <c r="U36" i="10"/>
  <c r="V36" i="10" s="1"/>
  <c r="Q36" i="10"/>
  <c r="R36" i="10" s="1"/>
  <c r="M36" i="10"/>
  <c r="N36" i="10" s="1"/>
  <c r="I36" i="10"/>
  <c r="J36" i="10" s="1"/>
  <c r="CQ35" i="10"/>
  <c r="BY35" i="10"/>
  <c r="BZ35" i="10" s="1"/>
  <c r="BU35" i="10"/>
  <c r="BV35" i="10" s="1"/>
  <c r="AS35" i="10"/>
  <c r="AT35" i="10" s="1"/>
  <c r="AO35" i="10"/>
  <c r="AP35" i="10" s="1"/>
  <c r="AL35" i="10"/>
  <c r="AK35" i="10"/>
  <c r="AG35" i="10"/>
  <c r="AH35" i="10" s="1"/>
  <c r="AD35" i="10"/>
  <c r="AC35" i="10"/>
  <c r="Z35" i="10"/>
  <c r="Y35" i="10"/>
  <c r="M35" i="10"/>
  <c r="N35" i="10" s="1"/>
  <c r="J35" i="10"/>
  <c r="I35" i="10"/>
  <c r="CQ34" i="10"/>
  <c r="CK34" i="10"/>
  <c r="CL34" i="10" s="1"/>
  <c r="AH34" i="10"/>
  <c r="AG34" i="10"/>
  <c r="AC34" i="10"/>
  <c r="AD34" i="10" s="1"/>
  <c r="Z34" i="10"/>
  <c r="Y34" i="10"/>
  <c r="CQ33" i="10"/>
  <c r="CK33" i="10" s="1"/>
  <c r="CL33" i="10" s="1"/>
  <c r="BY33" i="10"/>
  <c r="BZ33" i="10" s="1"/>
  <c r="AO33" i="10"/>
  <c r="AP33" i="10" s="1"/>
  <c r="AH33" i="10"/>
  <c r="AG33" i="10"/>
  <c r="AC33" i="10"/>
  <c r="AD33" i="10" s="1"/>
  <c r="Y33" i="10"/>
  <c r="Z33" i="10" s="1"/>
  <c r="CQ32" i="10"/>
  <c r="BY32" i="10"/>
  <c r="BZ32" i="10" s="1"/>
  <c r="AO32" i="10"/>
  <c r="AP32" i="10" s="1"/>
  <c r="AL32" i="10"/>
  <c r="AK32" i="10"/>
  <c r="AG32" i="10"/>
  <c r="AH32" i="10" s="1"/>
  <c r="AC32" i="10"/>
  <c r="AD32" i="10" s="1"/>
  <c r="Z32" i="10"/>
  <c r="Y32" i="10"/>
  <c r="I32" i="10"/>
  <c r="J32" i="10" s="1"/>
  <c r="CQ31" i="10"/>
  <c r="CK31" i="10"/>
  <c r="CL31" i="10" s="1"/>
  <c r="CG31" i="10"/>
  <c r="CH31" i="10" s="1"/>
  <c r="AS31" i="10"/>
  <c r="AT31" i="10" s="1"/>
  <c r="AO31" i="10"/>
  <c r="AP31" i="10" s="1"/>
  <c r="AG31" i="10"/>
  <c r="AH31" i="10" s="1"/>
  <c r="AD31" i="10"/>
  <c r="AC31" i="10"/>
  <c r="Y31" i="10"/>
  <c r="Z31" i="10" s="1"/>
  <c r="M31" i="10"/>
  <c r="N31" i="10" s="1"/>
  <c r="CQ30" i="10"/>
  <c r="CG30" i="10"/>
  <c r="CH30" i="10" s="1"/>
  <c r="AO30" i="10"/>
  <c r="AP30" i="10" s="1"/>
  <c r="AK30" i="10"/>
  <c r="AL30" i="10" s="1"/>
  <c r="AG30" i="10"/>
  <c r="AH30" i="10" s="1"/>
  <c r="AC30" i="10"/>
  <c r="AD30" i="10" s="1"/>
  <c r="Z30" i="10"/>
  <c r="Y30" i="10"/>
  <c r="CQ29" i="10"/>
  <c r="CK29" i="10"/>
  <c r="CL29" i="10" s="1"/>
  <c r="CG29" i="10"/>
  <c r="CH29" i="10" s="1"/>
  <c r="BY29" i="10"/>
  <c r="BZ29" i="10" s="1"/>
  <c r="AS29" i="10"/>
  <c r="AT29" i="10" s="1"/>
  <c r="AG29" i="10"/>
  <c r="AH29" i="10" s="1"/>
  <c r="AD29" i="10"/>
  <c r="AC29" i="10"/>
  <c r="Y29" i="10"/>
  <c r="Z29" i="10" s="1"/>
  <c r="U29" i="10"/>
  <c r="V29" i="10" s="1"/>
  <c r="Q29" i="10"/>
  <c r="R29" i="10" s="1"/>
  <c r="I29" i="10"/>
  <c r="J29" i="10" s="1"/>
  <c r="CQ28" i="10"/>
  <c r="CH28" i="10"/>
  <c r="CG28" i="10"/>
  <c r="BY28" i="10"/>
  <c r="BZ28" i="10" s="1"/>
  <c r="AO28" i="10"/>
  <c r="AP28" i="10" s="1"/>
  <c r="AK28" i="10"/>
  <c r="AL28" i="10" s="1"/>
  <c r="AG28" i="10"/>
  <c r="AH28" i="10" s="1"/>
  <c r="AD28" i="10"/>
  <c r="AC28" i="10"/>
  <c r="Z28" i="10"/>
  <c r="Y28" i="10"/>
  <c r="I28" i="10"/>
  <c r="J28" i="10" s="1"/>
  <c r="CQ27" i="10"/>
  <c r="CG27" i="10" s="1"/>
  <c r="CH27" i="10" s="1"/>
  <c r="CK27" i="10"/>
  <c r="CL27" i="10" s="1"/>
  <c r="AH27" i="10"/>
  <c r="AG27" i="10"/>
  <c r="AC27" i="10"/>
  <c r="AD27" i="10" s="1"/>
  <c r="Y27" i="10"/>
  <c r="Z27" i="10" s="1"/>
  <c r="N27" i="10"/>
  <c r="CQ26" i="10"/>
  <c r="CK26" i="10"/>
  <c r="CL26" i="10" s="1"/>
  <c r="CH26" i="10"/>
  <c r="CG26" i="10"/>
  <c r="BU26" i="10"/>
  <c r="BV26" i="10" s="1"/>
  <c r="AS26" i="10"/>
  <c r="AT26" i="10" s="1"/>
  <c r="AP26" i="10"/>
  <c r="AO26" i="10"/>
  <c r="AL26" i="10"/>
  <c r="AK26" i="10"/>
  <c r="AG26" i="10"/>
  <c r="AH26" i="10" s="1"/>
  <c r="AD26" i="10"/>
  <c r="AC26" i="10"/>
  <c r="Y26" i="10"/>
  <c r="Z26" i="10" s="1"/>
  <c r="Q26" i="10"/>
  <c r="R26" i="10" s="1"/>
  <c r="N26" i="10"/>
  <c r="M26" i="10"/>
  <c r="I26" i="10"/>
  <c r="J26" i="10" s="1"/>
  <c r="CQ25" i="10"/>
  <c r="CG25" i="10" s="1"/>
  <c r="CK25" i="10"/>
  <c r="CL25" i="10" s="1"/>
  <c r="CH25" i="10"/>
  <c r="BY25" i="10"/>
  <c r="BZ25" i="10" s="1"/>
  <c r="BU25" i="10"/>
  <c r="BV25" i="10" s="1"/>
  <c r="AS25" i="10"/>
  <c r="AT25" i="10" s="1"/>
  <c r="AO25" i="10"/>
  <c r="AP25" i="10" s="1"/>
  <c r="AK25" i="10"/>
  <c r="AL25" i="10" s="1"/>
  <c r="AG25" i="10"/>
  <c r="AH25" i="10" s="1"/>
  <c r="AD25" i="10"/>
  <c r="AC25" i="10"/>
  <c r="Y25" i="10"/>
  <c r="Z25" i="10" s="1"/>
  <c r="V25" i="10"/>
  <c r="U25" i="10"/>
  <c r="Q25" i="10"/>
  <c r="R25" i="10" s="1"/>
  <c r="M25" i="10"/>
  <c r="N25" i="10" s="1"/>
  <c r="I25" i="10"/>
  <c r="J25" i="10" s="1"/>
  <c r="CQ24" i="10"/>
  <c r="CK24" i="10"/>
  <c r="CL24" i="10" s="1"/>
  <c r="AG24" i="10"/>
  <c r="AH24" i="10" s="1"/>
  <c r="AD24" i="10"/>
  <c r="AC24" i="10"/>
  <c r="Y24" i="10"/>
  <c r="Z24" i="10" s="1"/>
  <c r="Q24" i="10"/>
  <c r="R24" i="10" s="1"/>
  <c r="M24" i="10"/>
  <c r="N24" i="10" s="1"/>
  <c r="CQ23" i="10"/>
  <c r="CG23" i="10"/>
  <c r="CH23" i="10" s="1"/>
  <c r="BU23" i="10"/>
  <c r="BV23" i="10" s="1"/>
  <c r="AO23" i="10"/>
  <c r="AP23" i="10" s="1"/>
  <c r="AG23" i="10"/>
  <c r="AH23" i="10" s="1"/>
  <c r="AC23" i="10"/>
  <c r="AD23" i="10" s="1"/>
  <c r="Z23" i="10"/>
  <c r="Y23" i="10"/>
  <c r="U23" i="10"/>
  <c r="V23" i="10" s="1"/>
  <c r="M23" i="10"/>
  <c r="N23" i="10" s="1"/>
  <c r="CQ22" i="10"/>
  <c r="CK22" i="10"/>
  <c r="CL22" i="10" s="1"/>
  <c r="CG22" i="10"/>
  <c r="CH22" i="10" s="1"/>
  <c r="BZ22" i="10"/>
  <c r="BY22" i="10"/>
  <c r="BV22" i="10"/>
  <c r="BU22" i="10"/>
  <c r="AT22" i="10"/>
  <c r="AS22" i="10"/>
  <c r="AO22" i="10"/>
  <c r="AP22" i="10" s="1"/>
  <c r="AK22" i="10"/>
  <c r="AL22" i="10" s="1"/>
  <c r="AG22" i="10"/>
  <c r="AH22" i="10" s="1"/>
  <c r="AD22" i="10"/>
  <c r="AC22" i="10"/>
  <c r="Y22" i="10"/>
  <c r="Z22" i="10" s="1"/>
  <c r="U22" i="10"/>
  <c r="V22" i="10" s="1"/>
  <c r="Q22" i="10"/>
  <c r="R22" i="10" s="1"/>
  <c r="N22" i="10"/>
  <c r="M22" i="10"/>
  <c r="I22" i="10"/>
  <c r="J22" i="10" s="1"/>
  <c r="CQ21" i="10"/>
  <c r="CL21" i="10"/>
  <c r="CK21" i="10"/>
  <c r="CG21" i="10"/>
  <c r="CH21" i="10" s="1"/>
  <c r="BY21" i="10"/>
  <c r="BZ21" i="10" s="1"/>
  <c r="BV21" i="10"/>
  <c r="BU21" i="10"/>
  <c r="AS21" i="10"/>
  <c r="AT21" i="10" s="1"/>
  <c r="AL21" i="10"/>
  <c r="AK21" i="10"/>
  <c r="AG21" i="10"/>
  <c r="AH21" i="10" s="1"/>
  <c r="AD21" i="10"/>
  <c r="AC21" i="10"/>
  <c r="Y21" i="10"/>
  <c r="Z21" i="10" s="1"/>
  <c r="V21" i="10"/>
  <c r="U21" i="10"/>
  <c r="Q21" i="10"/>
  <c r="R21" i="10" s="1"/>
  <c r="I21" i="10"/>
  <c r="J21" i="10" s="1"/>
  <c r="CQ20" i="10"/>
  <c r="CK20" i="10"/>
  <c r="CL20" i="10" s="1"/>
  <c r="CG20" i="10"/>
  <c r="CH20" i="10" s="1"/>
  <c r="BY20" i="10"/>
  <c r="BZ20" i="10" s="1"/>
  <c r="BV20" i="10"/>
  <c r="BU20" i="10"/>
  <c r="AT20" i="10"/>
  <c r="AS20" i="10"/>
  <c r="AO20" i="10"/>
  <c r="AP20" i="10" s="1"/>
  <c r="AL20" i="10"/>
  <c r="AK20" i="10"/>
  <c r="AG20" i="10"/>
  <c r="AH20" i="10" s="1"/>
  <c r="AC20" i="10"/>
  <c r="AD20" i="10" s="1"/>
  <c r="Y20" i="10"/>
  <c r="Z20" i="10" s="1"/>
  <c r="V20" i="10"/>
  <c r="U20" i="10"/>
  <c r="Q20" i="10"/>
  <c r="R20" i="10" s="1"/>
  <c r="M20" i="10"/>
  <c r="N20" i="10" s="1"/>
  <c r="J20" i="10"/>
  <c r="I20" i="10"/>
  <c r="CQ19" i="10"/>
  <c r="CK19" i="10"/>
  <c r="CL19" i="10" s="1"/>
  <c r="CG19" i="10"/>
  <c r="CH19" i="10" s="1"/>
  <c r="BZ19" i="10"/>
  <c r="BY19" i="10"/>
  <c r="AS19" i="10"/>
  <c r="AT19" i="10" s="1"/>
  <c r="AK19" i="10"/>
  <c r="AL19" i="10" s="1"/>
  <c r="AG19" i="10"/>
  <c r="AH19" i="10" s="1"/>
  <c r="AC19" i="10"/>
  <c r="AD19" i="10" s="1"/>
  <c r="Z19" i="10"/>
  <c r="Y19" i="10"/>
  <c r="U19" i="10"/>
  <c r="V19" i="10" s="1"/>
  <c r="R19" i="10"/>
  <c r="Q19" i="10"/>
  <c r="I19" i="10"/>
  <c r="J19" i="10" s="1"/>
  <c r="CQ18" i="10"/>
  <c r="CK18" i="10"/>
  <c r="CL18" i="10" s="1"/>
  <c r="AG18" i="10"/>
  <c r="AH18" i="10" s="1"/>
  <c r="AC18" i="10"/>
  <c r="AD18" i="10" s="1"/>
  <c r="Y18" i="10"/>
  <c r="Z18" i="10" s="1"/>
  <c r="CQ17" i="10"/>
  <c r="AG17" i="10"/>
  <c r="AH17" i="10" s="1"/>
  <c r="AC17" i="10"/>
  <c r="AD17" i="10" s="1"/>
  <c r="Z17" i="10"/>
  <c r="Y17" i="10"/>
  <c r="CQ16" i="10"/>
  <c r="CG16" i="10"/>
  <c r="CH16" i="10" s="1"/>
  <c r="BY16" i="10"/>
  <c r="BZ16" i="10" s="1"/>
  <c r="AK16" i="10"/>
  <c r="AL16" i="10" s="1"/>
  <c r="AG16" i="10"/>
  <c r="AH16" i="10" s="1"/>
  <c r="AC16" i="10"/>
  <c r="AD16" i="10" s="1"/>
  <c r="Z16" i="10"/>
  <c r="Y16" i="10"/>
  <c r="CQ15" i="10"/>
  <c r="CK15" i="10"/>
  <c r="CL15" i="10" s="1"/>
  <c r="BY15" i="10"/>
  <c r="BZ15" i="10" s="1"/>
  <c r="BV15" i="10"/>
  <c r="BU15" i="10"/>
  <c r="AS15" i="10"/>
  <c r="AT15" i="10" s="1"/>
  <c r="AO15" i="10"/>
  <c r="AP15" i="10" s="1"/>
  <c r="AK15" i="10"/>
  <c r="AL15" i="10" s="1"/>
  <c r="AH15" i="10"/>
  <c r="AG15" i="10"/>
  <c r="AD15" i="10"/>
  <c r="AC15" i="10"/>
  <c r="Y15" i="10"/>
  <c r="Z15" i="10" s="1"/>
  <c r="U15" i="10"/>
  <c r="V15" i="10" s="1"/>
  <c r="Q15" i="10"/>
  <c r="R15" i="10" s="1"/>
  <c r="M15" i="10"/>
  <c r="N15" i="10" s="1"/>
  <c r="I15" i="10"/>
  <c r="J15" i="10" s="1"/>
  <c r="CQ14" i="10"/>
  <c r="BY14" i="10"/>
  <c r="BZ14" i="10" s="1"/>
  <c r="AH14" i="10"/>
  <c r="AG14" i="10"/>
  <c r="AC14" i="10"/>
  <c r="AD14" i="10" s="1"/>
  <c r="Y14" i="10"/>
  <c r="Z14" i="10" s="1"/>
  <c r="CQ13" i="10"/>
  <c r="CK13" i="10"/>
  <c r="CL13" i="10" s="1"/>
  <c r="CG13" i="10"/>
  <c r="CH13" i="10" s="1"/>
  <c r="BZ13" i="10"/>
  <c r="BY13" i="10"/>
  <c r="BU13" i="10"/>
  <c r="BV13" i="10" s="1"/>
  <c r="AS13" i="10"/>
  <c r="AT13" i="10" s="1"/>
  <c r="AP13" i="10"/>
  <c r="AO13" i="10"/>
  <c r="AL13" i="10"/>
  <c r="AK13" i="10"/>
  <c r="AG13" i="10"/>
  <c r="AH13" i="10" s="1"/>
  <c r="AC13" i="10"/>
  <c r="AD13" i="10" s="1"/>
  <c r="Y13" i="10"/>
  <c r="Z13" i="10" s="1"/>
  <c r="U13" i="10"/>
  <c r="V13" i="10" s="1"/>
  <c r="R13" i="10"/>
  <c r="Q13" i="10"/>
  <c r="M13" i="10"/>
  <c r="N13" i="10" s="1"/>
  <c r="J13" i="10"/>
  <c r="I13" i="10"/>
  <c r="CQ12" i="10"/>
  <c r="CK12" i="10" s="1"/>
  <c r="CL12" i="10" s="1"/>
  <c r="CG12" i="10"/>
  <c r="CH12" i="10" s="1"/>
  <c r="AK12" i="10"/>
  <c r="AL12" i="10" s="1"/>
  <c r="AG12" i="10"/>
  <c r="AH12" i="10" s="1"/>
  <c r="AC12" i="10"/>
  <c r="AD12" i="10" s="1"/>
  <c r="Y12" i="10"/>
  <c r="Z12" i="10" s="1"/>
  <c r="U12" i="10"/>
  <c r="V12" i="10" s="1"/>
  <c r="Q12" i="10"/>
  <c r="R12" i="10" s="1"/>
  <c r="CQ11" i="10"/>
  <c r="CK11" i="10" s="1"/>
  <c r="CL11" i="10" s="1"/>
  <c r="CG11" i="10"/>
  <c r="CH11" i="10" s="1"/>
  <c r="BZ11" i="10"/>
  <c r="BY11" i="10"/>
  <c r="AP11" i="10"/>
  <c r="AO11" i="10"/>
  <c r="AK11" i="10"/>
  <c r="AL11" i="10" s="1"/>
  <c r="U11" i="10"/>
  <c r="V11" i="10" s="1"/>
  <c r="M11" i="10"/>
  <c r="N11" i="10" s="1"/>
  <c r="I11" i="10"/>
  <c r="J11" i="10" s="1"/>
  <c r="CR11" i="12" l="1"/>
  <c r="CR17" i="11"/>
  <c r="CR47" i="13"/>
  <c r="CR18" i="12"/>
  <c r="CR31" i="15"/>
  <c r="CR24" i="13"/>
  <c r="CR41" i="12"/>
  <c r="CR18" i="11"/>
  <c r="CR26" i="15"/>
  <c r="CR19" i="15"/>
  <c r="AD60" i="15"/>
  <c r="B67" i="15" s="1"/>
  <c r="CG21" i="15"/>
  <c r="CH21" i="15" s="1"/>
  <c r="Q21" i="15"/>
  <c r="R21" i="15" s="1"/>
  <c r="AS21" i="15"/>
  <c r="AT21" i="15" s="1"/>
  <c r="BY21" i="15"/>
  <c r="BZ21" i="15" s="1"/>
  <c r="M21" i="15"/>
  <c r="N21" i="15" s="1"/>
  <c r="BU21" i="15"/>
  <c r="BV21" i="15" s="1"/>
  <c r="AO21" i="15"/>
  <c r="AP21" i="15" s="1"/>
  <c r="I21" i="15"/>
  <c r="J21" i="15" s="1"/>
  <c r="AK21" i="15"/>
  <c r="AL21" i="15" s="1"/>
  <c r="M23" i="15"/>
  <c r="N23" i="15" s="1"/>
  <c r="CR15" i="15"/>
  <c r="BY23" i="15"/>
  <c r="BZ23" i="15" s="1"/>
  <c r="BU23" i="15"/>
  <c r="BV23" i="15" s="1"/>
  <c r="AS23" i="15"/>
  <c r="AT23" i="15" s="1"/>
  <c r="Q23" i="15"/>
  <c r="R23" i="15" s="1"/>
  <c r="AO23" i="15"/>
  <c r="AP23" i="15" s="1"/>
  <c r="AK23" i="15"/>
  <c r="AL23" i="15" s="1"/>
  <c r="CR36" i="15"/>
  <c r="CC59" i="15"/>
  <c r="CD59" i="15" s="1"/>
  <c r="BA59" i="15"/>
  <c r="BB59" i="15" s="1"/>
  <c r="BU59" i="15"/>
  <c r="BV59" i="15" s="1"/>
  <c r="AS59" i="15"/>
  <c r="AT59" i="15" s="1"/>
  <c r="Q59" i="15"/>
  <c r="R59" i="15" s="1"/>
  <c r="BI59" i="15"/>
  <c r="BJ59" i="15" s="1"/>
  <c r="U59" i="15"/>
  <c r="V59" i="15" s="1"/>
  <c r="CK59" i="15"/>
  <c r="CL59" i="15" s="1"/>
  <c r="BQ59" i="15"/>
  <c r="BR59" i="15" s="1"/>
  <c r="CG59" i="15"/>
  <c r="CH59" i="15" s="1"/>
  <c r="I59" i="15"/>
  <c r="J59" i="15" s="1"/>
  <c r="BY59" i="15"/>
  <c r="BZ59" i="15" s="1"/>
  <c r="M59" i="15"/>
  <c r="N59" i="15" s="1"/>
  <c r="AO59" i="15"/>
  <c r="AP59" i="15" s="1"/>
  <c r="BB60" i="15"/>
  <c r="B73" i="15" s="1"/>
  <c r="CG58" i="15"/>
  <c r="CH58" i="15" s="1"/>
  <c r="BE58" i="15"/>
  <c r="BF58" i="15" s="1"/>
  <c r="BY58" i="15"/>
  <c r="BZ58" i="15" s="1"/>
  <c r="AW58" i="15"/>
  <c r="AX58" i="15" s="1"/>
  <c r="U58" i="15"/>
  <c r="V58" i="15" s="1"/>
  <c r="BU58" i="15"/>
  <c r="BV58" i="15" s="1"/>
  <c r="AK58" i="15"/>
  <c r="AL58" i="15" s="1"/>
  <c r="BQ58" i="15"/>
  <c r="BR58" i="15" s="1"/>
  <c r="I58" i="15"/>
  <c r="J58" i="15" s="1"/>
  <c r="Q58" i="15"/>
  <c r="R58" i="15" s="1"/>
  <c r="BM58" i="15"/>
  <c r="BN58" i="15" s="1"/>
  <c r="BI58" i="15"/>
  <c r="BJ58" i="15" s="1"/>
  <c r="M58" i="15"/>
  <c r="N58" i="15" s="1"/>
  <c r="BA58" i="15"/>
  <c r="BB58" i="15" s="1"/>
  <c r="AS58" i="15"/>
  <c r="AT58" i="15" s="1"/>
  <c r="CK58" i="15"/>
  <c r="CL58" i="15" s="1"/>
  <c r="Z60" i="15"/>
  <c r="B66" i="15" s="1"/>
  <c r="CR12" i="15"/>
  <c r="BU29" i="15"/>
  <c r="BV29" i="15" s="1"/>
  <c r="AS29" i="15"/>
  <c r="AT29" i="15" s="1"/>
  <c r="Q29" i="15"/>
  <c r="R29" i="15" s="1"/>
  <c r="CG29" i="15"/>
  <c r="CH29" i="15" s="1"/>
  <c r="AO29" i="15"/>
  <c r="AP29" i="15" s="1"/>
  <c r="BY29" i="15"/>
  <c r="BZ29" i="15" s="1"/>
  <c r="AK29" i="15"/>
  <c r="AL29" i="15" s="1"/>
  <c r="M29" i="15"/>
  <c r="N29" i="15" s="1"/>
  <c r="CK43" i="15"/>
  <c r="CL43" i="15" s="1"/>
  <c r="CG43" i="15"/>
  <c r="CH43" i="15" s="1"/>
  <c r="BU43" i="15"/>
  <c r="BV43" i="15" s="1"/>
  <c r="CK20" i="15"/>
  <c r="CL20" i="15" s="1"/>
  <c r="CR49" i="15"/>
  <c r="CK11" i="15"/>
  <c r="CL11" i="15" s="1"/>
  <c r="CK17" i="15"/>
  <c r="CL17" i="15" s="1"/>
  <c r="CK27" i="15"/>
  <c r="CL27" i="15" s="1"/>
  <c r="CR27" i="15"/>
  <c r="BY30" i="15"/>
  <c r="BZ30" i="15" s="1"/>
  <c r="AO30" i="15"/>
  <c r="AP30" i="15" s="1"/>
  <c r="M30" i="15"/>
  <c r="N30" i="15" s="1"/>
  <c r="CR43" i="15"/>
  <c r="BY46" i="15"/>
  <c r="BZ46" i="15" s="1"/>
  <c r="I46" i="15"/>
  <c r="J46" i="15" s="1"/>
  <c r="AO46" i="15"/>
  <c r="AP46" i="15" s="1"/>
  <c r="BU46" i="15"/>
  <c r="BV46" i="15" s="1"/>
  <c r="CK46" i="15"/>
  <c r="CL46" i="15" s="1"/>
  <c r="CG51" i="15"/>
  <c r="CH51" i="15" s="1"/>
  <c r="BY51" i="15"/>
  <c r="BZ51" i="15" s="1"/>
  <c r="Q51" i="15"/>
  <c r="R51" i="15" s="1"/>
  <c r="AG11" i="15"/>
  <c r="AH11" i="15" s="1"/>
  <c r="AH60" i="15" s="1"/>
  <c r="B68" i="15" s="1"/>
  <c r="BR60" i="15"/>
  <c r="B77" i="15" s="1"/>
  <c r="AO18" i="15"/>
  <c r="AP18" i="15" s="1"/>
  <c r="M18" i="15"/>
  <c r="N18" i="15" s="1"/>
  <c r="BU24" i="15"/>
  <c r="BV24" i="15" s="1"/>
  <c r="AS24" i="15"/>
  <c r="AT24" i="15" s="1"/>
  <c r="Q24" i="15"/>
  <c r="R24" i="15" s="1"/>
  <c r="AO24" i="15"/>
  <c r="AP24" i="15" s="1"/>
  <c r="M24" i="15"/>
  <c r="N24" i="15" s="1"/>
  <c r="Q30" i="15"/>
  <c r="R30" i="15" s="1"/>
  <c r="AO32" i="15"/>
  <c r="AP32" i="15" s="1"/>
  <c r="M32" i="15"/>
  <c r="N32" i="15" s="1"/>
  <c r="CK32" i="15"/>
  <c r="CL32" i="15" s="1"/>
  <c r="Q43" i="15"/>
  <c r="R43" i="15" s="1"/>
  <c r="AK46" i="15"/>
  <c r="AL46" i="15" s="1"/>
  <c r="AO51" i="15"/>
  <c r="AP51" i="15" s="1"/>
  <c r="BQ55" i="15"/>
  <c r="BR55" i="15" s="1"/>
  <c r="AO55" i="15"/>
  <c r="AP55" i="15" s="1"/>
  <c r="M55" i="15"/>
  <c r="N55" i="15" s="1"/>
  <c r="CK55" i="15"/>
  <c r="CL55" i="15" s="1"/>
  <c r="BI55" i="15"/>
  <c r="BJ55" i="15" s="1"/>
  <c r="BA55" i="15"/>
  <c r="BB55" i="15" s="1"/>
  <c r="Q55" i="15"/>
  <c r="R55" i="15" s="1"/>
  <c r="CG55" i="15"/>
  <c r="CH55" i="15" s="1"/>
  <c r="AW55" i="15"/>
  <c r="AX55" i="15" s="1"/>
  <c r="I55" i="15"/>
  <c r="J55" i="15" s="1"/>
  <c r="AK55" i="15"/>
  <c r="AL55" i="15" s="1"/>
  <c r="CK57" i="15"/>
  <c r="CL57" i="15" s="1"/>
  <c r="BI57" i="15"/>
  <c r="BJ57" i="15" s="1"/>
  <c r="BA57" i="15"/>
  <c r="BB57" i="15" s="1"/>
  <c r="CG57" i="15"/>
  <c r="CH57" i="15" s="1"/>
  <c r="AS57" i="15"/>
  <c r="AT57" i="15" s="1"/>
  <c r="M57" i="15"/>
  <c r="N57" i="15" s="1"/>
  <c r="CR57" i="15" s="1"/>
  <c r="BU57" i="15"/>
  <c r="BV57" i="15" s="1"/>
  <c r="AK57" i="15"/>
  <c r="AL57" i="15" s="1"/>
  <c r="U57" i="15"/>
  <c r="V57" i="15" s="1"/>
  <c r="BU17" i="15"/>
  <c r="BV17" i="15" s="1"/>
  <c r="AS17" i="15"/>
  <c r="AT17" i="15" s="1"/>
  <c r="Q17" i="15"/>
  <c r="R17" i="15" s="1"/>
  <c r="CK37" i="15"/>
  <c r="CL37" i="15" s="1"/>
  <c r="CG37" i="15"/>
  <c r="CH37" i="15" s="1"/>
  <c r="AS37" i="15"/>
  <c r="AT37" i="15" s="1"/>
  <c r="BY37" i="15"/>
  <c r="BZ37" i="15" s="1"/>
  <c r="M37" i="15"/>
  <c r="N37" i="15" s="1"/>
  <c r="AO37" i="15"/>
  <c r="AP37" i="15" s="1"/>
  <c r="BY39" i="15"/>
  <c r="BZ39" i="15" s="1"/>
  <c r="BU39" i="15"/>
  <c r="BV39" i="15" s="1"/>
  <c r="AK39" i="15"/>
  <c r="AL39" i="15" s="1"/>
  <c r="AS46" i="15"/>
  <c r="AT46" i="15" s="1"/>
  <c r="CR56" i="15"/>
  <c r="I11" i="15"/>
  <c r="J11" i="15" s="1"/>
  <c r="AK11" i="15"/>
  <c r="AL11" i="15" s="1"/>
  <c r="BY16" i="15"/>
  <c r="BZ16" i="15" s="1"/>
  <c r="AX60" i="15"/>
  <c r="B72" i="15" s="1"/>
  <c r="V60" i="15"/>
  <c r="B65" i="15" s="1"/>
  <c r="AK18" i="15"/>
  <c r="AL18" i="15" s="1"/>
  <c r="AK20" i="15"/>
  <c r="AL20" i="15" s="1"/>
  <c r="I39" i="15"/>
  <c r="J39" i="15" s="1"/>
  <c r="BU41" i="15"/>
  <c r="BV41" i="15" s="1"/>
  <c r="AS41" i="15"/>
  <c r="AT41" i="15" s="1"/>
  <c r="Q41" i="15"/>
  <c r="R41" i="15" s="1"/>
  <c r="AO41" i="15"/>
  <c r="AP41" i="15" s="1"/>
  <c r="M41" i="15"/>
  <c r="N41" i="15" s="1"/>
  <c r="BY41" i="15"/>
  <c r="BZ41" i="15" s="1"/>
  <c r="AK41" i="15"/>
  <c r="AL41" i="15" s="1"/>
  <c r="CG44" i="15"/>
  <c r="CH44" i="15" s="1"/>
  <c r="AS44" i="15"/>
  <c r="AT44" i="15" s="1"/>
  <c r="M44" i="15"/>
  <c r="N44" i="15" s="1"/>
  <c r="BY44" i="15"/>
  <c r="BZ44" i="15" s="1"/>
  <c r="AO44" i="15"/>
  <c r="AP44" i="15" s="1"/>
  <c r="I44" i="15"/>
  <c r="J44" i="15" s="1"/>
  <c r="CR44" i="15" s="1"/>
  <c r="AS51" i="15"/>
  <c r="AT51" i="15" s="1"/>
  <c r="CK13" i="15"/>
  <c r="CL13" i="15" s="1"/>
  <c r="CR13" i="15"/>
  <c r="CG14" i="15"/>
  <c r="CH14" i="15" s="1"/>
  <c r="CR14" i="15"/>
  <c r="CD60" i="15"/>
  <c r="B80" i="15" s="1"/>
  <c r="AK17" i="15"/>
  <c r="AL17" i="15" s="1"/>
  <c r="I18" i="15"/>
  <c r="J18" i="15" s="1"/>
  <c r="I20" i="15"/>
  <c r="J20" i="15" s="1"/>
  <c r="CK34" i="15"/>
  <c r="CL34" i="15" s="1"/>
  <c r="AK44" i="15"/>
  <c r="AL44" i="15" s="1"/>
  <c r="I51" i="15"/>
  <c r="J51" i="15" s="1"/>
  <c r="AS55" i="15"/>
  <c r="AT55" i="15" s="1"/>
  <c r="M11" i="15"/>
  <c r="N11" i="15" s="1"/>
  <c r="AO11" i="15"/>
  <c r="AP11" i="15" s="1"/>
  <c r="AK16" i="15"/>
  <c r="AL16" i="15" s="1"/>
  <c r="I17" i="15"/>
  <c r="J17" i="15" s="1"/>
  <c r="BU18" i="15"/>
  <c r="BV18" i="15" s="1"/>
  <c r="AO20" i="15"/>
  <c r="AP20" i="15" s="1"/>
  <c r="BU20" i="15"/>
  <c r="BV20" i="15" s="1"/>
  <c r="BY22" i="15"/>
  <c r="BZ22" i="15" s="1"/>
  <c r="CR22" i="15"/>
  <c r="CG28" i="15"/>
  <c r="CH28" i="15" s="1"/>
  <c r="BY28" i="15"/>
  <c r="BZ28" i="15" s="1"/>
  <c r="CR28" i="15"/>
  <c r="I37" i="15"/>
  <c r="J37" i="15" s="1"/>
  <c r="M39" i="15"/>
  <c r="N39" i="15" s="1"/>
  <c r="I41" i="15"/>
  <c r="J41" i="15" s="1"/>
  <c r="BY43" i="15"/>
  <c r="BZ43" i="15" s="1"/>
  <c r="AO57" i="15"/>
  <c r="AP57" i="15" s="1"/>
  <c r="BU11" i="15"/>
  <c r="BV11" i="15" s="1"/>
  <c r="I16" i="15"/>
  <c r="J16" i="15" s="1"/>
  <c r="AO17" i="15"/>
  <c r="AP17" i="15" s="1"/>
  <c r="AS18" i="15"/>
  <c r="AT18" i="15" s="1"/>
  <c r="M20" i="15"/>
  <c r="N20" i="15" s="1"/>
  <c r="BU32" i="15"/>
  <c r="BV32" i="15" s="1"/>
  <c r="CR32" i="15" s="1"/>
  <c r="BU34" i="15"/>
  <c r="BV34" i="15" s="1"/>
  <c r="AS34" i="15"/>
  <c r="AT34" i="15" s="1"/>
  <c r="Q34" i="15"/>
  <c r="R34" i="15" s="1"/>
  <c r="M34" i="15"/>
  <c r="N34" i="15" s="1"/>
  <c r="AK34" i="15"/>
  <c r="AL34" i="15" s="1"/>
  <c r="Q37" i="15"/>
  <c r="R37" i="15" s="1"/>
  <c r="M51" i="15"/>
  <c r="N51" i="15" s="1"/>
  <c r="AW57" i="15"/>
  <c r="AX57" i="15" s="1"/>
  <c r="AO48" i="15"/>
  <c r="AP48" i="15" s="1"/>
  <c r="M48" i="15"/>
  <c r="N48" i="15" s="1"/>
  <c r="CK48" i="15"/>
  <c r="CL48" i="15" s="1"/>
  <c r="CK50" i="15"/>
  <c r="CL50" i="15" s="1"/>
  <c r="BY53" i="15"/>
  <c r="BZ53" i="15" s="1"/>
  <c r="AW53" i="15"/>
  <c r="AX53" i="15" s="1"/>
  <c r="CR53" i="15"/>
  <c r="BQ53" i="15"/>
  <c r="BR53" i="15" s="1"/>
  <c r="AO53" i="15"/>
  <c r="AP53" i="15" s="1"/>
  <c r="M53" i="15"/>
  <c r="N53" i="15" s="1"/>
  <c r="BY33" i="15"/>
  <c r="BZ33" i="15" s="1"/>
  <c r="AS38" i="15"/>
  <c r="AT38" i="15" s="1"/>
  <c r="CR38" i="15" s="1"/>
  <c r="CR42" i="15"/>
  <c r="AO52" i="15"/>
  <c r="AP52" i="15" s="1"/>
  <c r="CG52" i="15"/>
  <c r="CH52" i="15" s="1"/>
  <c r="CR45" i="15"/>
  <c r="BU47" i="15"/>
  <c r="BV47" i="15" s="1"/>
  <c r="AS47" i="15"/>
  <c r="AT47" i="15" s="1"/>
  <c r="Q47" i="15"/>
  <c r="R47" i="15" s="1"/>
  <c r="CR47" i="15" s="1"/>
  <c r="AS48" i="15"/>
  <c r="AT48" i="15" s="1"/>
  <c r="M52" i="15"/>
  <c r="N52" i="15" s="1"/>
  <c r="CG38" i="15"/>
  <c r="CH38" i="15" s="1"/>
  <c r="I50" i="15"/>
  <c r="J50" i="15" s="1"/>
  <c r="AO50" i="15"/>
  <c r="AP50" i="15" s="1"/>
  <c r="BY50" i="15"/>
  <c r="BZ50" i="15" s="1"/>
  <c r="BA52" i="15"/>
  <c r="BB52" i="15" s="1"/>
  <c r="BU52" i="15"/>
  <c r="BV52" i="15" s="1"/>
  <c r="AS52" i="15"/>
  <c r="AT52" i="15" s="1"/>
  <c r="CR52" i="15" s="1"/>
  <c r="Q52" i="15"/>
  <c r="R52" i="15" s="1"/>
  <c r="CG53" i="15"/>
  <c r="CH53" i="15" s="1"/>
  <c r="M25" i="15"/>
  <c r="N25" i="15" s="1"/>
  <c r="CR25" i="15" s="1"/>
  <c r="AO25" i="15"/>
  <c r="AP25" i="15" s="1"/>
  <c r="AO33" i="15"/>
  <c r="AP33" i="15" s="1"/>
  <c r="AO35" i="15"/>
  <c r="AP35" i="15" s="1"/>
  <c r="M35" i="15"/>
  <c r="N35" i="15" s="1"/>
  <c r="CR35" i="15" s="1"/>
  <c r="BY40" i="15"/>
  <c r="BZ40" i="15" s="1"/>
  <c r="BU40" i="15"/>
  <c r="BV40" i="15" s="1"/>
  <c r="AS40" i="15"/>
  <c r="AT40" i="15" s="1"/>
  <c r="Q40" i="15"/>
  <c r="R40" i="15" s="1"/>
  <c r="I48" i="15"/>
  <c r="J48" i="15" s="1"/>
  <c r="CG48" i="15"/>
  <c r="CH48" i="15" s="1"/>
  <c r="AS53" i="15"/>
  <c r="AT53" i="15" s="1"/>
  <c r="Q54" i="15"/>
  <c r="R54" i="15" s="1"/>
  <c r="CR54" i="15" s="1"/>
  <c r="AS54" i="15"/>
  <c r="AT54" i="15" s="1"/>
  <c r="AO55" i="14"/>
  <c r="AP55" i="14" s="1"/>
  <c r="M55" i="14"/>
  <c r="N55" i="14" s="1"/>
  <c r="CK55" i="14"/>
  <c r="CL55" i="14" s="1"/>
  <c r="Q55" i="14"/>
  <c r="R55" i="14" s="1"/>
  <c r="CG55" i="14"/>
  <c r="CH55" i="14" s="1"/>
  <c r="BY55" i="14"/>
  <c r="BZ55" i="14" s="1"/>
  <c r="BU55" i="14"/>
  <c r="BV55" i="14" s="1"/>
  <c r="U55" i="14"/>
  <c r="V55" i="14" s="1"/>
  <c r="I55" i="14"/>
  <c r="J55" i="14" s="1"/>
  <c r="AS55" i="14"/>
  <c r="AT55" i="14" s="1"/>
  <c r="AK55" i="14"/>
  <c r="AL55" i="14" s="1"/>
  <c r="CR37" i="14"/>
  <c r="CR20" i="14"/>
  <c r="CR57" i="14"/>
  <c r="CR34" i="14"/>
  <c r="AD60" i="14"/>
  <c r="B67" i="14" s="1"/>
  <c r="CR47" i="14"/>
  <c r="AH60" i="14"/>
  <c r="B68" i="14" s="1"/>
  <c r="CK28" i="14"/>
  <c r="CL28" i="14" s="1"/>
  <c r="AO28" i="14"/>
  <c r="AP28" i="14" s="1"/>
  <c r="BU28" i="14"/>
  <c r="BV28" i="14" s="1"/>
  <c r="I28" i="14"/>
  <c r="J28" i="14" s="1"/>
  <c r="M28" i="14"/>
  <c r="N28" i="14" s="1"/>
  <c r="CG28" i="14"/>
  <c r="CH28" i="14" s="1"/>
  <c r="AS28" i="14"/>
  <c r="AT28" i="14" s="1"/>
  <c r="AK28" i="14"/>
  <c r="AL28" i="14" s="1"/>
  <c r="BY28" i="14"/>
  <c r="BZ28" i="14" s="1"/>
  <c r="Q28" i="14"/>
  <c r="R28" i="14" s="1"/>
  <c r="AO16" i="14"/>
  <c r="AP16" i="14" s="1"/>
  <c r="I16" i="14"/>
  <c r="J16" i="14" s="1"/>
  <c r="AK16" i="14"/>
  <c r="AL16" i="14" s="1"/>
  <c r="CR27" i="14"/>
  <c r="AO18" i="14"/>
  <c r="AP18" i="14" s="1"/>
  <c r="M18" i="14"/>
  <c r="N18" i="14" s="1"/>
  <c r="Q18" i="14"/>
  <c r="R18" i="14" s="1"/>
  <c r="BY18" i="14"/>
  <c r="BZ18" i="14" s="1"/>
  <c r="AS18" i="14"/>
  <c r="AT18" i="14" s="1"/>
  <c r="I18" i="14"/>
  <c r="J18" i="14" s="1"/>
  <c r="BU18" i="14"/>
  <c r="BV18" i="14" s="1"/>
  <c r="AK18" i="14"/>
  <c r="AL18" i="14" s="1"/>
  <c r="CR19" i="14"/>
  <c r="CK50" i="14"/>
  <c r="CL50" i="14" s="1"/>
  <c r="CG50" i="14"/>
  <c r="CH50" i="14" s="1"/>
  <c r="AS50" i="14"/>
  <c r="AT50" i="14" s="1"/>
  <c r="M50" i="14"/>
  <c r="N50" i="14" s="1"/>
  <c r="BU50" i="14"/>
  <c r="BV50" i="14" s="1"/>
  <c r="AK50" i="14"/>
  <c r="AL50" i="14" s="1"/>
  <c r="I50" i="14"/>
  <c r="J50" i="14" s="1"/>
  <c r="AO50" i="14"/>
  <c r="AP50" i="14" s="1"/>
  <c r="AO11" i="14"/>
  <c r="AP11" i="14" s="1"/>
  <c r="CG12" i="14"/>
  <c r="CH12" i="14" s="1"/>
  <c r="Q16" i="14"/>
  <c r="R16" i="14" s="1"/>
  <c r="BY23" i="14"/>
  <c r="BZ23" i="14" s="1"/>
  <c r="CG23" i="14"/>
  <c r="CH23" i="14" s="1"/>
  <c r="Q23" i="14"/>
  <c r="R23" i="14" s="1"/>
  <c r="AS23" i="14"/>
  <c r="AT23" i="14" s="1"/>
  <c r="M23" i="14"/>
  <c r="N23" i="14" s="1"/>
  <c r="CG29" i="14"/>
  <c r="CH29" i="14" s="1"/>
  <c r="Q29" i="14"/>
  <c r="R29" i="14" s="1"/>
  <c r="BU29" i="14"/>
  <c r="BV29" i="14" s="1"/>
  <c r="AO29" i="14"/>
  <c r="AP29" i="14" s="1"/>
  <c r="I29" i="14"/>
  <c r="J29" i="14" s="1"/>
  <c r="AK29" i="14"/>
  <c r="AL29" i="14" s="1"/>
  <c r="BY29" i="14"/>
  <c r="BZ29" i="14" s="1"/>
  <c r="CK11" i="14"/>
  <c r="CL11" i="14" s="1"/>
  <c r="AO23" i="14"/>
  <c r="AP23" i="14" s="1"/>
  <c r="AO25" i="14"/>
  <c r="AP25" i="14" s="1"/>
  <c r="M25" i="14"/>
  <c r="N25" i="14" s="1"/>
  <c r="BU25" i="14"/>
  <c r="BV25" i="14" s="1"/>
  <c r="AK25" i="14"/>
  <c r="AL25" i="14" s="1"/>
  <c r="BU48" i="14"/>
  <c r="BV48" i="14" s="1"/>
  <c r="CK12" i="14"/>
  <c r="CL12" i="14" s="1"/>
  <c r="BU16" i="14"/>
  <c r="BV16" i="14" s="1"/>
  <c r="CD60" i="14"/>
  <c r="B80" i="14" s="1"/>
  <c r="BU22" i="14"/>
  <c r="BV22" i="14" s="1"/>
  <c r="AO22" i="14"/>
  <c r="AP22" i="14" s="1"/>
  <c r="I22" i="14"/>
  <c r="J22" i="14" s="1"/>
  <c r="BR60" i="14"/>
  <c r="B77" i="14" s="1"/>
  <c r="AK22" i="14"/>
  <c r="AL22" i="14" s="1"/>
  <c r="Q25" i="14"/>
  <c r="R25" i="14" s="1"/>
  <c r="AO26" i="14"/>
  <c r="AP26" i="14" s="1"/>
  <c r="AK26" i="14"/>
  <c r="AL26" i="14" s="1"/>
  <c r="I26" i="14"/>
  <c r="J26" i="14" s="1"/>
  <c r="CG26" i="14"/>
  <c r="CH26" i="14" s="1"/>
  <c r="Q26" i="14"/>
  <c r="R26" i="14" s="1"/>
  <c r="M26" i="14"/>
  <c r="N26" i="14" s="1"/>
  <c r="AS26" i="14"/>
  <c r="AT26" i="14" s="1"/>
  <c r="CR56" i="14"/>
  <c r="M16" i="14"/>
  <c r="N16" i="14" s="1"/>
  <c r="BY11" i="14"/>
  <c r="BZ11" i="14" s="1"/>
  <c r="BU11" i="14"/>
  <c r="BV11" i="14" s="1"/>
  <c r="AS11" i="14"/>
  <c r="AT11" i="14" s="1"/>
  <c r="Q11" i="14"/>
  <c r="R11" i="14" s="1"/>
  <c r="BU12" i="14"/>
  <c r="BV12" i="14" s="1"/>
  <c r="AS12" i="14"/>
  <c r="AT12" i="14" s="1"/>
  <c r="Q12" i="14"/>
  <c r="R12" i="14" s="1"/>
  <c r="AO12" i="14"/>
  <c r="AP12" i="14" s="1"/>
  <c r="M12" i="14"/>
  <c r="N12" i="14" s="1"/>
  <c r="AO48" i="14"/>
  <c r="AP48" i="14" s="1"/>
  <c r="CR48" i="14" s="1"/>
  <c r="M48" i="14"/>
  <c r="N48" i="14" s="1"/>
  <c r="CK48" i="14"/>
  <c r="CL48" i="14" s="1"/>
  <c r="Q48" i="14"/>
  <c r="R48" i="14" s="1"/>
  <c r="CG48" i="14"/>
  <c r="CH48" i="14" s="1"/>
  <c r="AK48" i="14"/>
  <c r="AL48" i="14" s="1"/>
  <c r="U48" i="14"/>
  <c r="V48" i="14" s="1"/>
  <c r="I11" i="14"/>
  <c r="J11" i="14" s="1"/>
  <c r="I12" i="14"/>
  <c r="J12" i="14" s="1"/>
  <c r="BY16" i="14"/>
  <c r="BZ16" i="14" s="1"/>
  <c r="BU26" i="14"/>
  <c r="BV26" i="14" s="1"/>
  <c r="I23" i="14"/>
  <c r="J23" i="14" s="1"/>
  <c r="BY53" i="14"/>
  <c r="BZ53" i="14" s="1"/>
  <c r="U53" i="14"/>
  <c r="V53" i="14" s="1"/>
  <c r="AO53" i="14"/>
  <c r="AP53" i="14" s="1"/>
  <c r="M53" i="14"/>
  <c r="N53" i="14" s="1"/>
  <c r="CG53" i="14"/>
  <c r="CH53" i="14" s="1"/>
  <c r="AS53" i="14"/>
  <c r="AT53" i="14" s="1"/>
  <c r="BU53" i="14"/>
  <c r="BV53" i="14" s="1"/>
  <c r="AK53" i="14"/>
  <c r="AL53" i="14" s="1"/>
  <c r="CK53" i="14"/>
  <c r="CL53" i="14" s="1"/>
  <c r="Q53" i="14"/>
  <c r="R53" i="14" s="1"/>
  <c r="CR53" i="14" s="1"/>
  <c r="CK30" i="14"/>
  <c r="CL30" i="14" s="1"/>
  <c r="Q30" i="14"/>
  <c r="R30" i="14" s="1"/>
  <c r="CG38" i="14"/>
  <c r="CH38" i="14" s="1"/>
  <c r="AS38" i="14"/>
  <c r="AT38" i="14" s="1"/>
  <c r="M38" i="14"/>
  <c r="N38" i="14" s="1"/>
  <c r="AK38" i="14"/>
  <c r="AL38" i="14" s="1"/>
  <c r="CG44" i="14"/>
  <c r="CH44" i="14" s="1"/>
  <c r="BY44" i="14"/>
  <c r="BZ44" i="14" s="1"/>
  <c r="AO44" i="14"/>
  <c r="AP44" i="14" s="1"/>
  <c r="I44" i="14"/>
  <c r="J44" i="14" s="1"/>
  <c r="CR44" i="14" s="1"/>
  <c r="CK43" i="14"/>
  <c r="CL43" i="14" s="1"/>
  <c r="CG43" i="14"/>
  <c r="CH43" i="14" s="1"/>
  <c r="AS43" i="14"/>
  <c r="AT43" i="14" s="1"/>
  <c r="CG14" i="14"/>
  <c r="CH14" i="14" s="1"/>
  <c r="CK15" i="14"/>
  <c r="CL15" i="14" s="1"/>
  <c r="AS31" i="14"/>
  <c r="AT31" i="14" s="1"/>
  <c r="AO35" i="14"/>
  <c r="AP35" i="14" s="1"/>
  <c r="M35" i="14"/>
  <c r="N35" i="14" s="1"/>
  <c r="CK35" i="14"/>
  <c r="CL35" i="14" s="1"/>
  <c r="AS35" i="14"/>
  <c r="AT35" i="14" s="1"/>
  <c r="I35" i="14"/>
  <c r="J35" i="14" s="1"/>
  <c r="BU35" i="14"/>
  <c r="BV35" i="14" s="1"/>
  <c r="M44" i="14"/>
  <c r="N44" i="14" s="1"/>
  <c r="CG21" i="14"/>
  <c r="CH21" i="14" s="1"/>
  <c r="CR21" i="14" s="1"/>
  <c r="BY31" i="14"/>
  <c r="BZ31" i="14" s="1"/>
  <c r="BU32" i="14"/>
  <c r="BV32" i="14" s="1"/>
  <c r="AS32" i="14"/>
  <c r="AT32" i="14" s="1"/>
  <c r="Q32" i="14"/>
  <c r="R32" i="14" s="1"/>
  <c r="BY32" i="14"/>
  <c r="BZ32" i="14" s="1"/>
  <c r="AO32" i="14"/>
  <c r="AP32" i="14" s="1"/>
  <c r="I32" i="14"/>
  <c r="J32" i="14" s="1"/>
  <c r="CR36" i="14"/>
  <c r="Q43" i="14"/>
  <c r="R43" i="14" s="1"/>
  <c r="Q44" i="14"/>
  <c r="R44" i="14" s="1"/>
  <c r="CC59" i="14"/>
  <c r="CD59" i="14" s="1"/>
  <c r="BA59" i="14"/>
  <c r="BB59" i="14" s="1"/>
  <c r="BU59" i="14"/>
  <c r="BV59" i="14" s="1"/>
  <c r="AS59" i="14"/>
  <c r="AT59" i="14" s="1"/>
  <c r="Q59" i="14"/>
  <c r="R59" i="14" s="1"/>
  <c r="CK59" i="14"/>
  <c r="CL59" i="14" s="1"/>
  <c r="I59" i="14"/>
  <c r="J59" i="14" s="1"/>
  <c r="AO59" i="14"/>
  <c r="AP59" i="14" s="1"/>
  <c r="BY59" i="14"/>
  <c r="BZ59" i="14" s="1"/>
  <c r="Q31" i="14"/>
  <c r="R31" i="14" s="1"/>
  <c r="BY33" i="14"/>
  <c r="BZ33" i="14" s="1"/>
  <c r="AO33" i="14"/>
  <c r="AP33" i="14" s="1"/>
  <c r="M33" i="14"/>
  <c r="N33" i="14" s="1"/>
  <c r="CK33" i="14"/>
  <c r="CL33" i="14" s="1"/>
  <c r="Q33" i="14"/>
  <c r="R33" i="14" s="1"/>
  <c r="BU41" i="14"/>
  <c r="BV41" i="14" s="1"/>
  <c r="AS41" i="14"/>
  <c r="AT41" i="14" s="1"/>
  <c r="Q41" i="14"/>
  <c r="R41" i="14" s="1"/>
  <c r="CK41" i="14"/>
  <c r="CL41" i="14" s="1"/>
  <c r="AK59" i="14"/>
  <c r="AL59" i="14" s="1"/>
  <c r="BN60" i="14"/>
  <c r="B76" i="14" s="1"/>
  <c r="AK15" i="14"/>
  <c r="AL15" i="14" s="1"/>
  <c r="AL60" i="14" s="1"/>
  <c r="B69" i="14" s="1"/>
  <c r="M32" i="14"/>
  <c r="N32" i="14" s="1"/>
  <c r="I33" i="14"/>
  <c r="J33" i="14" s="1"/>
  <c r="I41" i="14"/>
  <c r="J41" i="14" s="1"/>
  <c r="CG51" i="14"/>
  <c r="CH51" i="14" s="1"/>
  <c r="BY51" i="14"/>
  <c r="BZ51" i="14" s="1"/>
  <c r="U51" i="14"/>
  <c r="V51" i="14" s="1"/>
  <c r="AW59" i="14"/>
  <c r="AX59" i="14" s="1"/>
  <c r="M13" i="14"/>
  <c r="N13" i="14" s="1"/>
  <c r="CR13" i="14" s="1"/>
  <c r="AO13" i="14"/>
  <c r="AP13" i="14" s="1"/>
  <c r="I14" i="14"/>
  <c r="J14" i="14" s="1"/>
  <c r="I15" i="14"/>
  <c r="J15" i="14" s="1"/>
  <c r="M17" i="14"/>
  <c r="N17" i="14" s="1"/>
  <c r="CR17" i="14" s="1"/>
  <c r="CK20" i="14"/>
  <c r="CL20" i="14" s="1"/>
  <c r="BU24" i="14"/>
  <c r="BV24" i="14" s="1"/>
  <c r="AS24" i="14"/>
  <c r="AT24" i="14" s="1"/>
  <c r="Q24" i="14"/>
  <c r="R24" i="14" s="1"/>
  <c r="CR24" i="14" s="1"/>
  <c r="CR42" i="14"/>
  <c r="M51" i="14"/>
  <c r="N51" i="14" s="1"/>
  <c r="CR51" i="14" s="1"/>
  <c r="AS51" i="14"/>
  <c r="AT51" i="14" s="1"/>
  <c r="CK57" i="14"/>
  <c r="CL57" i="14" s="1"/>
  <c r="BI57" i="14"/>
  <c r="BJ57" i="14" s="1"/>
  <c r="BA57" i="14"/>
  <c r="BB57" i="14" s="1"/>
  <c r="BU57" i="14"/>
  <c r="BV57" i="14" s="1"/>
  <c r="AK57" i="14"/>
  <c r="AL57" i="14" s="1"/>
  <c r="BM57" i="14"/>
  <c r="BN57" i="14" s="1"/>
  <c r="CG58" i="14"/>
  <c r="CH58" i="14" s="1"/>
  <c r="BE58" i="14"/>
  <c r="BF58" i="14" s="1"/>
  <c r="BY58" i="14"/>
  <c r="BZ58" i="14" s="1"/>
  <c r="AW58" i="14"/>
  <c r="AX58" i="14" s="1"/>
  <c r="U58" i="14"/>
  <c r="V58" i="14" s="1"/>
  <c r="CR58" i="14" s="1"/>
  <c r="BI58" i="14"/>
  <c r="BJ58" i="14" s="1"/>
  <c r="CK58" i="14"/>
  <c r="CL58" i="14" s="1"/>
  <c r="AS58" i="14"/>
  <c r="AT58" i="14" s="1"/>
  <c r="M58" i="14"/>
  <c r="N58" i="14" s="1"/>
  <c r="CK37" i="14"/>
  <c r="CL37" i="14" s="1"/>
  <c r="AO39" i="14"/>
  <c r="AP39" i="14" s="1"/>
  <c r="CR39" i="14" s="1"/>
  <c r="BU45" i="14"/>
  <c r="BV45" i="14" s="1"/>
  <c r="AS45" i="14"/>
  <c r="AT45" i="14" s="1"/>
  <c r="Q45" i="14"/>
  <c r="R45" i="14" s="1"/>
  <c r="BY46" i="14"/>
  <c r="BZ46" i="14" s="1"/>
  <c r="AO46" i="14"/>
  <c r="AP46" i="14" s="1"/>
  <c r="M46" i="14"/>
  <c r="N46" i="14" s="1"/>
  <c r="CR46" i="14" s="1"/>
  <c r="CR49" i="14"/>
  <c r="BU52" i="14"/>
  <c r="BV52" i="14" s="1"/>
  <c r="CR52" i="14" s="1"/>
  <c r="AS52" i="14"/>
  <c r="AT52" i="14" s="1"/>
  <c r="Q52" i="14"/>
  <c r="R52" i="14" s="1"/>
  <c r="Q47" i="14"/>
  <c r="R47" i="14" s="1"/>
  <c r="AS47" i="14"/>
  <c r="AT47" i="14" s="1"/>
  <c r="Q54" i="14"/>
  <c r="R54" i="14" s="1"/>
  <c r="CR54" i="14" s="1"/>
  <c r="AS54" i="14"/>
  <c r="AT54" i="14" s="1"/>
  <c r="CR40" i="14"/>
  <c r="CR27" i="13"/>
  <c r="CR20" i="13"/>
  <c r="AD60" i="13"/>
  <c r="B67" i="13" s="1"/>
  <c r="AO55" i="13"/>
  <c r="AP55" i="13" s="1"/>
  <c r="M55" i="13"/>
  <c r="N55" i="13" s="1"/>
  <c r="CK55" i="13"/>
  <c r="CL55" i="13" s="1"/>
  <c r="AK55" i="13"/>
  <c r="AL55" i="13" s="1"/>
  <c r="CG55" i="13"/>
  <c r="CH55" i="13" s="1"/>
  <c r="I55" i="13"/>
  <c r="J55" i="13" s="1"/>
  <c r="AS55" i="13"/>
  <c r="AT55" i="13" s="1"/>
  <c r="BY55" i="13"/>
  <c r="BZ55" i="13" s="1"/>
  <c r="BU55" i="13"/>
  <c r="BV55" i="13" s="1"/>
  <c r="Q55" i="13"/>
  <c r="R55" i="13" s="1"/>
  <c r="Z60" i="13"/>
  <c r="B66" i="13" s="1"/>
  <c r="AO22" i="13"/>
  <c r="AP22" i="13" s="1"/>
  <c r="U55" i="13"/>
  <c r="V55" i="13" s="1"/>
  <c r="AW57" i="13"/>
  <c r="AX57" i="13" s="1"/>
  <c r="BY17" i="13"/>
  <c r="BZ17" i="13" s="1"/>
  <c r="BU17" i="13"/>
  <c r="BV17" i="13" s="1"/>
  <c r="M17" i="13"/>
  <c r="N17" i="13" s="1"/>
  <c r="CR17" i="13" s="1"/>
  <c r="CR26" i="13"/>
  <c r="CR42" i="13"/>
  <c r="BY46" i="13"/>
  <c r="BZ46" i="13" s="1"/>
  <c r="AO46" i="13"/>
  <c r="AP46" i="13" s="1"/>
  <c r="M46" i="13"/>
  <c r="N46" i="13" s="1"/>
  <c r="BU46" i="13"/>
  <c r="BV46" i="13" s="1"/>
  <c r="I46" i="13"/>
  <c r="J46" i="13" s="1"/>
  <c r="Q46" i="13"/>
  <c r="R46" i="13" s="1"/>
  <c r="AH60" i="13"/>
  <c r="B68" i="13" s="1"/>
  <c r="AK12" i="13"/>
  <c r="AL12" i="13" s="1"/>
  <c r="BY21" i="13"/>
  <c r="BZ21" i="13" s="1"/>
  <c r="CK21" i="13"/>
  <c r="CL21" i="13" s="1"/>
  <c r="CG21" i="13"/>
  <c r="CH21" i="13" s="1"/>
  <c r="BU21" i="13"/>
  <c r="BV21" i="13" s="1"/>
  <c r="M21" i="13"/>
  <c r="N21" i="13" s="1"/>
  <c r="AS21" i="13"/>
  <c r="AT21" i="13" s="1"/>
  <c r="AK21" i="13"/>
  <c r="AL21" i="13" s="1"/>
  <c r="BU22" i="13"/>
  <c r="BV22" i="13" s="1"/>
  <c r="AS22" i="13"/>
  <c r="AT22" i="13" s="1"/>
  <c r="Q22" i="13"/>
  <c r="R22" i="13" s="1"/>
  <c r="BY22" i="13"/>
  <c r="BZ22" i="13" s="1"/>
  <c r="CD60" i="13"/>
  <c r="B80" i="13" s="1"/>
  <c r="CG16" i="13"/>
  <c r="CH16" i="13" s="1"/>
  <c r="Q16" i="13"/>
  <c r="R16" i="13" s="1"/>
  <c r="AK46" i="13"/>
  <c r="AL46" i="13" s="1"/>
  <c r="AO48" i="13"/>
  <c r="AP48" i="13" s="1"/>
  <c r="M48" i="13"/>
  <c r="N48" i="13" s="1"/>
  <c r="CK48" i="13"/>
  <c r="CL48" i="13" s="1"/>
  <c r="AS48" i="13"/>
  <c r="AT48" i="13" s="1"/>
  <c r="U48" i="13"/>
  <c r="V48" i="13" s="1"/>
  <c r="CG48" i="13"/>
  <c r="CH48" i="13" s="1"/>
  <c r="I48" i="13"/>
  <c r="J48" i="13" s="1"/>
  <c r="AK48" i="13"/>
  <c r="AL48" i="13" s="1"/>
  <c r="CR54" i="13"/>
  <c r="CG12" i="13"/>
  <c r="CH12" i="13" s="1"/>
  <c r="BY14" i="13"/>
  <c r="BZ14" i="13" s="1"/>
  <c r="AS14" i="13"/>
  <c r="AT14" i="13" s="1"/>
  <c r="BU14" i="13"/>
  <c r="BV14" i="13" s="1"/>
  <c r="M14" i="13"/>
  <c r="N14" i="13" s="1"/>
  <c r="AO14" i="13"/>
  <c r="AP14" i="13" s="1"/>
  <c r="BJ60" i="13"/>
  <c r="B75" i="13" s="1"/>
  <c r="AS16" i="13"/>
  <c r="AT16" i="13" s="1"/>
  <c r="I22" i="13"/>
  <c r="J22" i="13" s="1"/>
  <c r="CK39" i="13"/>
  <c r="CL39" i="13" s="1"/>
  <c r="M39" i="13"/>
  <c r="N39" i="13" s="1"/>
  <c r="BY39" i="13"/>
  <c r="BZ39" i="13" s="1"/>
  <c r="AK39" i="13"/>
  <c r="AL39" i="13" s="1"/>
  <c r="BU39" i="13"/>
  <c r="BV39" i="13" s="1"/>
  <c r="AS46" i="13"/>
  <c r="AT46" i="13" s="1"/>
  <c r="CK12" i="13"/>
  <c r="CL12" i="13" s="1"/>
  <c r="CL60" i="13" s="1"/>
  <c r="B82" i="13" s="1"/>
  <c r="CR29" i="13"/>
  <c r="M32" i="13"/>
  <c r="N32" i="13" s="1"/>
  <c r="CK57" i="13"/>
  <c r="CL57" i="13" s="1"/>
  <c r="BI57" i="13"/>
  <c r="BJ57" i="13" s="1"/>
  <c r="BA57" i="13"/>
  <c r="BB57" i="13" s="1"/>
  <c r="BU57" i="13"/>
  <c r="BV57" i="13" s="1"/>
  <c r="BQ57" i="13"/>
  <c r="BR57" i="13" s="1"/>
  <c r="BM57" i="13"/>
  <c r="BN57" i="13" s="1"/>
  <c r="Q57" i="13"/>
  <c r="R57" i="13" s="1"/>
  <c r="CR57" i="13" s="1"/>
  <c r="BE57" i="13"/>
  <c r="BF57" i="13" s="1"/>
  <c r="AS57" i="13"/>
  <c r="AT57" i="13" s="1"/>
  <c r="AO57" i="13"/>
  <c r="AP57" i="13" s="1"/>
  <c r="AK57" i="13"/>
  <c r="AL57" i="13" s="1"/>
  <c r="CG57" i="13"/>
  <c r="CH57" i="13" s="1"/>
  <c r="BY11" i="13"/>
  <c r="BZ11" i="13" s="1"/>
  <c r="BU11" i="13"/>
  <c r="BV11" i="13" s="1"/>
  <c r="AS11" i="13"/>
  <c r="AT11" i="13" s="1"/>
  <c r="Q11" i="13"/>
  <c r="R11" i="13" s="1"/>
  <c r="BU13" i="13"/>
  <c r="BV13" i="13" s="1"/>
  <c r="M13" i="13"/>
  <c r="N13" i="13" s="1"/>
  <c r="AO13" i="13"/>
  <c r="AP13" i="13" s="1"/>
  <c r="I13" i="13"/>
  <c r="J13" i="13" s="1"/>
  <c r="CK13" i="13"/>
  <c r="CL13" i="13" s="1"/>
  <c r="Q17" i="13"/>
  <c r="R17" i="13" s="1"/>
  <c r="M22" i="13"/>
  <c r="N22" i="13" s="1"/>
  <c r="CR34" i="13"/>
  <c r="BY52" i="13"/>
  <c r="BZ52" i="13" s="1"/>
  <c r="U57" i="13"/>
  <c r="V57" i="13" s="1"/>
  <c r="I14" i="13"/>
  <c r="J14" i="13" s="1"/>
  <c r="M16" i="13"/>
  <c r="N16" i="13" s="1"/>
  <c r="CG19" i="13"/>
  <c r="CH19" i="13" s="1"/>
  <c r="AO19" i="13"/>
  <c r="AP19" i="13" s="1"/>
  <c r="M19" i="13"/>
  <c r="N19" i="13" s="1"/>
  <c r="BY19" i="13"/>
  <c r="BZ19" i="13" s="1"/>
  <c r="I21" i="13"/>
  <c r="J21" i="13" s="1"/>
  <c r="CG46" i="13"/>
  <c r="CH46" i="13" s="1"/>
  <c r="BU12" i="13"/>
  <c r="BV12" i="13" s="1"/>
  <c r="AS12" i="13"/>
  <c r="AT12" i="13" s="1"/>
  <c r="Q12" i="13"/>
  <c r="R12" i="13" s="1"/>
  <c r="BR60" i="13"/>
  <c r="B77" i="13" s="1"/>
  <c r="AO12" i="13"/>
  <c r="AP12" i="13" s="1"/>
  <c r="AP60" i="13" s="1"/>
  <c r="B70" i="13" s="1"/>
  <c r="M12" i="13"/>
  <c r="N12" i="13" s="1"/>
  <c r="BU32" i="13"/>
  <c r="BV32" i="13" s="1"/>
  <c r="AS32" i="13"/>
  <c r="AT32" i="13" s="1"/>
  <c r="Q32" i="13"/>
  <c r="R32" i="13" s="1"/>
  <c r="AK32" i="13"/>
  <c r="AL32" i="13" s="1"/>
  <c r="CK32" i="13"/>
  <c r="CL32" i="13" s="1"/>
  <c r="BY32" i="13"/>
  <c r="BZ32" i="13" s="1"/>
  <c r="AO32" i="13"/>
  <c r="AP32" i="13" s="1"/>
  <c r="I32" i="13"/>
  <c r="J32" i="13" s="1"/>
  <c r="BF60" i="13"/>
  <c r="B74" i="13" s="1"/>
  <c r="Q14" i="13"/>
  <c r="R14" i="13" s="1"/>
  <c r="BN60" i="13"/>
  <c r="B76" i="13" s="1"/>
  <c r="CG22" i="13"/>
  <c r="CH22" i="13" s="1"/>
  <c r="CK25" i="13"/>
  <c r="CL25" i="13" s="1"/>
  <c r="BY25" i="13"/>
  <c r="BZ25" i="13" s="1"/>
  <c r="BU25" i="13"/>
  <c r="BV25" i="13" s="1"/>
  <c r="CG25" i="13"/>
  <c r="CH25" i="13" s="1"/>
  <c r="CR25" i="13" s="1"/>
  <c r="AO25" i="13"/>
  <c r="AP25" i="13" s="1"/>
  <c r="CK46" i="13"/>
  <c r="CL46" i="13" s="1"/>
  <c r="BU52" i="13"/>
  <c r="BV52" i="13" s="1"/>
  <c r="AS52" i="13"/>
  <c r="AT52" i="13" s="1"/>
  <c r="Q52" i="13"/>
  <c r="R52" i="13" s="1"/>
  <c r="M52" i="13"/>
  <c r="N52" i="13" s="1"/>
  <c r="I52" i="13"/>
  <c r="J52" i="13" s="1"/>
  <c r="AK52" i="13"/>
  <c r="AL52" i="13" s="1"/>
  <c r="M15" i="13"/>
  <c r="N15" i="13" s="1"/>
  <c r="AS15" i="13"/>
  <c r="AT15" i="13" s="1"/>
  <c r="I18" i="13"/>
  <c r="J18" i="13" s="1"/>
  <c r="Q15" i="13"/>
  <c r="R15" i="13" s="1"/>
  <c r="BY15" i="13"/>
  <c r="BZ15" i="13" s="1"/>
  <c r="BU45" i="13"/>
  <c r="BV45" i="13" s="1"/>
  <c r="AS45" i="13"/>
  <c r="AT45" i="13" s="1"/>
  <c r="Q45" i="13"/>
  <c r="R45" i="13" s="1"/>
  <c r="AO45" i="13"/>
  <c r="AP45" i="13" s="1"/>
  <c r="BY45" i="13"/>
  <c r="BZ45" i="13" s="1"/>
  <c r="AK45" i="13"/>
  <c r="AL45" i="13" s="1"/>
  <c r="AL60" i="13" s="1"/>
  <c r="B69" i="13" s="1"/>
  <c r="M18" i="13"/>
  <c r="N18" i="13" s="1"/>
  <c r="BB60" i="13"/>
  <c r="B73" i="13" s="1"/>
  <c r="AO20" i="13"/>
  <c r="AP20" i="13" s="1"/>
  <c r="M20" i="13"/>
  <c r="N20" i="13" s="1"/>
  <c r="BY41" i="13"/>
  <c r="BZ41" i="13" s="1"/>
  <c r="AS41" i="13"/>
  <c r="AT41" i="13" s="1"/>
  <c r="CG41" i="13"/>
  <c r="CH41" i="13" s="1"/>
  <c r="M41" i="13"/>
  <c r="N41" i="13" s="1"/>
  <c r="I41" i="13"/>
  <c r="J41" i="13" s="1"/>
  <c r="AO41" i="13"/>
  <c r="AP41" i="13" s="1"/>
  <c r="BU18" i="13"/>
  <c r="BV18" i="13" s="1"/>
  <c r="AS18" i="13"/>
  <c r="AT18" i="13" s="1"/>
  <c r="Q18" i="13"/>
  <c r="R18" i="13" s="1"/>
  <c r="AS31" i="13"/>
  <c r="AT31" i="13" s="1"/>
  <c r="AS33" i="13"/>
  <c r="AT33" i="13" s="1"/>
  <c r="CK35" i="13"/>
  <c r="CL35" i="13" s="1"/>
  <c r="CG35" i="13"/>
  <c r="CH35" i="13" s="1"/>
  <c r="CR35" i="13" s="1"/>
  <c r="I40" i="13"/>
  <c r="J40" i="13" s="1"/>
  <c r="CK43" i="13"/>
  <c r="CL43" i="13" s="1"/>
  <c r="CR43" i="13"/>
  <c r="AK44" i="13"/>
  <c r="AL44" i="13" s="1"/>
  <c r="BU44" i="13"/>
  <c r="BV44" i="13" s="1"/>
  <c r="BQ59" i="13"/>
  <c r="BR59" i="13" s="1"/>
  <c r="CK50" i="13"/>
  <c r="CL50" i="13" s="1"/>
  <c r="BY50" i="13"/>
  <c r="BZ50" i="13" s="1"/>
  <c r="BY53" i="13"/>
  <c r="BZ53" i="13" s="1"/>
  <c r="U53" i="13"/>
  <c r="V53" i="13" s="1"/>
  <c r="AO53" i="13"/>
  <c r="AP53" i="13" s="1"/>
  <c r="M53" i="13"/>
  <c r="N53" i="13" s="1"/>
  <c r="CK53" i="13"/>
  <c r="CL53" i="13" s="1"/>
  <c r="Q53" i="13"/>
  <c r="R53" i="13" s="1"/>
  <c r="CG58" i="13"/>
  <c r="CH58" i="13" s="1"/>
  <c r="BE58" i="13"/>
  <c r="BF58" i="13" s="1"/>
  <c r="BY58" i="13"/>
  <c r="BZ58" i="13" s="1"/>
  <c r="AW58" i="13"/>
  <c r="AX58" i="13" s="1"/>
  <c r="U58" i="13"/>
  <c r="V58" i="13" s="1"/>
  <c r="CK58" i="13"/>
  <c r="CL58" i="13" s="1"/>
  <c r="AO59" i="13"/>
  <c r="AP59" i="13" s="1"/>
  <c r="CG59" i="13"/>
  <c r="CH59" i="13" s="1"/>
  <c r="BY31" i="13"/>
  <c r="BZ31" i="13" s="1"/>
  <c r="CR31" i="13" s="1"/>
  <c r="CK40" i="13"/>
  <c r="CL40" i="13" s="1"/>
  <c r="Q50" i="13"/>
  <c r="R50" i="13" s="1"/>
  <c r="Q58" i="13"/>
  <c r="R58" i="13" s="1"/>
  <c r="BA58" i="13"/>
  <c r="BB58" i="13" s="1"/>
  <c r="AO33" i="13"/>
  <c r="AP33" i="13" s="1"/>
  <c r="M33" i="13"/>
  <c r="N33" i="13" s="1"/>
  <c r="I33" i="13"/>
  <c r="J33" i="13" s="1"/>
  <c r="CG44" i="13"/>
  <c r="CH44" i="13" s="1"/>
  <c r="BY44" i="13"/>
  <c r="BZ44" i="13" s="1"/>
  <c r="CK44" i="13"/>
  <c r="CL44" i="13" s="1"/>
  <c r="AS44" i="13"/>
  <c r="AT44" i="13" s="1"/>
  <c r="CK59" i="13"/>
  <c r="CL59" i="13" s="1"/>
  <c r="AO23" i="13"/>
  <c r="AP23" i="13" s="1"/>
  <c r="M23" i="13"/>
  <c r="N23" i="13" s="1"/>
  <c r="AO35" i="13"/>
  <c r="AP35" i="13" s="1"/>
  <c r="AS38" i="13"/>
  <c r="AT38" i="13" s="1"/>
  <c r="M38" i="13"/>
  <c r="N38" i="13" s="1"/>
  <c r="AK38" i="13"/>
  <c r="AL38" i="13" s="1"/>
  <c r="CR38" i="13" s="1"/>
  <c r="BU43" i="13"/>
  <c r="BV43" i="13" s="1"/>
  <c r="U50" i="13"/>
  <c r="V50" i="13" s="1"/>
  <c r="CR53" i="13"/>
  <c r="BI58" i="13"/>
  <c r="BJ58" i="13" s="1"/>
  <c r="M59" i="13"/>
  <c r="N59" i="13" s="1"/>
  <c r="BA59" i="13"/>
  <c r="BB59" i="13" s="1"/>
  <c r="BU59" i="13"/>
  <c r="BV59" i="13" s="1"/>
  <c r="AS59" i="13"/>
  <c r="AT59" i="13" s="1"/>
  <c r="Q59" i="13"/>
  <c r="R59" i="13" s="1"/>
  <c r="I59" i="13"/>
  <c r="J59" i="13" s="1"/>
  <c r="BM59" i="13"/>
  <c r="BN59" i="13" s="1"/>
  <c r="CG51" i="13"/>
  <c r="CH51" i="13" s="1"/>
  <c r="BY51" i="13"/>
  <c r="BZ51" i="13" s="1"/>
  <c r="U51" i="13"/>
  <c r="V51" i="13" s="1"/>
  <c r="CR51" i="13" s="1"/>
  <c r="CK28" i="13"/>
  <c r="CL28" i="13" s="1"/>
  <c r="CR28" i="13"/>
  <c r="CG29" i="13"/>
  <c r="CH29" i="13" s="1"/>
  <c r="CR30" i="13"/>
  <c r="AK37" i="13"/>
  <c r="AL37" i="13" s="1"/>
  <c r="CR37" i="13" s="1"/>
  <c r="CR36" i="13"/>
  <c r="CR49" i="13"/>
  <c r="BE56" i="13"/>
  <c r="BF56" i="13" s="1"/>
  <c r="CR56" i="13" s="1"/>
  <c r="CR21" i="12"/>
  <c r="Z60" i="12"/>
  <c r="B66" i="12" s="1"/>
  <c r="AD60" i="12"/>
  <c r="B67" i="12" s="1"/>
  <c r="AH60" i="12"/>
  <c r="B68" i="12" s="1"/>
  <c r="CK12" i="12"/>
  <c r="CL12" i="12" s="1"/>
  <c r="CG12" i="12"/>
  <c r="CH12" i="12" s="1"/>
  <c r="BF60" i="12"/>
  <c r="B74" i="12" s="1"/>
  <c r="BB60" i="12"/>
  <c r="B73" i="12" s="1"/>
  <c r="BY12" i="12"/>
  <c r="BZ12" i="12" s="1"/>
  <c r="AX60" i="12"/>
  <c r="B72" i="12" s="1"/>
  <c r="V60" i="12"/>
  <c r="B65" i="12" s="1"/>
  <c r="CK16" i="12"/>
  <c r="CL16" i="12" s="1"/>
  <c r="CG16" i="12"/>
  <c r="CH16" i="12" s="1"/>
  <c r="BY16" i="12"/>
  <c r="BZ16" i="12" s="1"/>
  <c r="Q16" i="12"/>
  <c r="R16" i="12" s="1"/>
  <c r="AO16" i="12"/>
  <c r="AP16" i="12" s="1"/>
  <c r="AS16" i="12"/>
  <c r="AT16" i="12" s="1"/>
  <c r="BU16" i="12"/>
  <c r="BV16" i="12" s="1"/>
  <c r="M16" i="12"/>
  <c r="N16" i="12" s="1"/>
  <c r="BN60" i="12"/>
  <c r="B76" i="12" s="1"/>
  <c r="CR20" i="12"/>
  <c r="CK30" i="12"/>
  <c r="CL30" i="12" s="1"/>
  <c r="CG30" i="12"/>
  <c r="CH30" i="12" s="1"/>
  <c r="I30" i="12"/>
  <c r="J30" i="12" s="1"/>
  <c r="BU30" i="12"/>
  <c r="BV30" i="12" s="1"/>
  <c r="AK30" i="12"/>
  <c r="AL30" i="12" s="1"/>
  <c r="AK33" i="12"/>
  <c r="AL33" i="12" s="1"/>
  <c r="AS33" i="12"/>
  <c r="AT33" i="12" s="1"/>
  <c r="BY39" i="12"/>
  <c r="BZ39" i="12" s="1"/>
  <c r="BU39" i="12"/>
  <c r="BV39" i="12" s="1"/>
  <c r="AS39" i="12"/>
  <c r="AT39" i="12" s="1"/>
  <c r="Q39" i="12"/>
  <c r="R39" i="12" s="1"/>
  <c r="CG39" i="12"/>
  <c r="CH39" i="12" s="1"/>
  <c r="AK39" i="12"/>
  <c r="AL39" i="12" s="1"/>
  <c r="CK39" i="12"/>
  <c r="CL39" i="12" s="1"/>
  <c r="M39" i="12"/>
  <c r="N39" i="12" s="1"/>
  <c r="I39" i="12"/>
  <c r="J39" i="12" s="1"/>
  <c r="AO39" i="12"/>
  <c r="AP39" i="12" s="1"/>
  <c r="AO35" i="12"/>
  <c r="AP35" i="12" s="1"/>
  <c r="M35" i="12"/>
  <c r="N35" i="12" s="1"/>
  <c r="CK35" i="12"/>
  <c r="CL35" i="12" s="1"/>
  <c r="AK35" i="12"/>
  <c r="AL35" i="12" s="1"/>
  <c r="BY35" i="12"/>
  <c r="BZ35" i="12" s="1"/>
  <c r="BU35" i="12"/>
  <c r="BV35" i="12" s="1"/>
  <c r="Q35" i="12"/>
  <c r="R35" i="12" s="1"/>
  <c r="I35" i="12"/>
  <c r="J35" i="12" s="1"/>
  <c r="AS35" i="12"/>
  <c r="AT35" i="12" s="1"/>
  <c r="CG23" i="12"/>
  <c r="CH23" i="12" s="1"/>
  <c r="CK23" i="12"/>
  <c r="CL23" i="12" s="1"/>
  <c r="AS23" i="12"/>
  <c r="AT23" i="12" s="1"/>
  <c r="M23" i="12"/>
  <c r="N23" i="12" s="1"/>
  <c r="BY23" i="12"/>
  <c r="BZ23" i="12" s="1"/>
  <c r="AO23" i="12"/>
  <c r="AP23" i="12" s="1"/>
  <c r="I23" i="12"/>
  <c r="J23" i="12" s="1"/>
  <c r="BU23" i="12"/>
  <c r="BV23" i="12" s="1"/>
  <c r="AK23" i="12"/>
  <c r="AL23" i="12" s="1"/>
  <c r="AL60" i="12" s="1"/>
  <c r="B69" i="12" s="1"/>
  <c r="BR60" i="12"/>
  <c r="B77" i="12" s="1"/>
  <c r="I12" i="12"/>
  <c r="J12" i="12" s="1"/>
  <c r="CG13" i="12"/>
  <c r="CH13" i="12" s="1"/>
  <c r="BY13" i="12"/>
  <c r="BZ13" i="12" s="1"/>
  <c r="BU13" i="12"/>
  <c r="BV13" i="12" s="1"/>
  <c r="AS13" i="12"/>
  <c r="AT13" i="12" s="1"/>
  <c r="Q13" i="12"/>
  <c r="R13" i="12" s="1"/>
  <c r="CG14" i="12"/>
  <c r="CH14" i="12" s="1"/>
  <c r="BJ60" i="12"/>
  <c r="B75" i="12" s="1"/>
  <c r="BU26" i="12"/>
  <c r="BV26" i="12" s="1"/>
  <c r="AS26" i="12"/>
  <c r="AT26" i="12" s="1"/>
  <c r="Q26" i="12"/>
  <c r="R26" i="12" s="1"/>
  <c r="AO26" i="12"/>
  <c r="AP26" i="12" s="1"/>
  <c r="M26" i="12"/>
  <c r="N26" i="12" s="1"/>
  <c r="CK26" i="12"/>
  <c r="CL26" i="12" s="1"/>
  <c r="I26" i="12"/>
  <c r="J26" i="12" s="1"/>
  <c r="CG26" i="12"/>
  <c r="CH26" i="12" s="1"/>
  <c r="AK26" i="12"/>
  <c r="AL26" i="12" s="1"/>
  <c r="BY26" i="12"/>
  <c r="BZ26" i="12" s="1"/>
  <c r="CR34" i="12"/>
  <c r="CK14" i="12"/>
  <c r="CL14" i="12" s="1"/>
  <c r="CR27" i="12"/>
  <c r="AS30" i="12"/>
  <c r="AT30" i="12" s="1"/>
  <c r="BY33" i="12"/>
  <c r="BZ33" i="12" s="1"/>
  <c r="AO33" i="12"/>
  <c r="AP33" i="12" s="1"/>
  <c r="M33" i="12"/>
  <c r="N33" i="12" s="1"/>
  <c r="BU33" i="12"/>
  <c r="BV33" i="12" s="1"/>
  <c r="CK33" i="12"/>
  <c r="CL33" i="12" s="1"/>
  <c r="CG33" i="12"/>
  <c r="CH33" i="12" s="1"/>
  <c r="Q33" i="12"/>
  <c r="R33" i="12" s="1"/>
  <c r="I33" i="12"/>
  <c r="J33" i="12" s="1"/>
  <c r="CR36" i="12"/>
  <c r="M12" i="12"/>
  <c r="N12" i="12" s="1"/>
  <c r="BY14" i="12"/>
  <c r="BZ14" i="12" s="1"/>
  <c r="BU14" i="12"/>
  <c r="BV14" i="12" s="1"/>
  <c r="AS14" i="12"/>
  <c r="AT14" i="12" s="1"/>
  <c r="Q14" i="12"/>
  <c r="R14" i="12" s="1"/>
  <c r="AO14" i="12"/>
  <c r="AP14" i="12" s="1"/>
  <c r="AP60" i="12" s="1"/>
  <c r="B70" i="12" s="1"/>
  <c r="M14" i="12"/>
  <c r="N14" i="12" s="1"/>
  <c r="CK17" i="12"/>
  <c r="CL17" i="12" s="1"/>
  <c r="CL60" i="12" s="1"/>
  <c r="B82" i="12" s="1"/>
  <c r="CG17" i="12"/>
  <c r="CH17" i="12" s="1"/>
  <c r="Q17" i="12"/>
  <c r="R17" i="12" s="1"/>
  <c r="BY17" i="12"/>
  <c r="BZ17" i="12" s="1"/>
  <c r="AS17" i="12"/>
  <c r="AT17" i="12" s="1"/>
  <c r="M17" i="12"/>
  <c r="N17" i="12" s="1"/>
  <c r="Q12" i="12"/>
  <c r="R12" i="12" s="1"/>
  <c r="CG15" i="12"/>
  <c r="CH15" i="12" s="1"/>
  <c r="BY15" i="12"/>
  <c r="BZ15" i="12" s="1"/>
  <c r="Q15" i="12"/>
  <c r="R15" i="12" s="1"/>
  <c r="AS15" i="12"/>
  <c r="AT15" i="12" s="1"/>
  <c r="BU15" i="12"/>
  <c r="BV15" i="12" s="1"/>
  <c r="M15" i="12"/>
  <c r="N15" i="12" s="1"/>
  <c r="AO15" i="12"/>
  <c r="AP15" i="12" s="1"/>
  <c r="I15" i="12"/>
  <c r="J15" i="12" s="1"/>
  <c r="AO17" i="12"/>
  <c r="AP17" i="12" s="1"/>
  <c r="M30" i="12"/>
  <c r="N30" i="12" s="1"/>
  <c r="BY30" i="12"/>
  <c r="BZ30" i="12" s="1"/>
  <c r="CR42" i="12"/>
  <c r="BY24" i="12"/>
  <c r="BZ24" i="12" s="1"/>
  <c r="CR24" i="12"/>
  <c r="CK50" i="12"/>
  <c r="CL50" i="12" s="1"/>
  <c r="U50" i="12"/>
  <c r="V50" i="12" s="1"/>
  <c r="Q50" i="12"/>
  <c r="R50" i="12" s="1"/>
  <c r="CG38" i="12"/>
  <c r="CH38" i="12" s="1"/>
  <c r="BY38" i="12"/>
  <c r="BZ38" i="12" s="1"/>
  <c r="CK38" i="12"/>
  <c r="CL38" i="12" s="1"/>
  <c r="AO38" i="12"/>
  <c r="AP38" i="12" s="1"/>
  <c r="AK38" i="12"/>
  <c r="AL38" i="12" s="1"/>
  <c r="BU38" i="12"/>
  <c r="BV38" i="12" s="1"/>
  <c r="BU32" i="12"/>
  <c r="BV32" i="12" s="1"/>
  <c r="AS32" i="12"/>
  <c r="AT32" i="12" s="1"/>
  <c r="Q32" i="12"/>
  <c r="R32" i="12" s="1"/>
  <c r="BY32" i="12"/>
  <c r="BZ32" i="12" s="1"/>
  <c r="AK32" i="12"/>
  <c r="AL32" i="12" s="1"/>
  <c r="BA59" i="12"/>
  <c r="BB59" i="12" s="1"/>
  <c r="BU59" i="12"/>
  <c r="BV59" i="12" s="1"/>
  <c r="AS59" i="12"/>
  <c r="AT59" i="12" s="1"/>
  <c r="Q59" i="12"/>
  <c r="R59" i="12" s="1"/>
  <c r="CK59" i="12"/>
  <c r="CL59" i="12" s="1"/>
  <c r="AO59" i="12"/>
  <c r="AP59" i="12" s="1"/>
  <c r="CG59" i="12"/>
  <c r="CH59" i="12" s="1"/>
  <c r="AK59" i="12"/>
  <c r="AL59" i="12" s="1"/>
  <c r="BY59" i="12"/>
  <c r="BZ59" i="12" s="1"/>
  <c r="BQ59" i="12"/>
  <c r="BR59" i="12" s="1"/>
  <c r="CK22" i="12"/>
  <c r="CL22" i="12" s="1"/>
  <c r="CG22" i="12"/>
  <c r="CH22" i="12" s="1"/>
  <c r="I32" i="12"/>
  <c r="J32" i="12" s="1"/>
  <c r="BY40" i="12"/>
  <c r="BZ40" i="12" s="1"/>
  <c r="BU40" i="12"/>
  <c r="BV40" i="12" s="1"/>
  <c r="AS40" i="12"/>
  <c r="AT40" i="12" s="1"/>
  <c r="Q40" i="12"/>
  <c r="R40" i="12" s="1"/>
  <c r="AO40" i="12"/>
  <c r="AP40" i="12" s="1"/>
  <c r="M40" i="12"/>
  <c r="N40" i="12" s="1"/>
  <c r="BY46" i="12"/>
  <c r="BZ46" i="12" s="1"/>
  <c r="AO46" i="12"/>
  <c r="AP46" i="12" s="1"/>
  <c r="M46" i="12"/>
  <c r="N46" i="12" s="1"/>
  <c r="CK46" i="12"/>
  <c r="CL46" i="12" s="1"/>
  <c r="AS46" i="12"/>
  <c r="AT46" i="12" s="1"/>
  <c r="CG46" i="12"/>
  <c r="CH46" i="12" s="1"/>
  <c r="AK46" i="12"/>
  <c r="AL46" i="12" s="1"/>
  <c r="CR46" i="12" s="1"/>
  <c r="CR51" i="12"/>
  <c r="AO55" i="12"/>
  <c r="AP55" i="12" s="1"/>
  <c r="M55" i="12"/>
  <c r="N55" i="12" s="1"/>
  <c r="CK55" i="12"/>
  <c r="CL55" i="12" s="1"/>
  <c r="BY55" i="12"/>
  <c r="BZ55" i="12" s="1"/>
  <c r="BU55" i="12"/>
  <c r="BV55" i="12" s="1"/>
  <c r="U55" i="12"/>
  <c r="V55" i="12" s="1"/>
  <c r="CK19" i="12"/>
  <c r="CL19" i="12" s="1"/>
  <c r="CR19" i="12" s="1"/>
  <c r="BY25" i="12"/>
  <c r="BZ25" i="12" s="1"/>
  <c r="BU25" i="12"/>
  <c r="BV25" i="12" s="1"/>
  <c r="AS25" i="12"/>
  <c r="AT25" i="12" s="1"/>
  <c r="Q25" i="12"/>
  <c r="R25" i="12" s="1"/>
  <c r="AO50" i="12"/>
  <c r="AP50" i="12" s="1"/>
  <c r="CR50" i="12" s="1"/>
  <c r="CR22" i="12"/>
  <c r="CK29" i="12"/>
  <c r="CL29" i="12" s="1"/>
  <c r="CG29" i="12"/>
  <c r="CH29" i="12" s="1"/>
  <c r="M32" i="12"/>
  <c r="N32" i="12" s="1"/>
  <c r="AK40" i="12"/>
  <c r="AL40" i="12" s="1"/>
  <c r="AW59" i="12"/>
  <c r="AX59" i="12" s="1"/>
  <c r="CR28" i="12"/>
  <c r="CR29" i="12"/>
  <c r="CR47" i="12"/>
  <c r="AS50" i="12"/>
  <c r="AT50" i="12" s="1"/>
  <c r="AS55" i="12"/>
  <c r="AT55" i="12" s="1"/>
  <c r="BE59" i="12"/>
  <c r="BF59" i="12" s="1"/>
  <c r="AS38" i="12"/>
  <c r="AT38" i="12" s="1"/>
  <c r="CG31" i="12"/>
  <c r="CH31" i="12" s="1"/>
  <c r="AK37" i="12"/>
  <c r="AL37" i="12" s="1"/>
  <c r="BY45" i="12"/>
  <c r="BZ45" i="12" s="1"/>
  <c r="AK48" i="12"/>
  <c r="AL48" i="12" s="1"/>
  <c r="CG51" i="12"/>
  <c r="CH51" i="12" s="1"/>
  <c r="BY51" i="12"/>
  <c r="BZ51" i="12" s="1"/>
  <c r="U51" i="12"/>
  <c r="V51" i="12" s="1"/>
  <c r="AO52" i="12"/>
  <c r="AP52" i="12" s="1"/>
  <c r="CR52" i="12" s="1"/>
  <c r="BU58" i="12"/>
  <c r="BV58" i="12" s="1"/>
  <c r="BY37" i="12"/>
  <c r="BZ37" i="12" s="1"/>
  <c r="CK43" i="12"/>
  <c r="CL43" i="12" s="1"/>
  <c r="CR43" i="12" s="1"/>
  <c r="AK45" i="12"/>
  <c r="AL45" i="12" s="1"/>
  <c r="CG45" i="12"/>
  <c r="CH45" i="12" s="1"/>
  <c r="AS48" i="12"/>
  <c r="AT48" i="12" s="1"/>
  <c r="AK58" i="12"/>
  <c r="AL58" i="12" s="1"/>
  <c r="CK31" i="12"/>
  <c r="CL31" i="12" s="1"/>
  <c r="I37" i="12"/>
  <c r="J37" i="12" s="1"/>
  <c r="CG48" i="12"/>
  <c r="CH48" i="12" s="1"/>
  <c r="BU52" i="12"/>
  <c r="BV52" i="12" s="1"/>
  <c r="AS52" i="12"/>
  <c r="AT52" i="12" s="1"/>
  <c r="Q52" i="12"/>
  <c r="R52" i="12" s="1"/>
  <c r="CG44" i="12"/>
  <c r="CH44" i="12" s="1"/>
  <c r="BY44" i="12"/>
  <c r="BZ44" i="12" s="1"/>
  <c r="CR44" i="12"/>
  <c r="AO45" i="12"/>
  <c r="AP45" i="12" s="1"/>
  <c r="I48" i="12"/>
  <c r="J48" i="12" s="1"/>
  <c r="BY53" i="12"/>
  <c r="BZ53" i="12" s="1"/>
  <c r="CR53" i="12" s="1"/>
  <c r="U53" i="12"/>
  <c r="V53" i="12" s="1"/>
  <c r="AO53" i="12"/>
  <c r="AP53" i="12" s="1"/>
  <c r="M53" i="12"/>
  <c r="N53" i="12" s="1"/>
  <c r="CK57" i="12"/>
  <c r="CL57" i="12" s="1"/>
  <c r="BI57" i="12"/>
  <c r="BJ57" i="12" s="1"/>
  <c r="BA57" i="12"/>
  <c r="BB57" i="12" s="1"/>
  <c r="CR57" i="12" s="1"/>
  <c r="AO58" i="12"/>
  <c r="AP58" i="12" s="1"/>
  <c r="BY31" i="12"/>
  <c r="BZ31" i="12" s="1"/>
  <c r="CK37" i="12"/>
  <c r="CL37" i="12" s="1"/>
  <c r="CG37" i="12"/>
  <c r="CH37" i="12" s="1"/>
  <c r="AO48" i="12"/>
  <c r="AP48" i="12" s="1"/>
  <c r="M48" i="12"/>
  <c r="N48" i="12" s="1"/>
  <c r="CK48" i="12"/>
  <c r="CL48" i="12" s="1"/>
  <c r="BU45" i="12"/>
  <c r="BV45" i="12" s="1"/>
  <c r="AS45" i="12"/>
  <c r="AT45" i="12" s="1"/>
  <c r="Q45" i="12"/>
  <c r="R45" i="12" s="1"/>
  <c r="CR54" i="12"/>
  <c r="CG58" i="12"/>
  <c r="CH58" i="12" s="1"/>
  <c r="BE58" i="12"/>
  <c r="BF58" i="12" s="1"/>
  <c r="BY58" i="12"/>
  <c r="BZ58" i="12" s="1"/>
  <c r="AW58" i="12"/>
  <c r="AX58" i="12" s="1"/>
  <c r="U58" i="12"/>
  <c r="V58" i="12" s="1"/>
  <c r="CR49" i="12"/>
  <c r="BE56" i="12"/>
  <c r="BF56" i="12" s="1"/>
  <c r="CR56" i="12" s="1"/>
  <c r="CR11" i="11"/>
  <c r="BY38" i="11"/>
  <c r="BZ38" i="11" s="1"/>
  <c r="AO38" i="11"/>
  <c r="AP38" i="11" s="1"/>
  <c r="I38" i="11"/>
  <c r="J38" i="11" s="1"/>
  <c r="Q38" i="11"/>
  <c r="R38" i="11" s="1"/>
  <c r="CK38" i="11"/>
  <c r="CL38" i="11" s="1"/>
  <c r="M38" i="11"/>
  <c r="N38" i="11" s="1"/>
  <c r="AS38" i="11"/>
  <c r="AT38" i="11" s="1"/>
  <c r="CR36" i="11"/>
  <c r="AO27" i="11"/>
  <c r="AP27" i="11" s="1"/>
  <c r="CG27" i="11"/>
  <c r="CH27" i="11" s="1"/>
  <c r="Q27" i="11"/>
  <c r="R27" i="11" s="1"/>
  <c r="BY27" i="11"/>
  <c r="BZ27" i="11" s="1"/>
  <c r="AS27" i="11"/>
  <c r="AT27" i="11" s="1"/>
  <c r="I27" i="11"/>
  <c r="J27" i="11" s="1"/>
  <c r="CK27" i="11"/>
  <c r="CL27" i="11" s="1"/>
  <c r="AK27" i="11"/>
  <c r="AL27" i="11" s="1"/>
  <c r="BU27" i="11"/>
  <c r="BV27" i="11" s="1"/>
  <c r="AO41" i="11"/>
  <c r="AP41" i="11" s="1"/>
  <c r="M41" i="11"/>
  <c r="N41" i="11" s="1"/>
  <c r="CG41" i="11"/>
  <c r="CH41" i="11" s="1"/>
  <c r="AK41" i="11"/>
  <c r="AL41" i="11" s="1"/>
  <c r="BY41" i="11"/>
  <c r="BZ41" i="11" s="1"/>
  <c r="CK41" i="11"/>
  <c r="CL41" i="11" s="1"/>
  <c r="BU41" i="11"/>
  <c r="BV41" i="11" s="1"/>
  <c r="I41" i="11"/>
  <c r="J41" i="11" s="1"/>
  <c r="Q41" i="11"/>
  <c r="R41" i="11" s="1"/>
  <c r="CR51" i="11"/>
  <c r="BY21" i="11"/>
  <c r="BZ21" i="11" s="1"/>
  <c r="AS21" i="11"/>
  <c r="AT21" i="11" s="1"/>
  <c r="Q21" i="11"/>
  <c r="R21" i="11" s="1"/>
  <c r="AO21" i="11"/>
  <c r="AP21" i="11" s="1"/>
  <c r="CG21" i="11"/>
  <c r="CH21" i="11" s="1"/>
  <c r="BU21" i="11"/>
  <c r="BV21" i="11" s="1"/>
  <c r="AK21" i="11"/>
  <c r="AL21" i="11" s="1"/>
  <c r="Z60" i="11"/>
  <c r="B66" i="11" s="1"/>
  <c r="CK23" i="11"/>
  <c r="CL23" i="11" s="1"/>
  <c r="CG23" i="11"/>
  <c r="CH23" i="11" s="1"/>
  <c r="AO23" i="11"/>
  <c r="AP23" i="11" s="1"/>
  <c r="M23" i="11"/>
  <c r="N23" i="11" s="1"/>
  <c r="CR23" i="11" s="1"/>
  <c r="AD60" i="11"/>
  <c r="B67" i="11" s="1"/>
  <c r="BY14" i="11"/>
  <c r="BZ14" i="11" s="1"/>
  <c r="CG14" i="11"/>
  <c r="CH14" i="11" s="1"/>
  <c r="Q14" i="11"/>
  <c r="R14" i="11" s="1"/>
  <c r="I14" i="11"/>
  <c r="J14" i="11" s="1"/>
  <c r="CK19" i="11"/>
  <c r="CL19" i="11" s="1"/>
  <c r="CG19" i="11"/>
  <c r="CH19" i="11" s="1"/>
  <c r="AS19" i="11"/>
  <c r="AT19" i="11" s="1"/>
  <c r="M19" i="11"/>
  <c r="N19" i="11" s="1"/>
  <c r="CR19" i="11" s="1"/>
  <c r="CG44" i="11"/>
  <c r="CH44" i="11" s="1"/>
  <c r="CK44" i="11"/>
  <c r="CL44" i="11" s="1"/>
  <c r="Q44" i="11"/>
  <c r="R44" i="11" s="1"/>
  <c r="BY44" i="11"/>
  <c r="BZ44" i="11" s="1"/>
  <c r="M44" i="11"/>
  <c r="N44" i="11" s="1"/>
  <c r="AO44" i="11"/>
  <c r="AP44" i="11" s="1"/>
  <c r="AO26" i="11"/>
  <c r="AP26" i="11" s="1"/>
  <c r="I26" i="11"/>
  <c r="J26" i="11" s="1"/>
  <c r="AK26" i="11"/>
  <c r="AL26" i="11" s="1"/>
  <c r="BN60" i="11"/>
  <c r="B76" i="11" s="1"/>
  <c r="Q26" i="11"/>
  <c r="R26" i="11" s="1"/>
  <c r="M26" i="11"/>
  <c r="N26" i="11" s="1"/>
  <c r="AS26" i="11"/>
  <c r="AT26" i="11" s="1"/>
  <c r="CG26" i="11"/>
  <c r="CH26" i="11" s="1"/>
  <c r="BU34" i="11"/>
  <c r="BV34" i="11" s="1"/>
  <c r="AS34" i="11"/>
  <c r="AT34" i="11" s="1"/>
  <c r="Q34" i="11"/>
  <c r="R34" i="11" s="1"/>
  <c r="AO34" i="11"/>
  <c r="AP34" i="11" s="1"/>
  <c r="M34" i="11"/>
  <c r="N34" i="11" s="1"/>
  <c r="CG34" i="11"/>
  <c r="CH34" i="11" s="1"/>
  <c r="BY34" i="11"/>
  <c r="BZ34" i="11" s="1"/>
  <c r="I34" i="11"/>
  <c r="J34" i="11" s="1"/>
  <c r="CK34" i="11"/>
  <c r="CL34" i="11" s="1"/>
  <c r="AK38" i="11"/>
  <c r="AL38" i="11" s="1"/>
  <c r="AH60" i="11"/>
  <c r="B68" i="11" s="1"/>
  <c r="CG13" i="11"/>
  <c r="CH13" i="11" s="1"/>
  <c r="BB60" i="11"/>
  <c r="B73" i="11" s="1"/>
  <c r="CK13" i="11"/>
  <c r="CL13" i="11" s="1"/>
  <c r="BY13" i="11"/>
  <c r="BZ13" i="11" s="1"/>
  <c r="AS13" i="11"/>
  <c r="AT13" i="11" s="1"/>
  <c r="Q13" i="11"/>
  <c r="R13" i="11" s="1"/>
  <c r="BU13" i="11"/>
  <c r="BV13" i="11" s="1"/>
  <c r="AO13" i="11"/>
  <c r="AP13" i="11" s="1"/>
  <c r="M13" i="11"/>
  <c r="N13" i="11" s="1"/>
  <c r="AK23" i="11"/>
  <c r="AL23" i="11" s="1"/>
  <c r="BY33" i="11"/>
  <c r="BZ33" i="11" s="1"/>
  <c r="BU33" i="11"/>
  <c r="BV33" i="11" s="1"/>
  <c r="AS33" i="11"/>
  <c r="AT33" i="11" s="1"/>
  <c r="Q33" i="11"/>
  <c r="R33" i="11" s="1"/>
  <c r="AK33" i="11"/>
  <c r="AL33" i="11" s="1"/>
  <c r="CK33" i="11"/>
  <c r="CL33" i="11" s="1"/>
  <c r="CG33" i="11"/>
  <c r="CH33" i="11" s="1"/>
  <c r="M33" i="11"/>
  <c r="N33" i="11" s="1"/>
  <c r="AO19" i="11"/>
  <c r="AP19" i="11" s="1"/>
  <c r="BU26" i="11"/>
  <c r="BV26" i="11" s="1"/>
  <c r="BU38" i="11"/>
  <c r="BV38" i="11" s="1"/>
  <c r="AS41" i="11"/>
  <c r="AT41" i="11" s="1"/>
  <c r="BU54" i="11"/>
  <c r="BV54" i="11" s="1"/>
  <c r="AS54" i="11"/>
  <c r="AT54" i="11" s="1"/>
  <c r="Q54" i="11"/>
  <c r="R54" i="11" s="1"/>
  <c r="AO54" i="11"/>
  <c r="AP54" i="11" s="1"/>
  <c r="M54" i="11"/>
  <c r="N54" i="11" s="1"/>
  <c r="BY54" i="11"/>
  <c r="BZ54" i="11" s="1"/>
  <c r="AK54" i="11"/>
  <c r="AL54" i="11" s="1"/>
  <c r="CG54" i="11"/>
  <c r="CH54" i="11" s="1"/>
  <c r="U54" i="11"/>
  <c r="V54" i="11" s="1"/>
  <c r="AS23" i="11"/>
  <c r="AT23" i="11" s="1"/>
  <c r="BY26" i="11"/>
  <c r="BZ26" i="11" s="1"/>
  <c r="CG38" i="11"/>
  <c r="CH38" i="11" s="1"/>
  <c r="CK12" i="11"/>
  <c r="CL12" i="11" s="1"/>
  <c r="CL60" i="11" s="1"/>
  <c r="B82" i="11" s="1"/>
  <c r="CG12" i="11"/>
  <c r="CH12" i="11" s="1"/>
  <c r="BF60" i="11"/>
  <c r="B74" i="11" s="1"/>
  <c r="CG24" i="11"/>
  <c r="CH24" i="11" s="1"/>
  <c r="CK43" i="11"/>
  <c r="CL43" i="11" s="1"/>
  <c r="CG43" i="11"/>
  <c r="CH43" i="11" s="1"/>
  <c r="BY43" i="11"/>
  <c r="BZ43" i="11" s="1"/>
  <c r="AO43" i="11"/>
  <c r="AP43" i="11" s="1"/>
  <c r="M43" i="11"/>
  <c r="N43" i="11" s="1"/>
  <c r="AK43" i="11"/>
  <c r="AL43" i="11" s="1"/>
  <c r="BU47" i="11"/>
  <c r="BV47" i="11" s="1"/>
  <c r="AS47" i="11"/>
  <c r="AT47" i="11" s="1"/>
  <c r="Q47" i="11"/>
  <c r="R47" i="11" s="1"/>
  <c r="AO47" i="11"/>
  <c r="AP47" i="11" s="1"/>
  <c r="M47" i="11"/>
  <c r="N47" i="11" s="1"/>
  <c r="CG47" i="11"/>
  <c r="CH47" i="11" s="1"/>
  <c r="AK47" i="11"/>
  <c r="AL47" i="11" s="1"/>
  <c r="BY47" i="11"/>
  <c r="BZ47" i="11" s="1"/>
  <c r="BA59" i="11"/>
  <c r="BB59" i="11" s="1"/>
  <c r="BY59" i="11"/>
  <c r="BZ59" i="11" s="1"/>
  <c r="AW59" i="11"/>
  <c r="AX59" i="11" s="1"/>
  <c r="U59" i="11"/>
  <c r="V59" i="11" s="1"/>
  <c r="AO59" i="11"/>
  <c r="AP59" i="11" s="1"/>
  <c r="I59" i="11"/>
  <c r="J59" i="11" s="1"/>
  <c r="BU59" i="11"/>
  <c r="BV59" i="11" s="1"/>
  <c r="AK59" i="11"/>
  <c r="AL59" i="11" s="1"/>
  <c r="BM59" i="11"/>
  <c r="BN59" i="11" s="1"/>
  <c r="I12" i="11"/>
  <c r="J12" i="11" s="1"/>
  <c r="AK12" i="11"/>
  <c r="AL12" i="11" s="1"/>
  <c r="AL60" i="11" s="1"/>
  <c r="B69" i="11" s="1"/>
  <c r="BR60" i="11"/>
  <c r="B77" i="11" s="1"/>
  <c r="Q24" i="11"/>
  <c r="R24" i="11" s="1"/>
  <c r="CR24" i="11" s="1"/>
  <c r="BY15" i="11"/>
  <c r="BZ15" i="11" s="1"/>
  <c r="BU15" i="11"/>
  <c r="BV15" i="11" s="1"/>
  <c r="AS15" i="11"/>
  <c r="AT15" i="11" s="1"/>
  <c r="Q15" i="11"/>
  <c r="R15" i="11" s="1"/>
  <c r="CG37" i="11"/>
  <c r="CH37" i="11" s="1"/>
  <c r="BU37" i="11"/>
  <c r="BV37" i="11" s="1"/>
  <c r="CR48" i="11"/>
  <c r="CG20" i="11"/>
  <c r="CH20" i="11" s="1"/>
  <c r="CR20" i="11"/>
  <c r="BY20" i="11"/>
  <c r="BZ20" i="11" s="1"/>
  <c r="I37" i="11"/>
  <c r="J37" i="11" s="1"/>
  <c r="AS37" i="11"/>
  <c r="AT37" i="11" s="1"/>
  <c r="BY39" i="11"/>
  <c r="BZ39" i="11" s="1"/>
  <c r="BJ60" i="11"/>
  <c r="B75" i="11" s="1"/>
  <c r="CK39" i="11"/>
  <c r="CL39" i="11" s="1"/>
  <c r="AS39" i="11"/>
  <c r="AT39" i="11" s="1"/>
  <c r="I39" i="11"/>
  <c r="J39" i="11" s="1"/>
  <c r="Q43" i="11"/>
  <c r="R43" i="11" s="1"/>
  <c r="I47" i="11"/>
  <c r="J47" i="11" s="1"/>
  <c r="AO37" i="11"/>
  <c r="AP37" i="11" s="1"/>
  <c r="CK50" i="11"/>
  <c r="CL50" i="11" s="1"/>
  <c r="CG50" i="11"/>
  <c r="CH50" i="11" s="1"/>
  <c r="AS50" i="11"/>
  <c r="AT50" i="11" s="1"/>
  <c r="Q50" i="11"/>
  <c r="R50" i="11" s="1"/>
  <c r="BY50" i="11"/>
  <c r="BZ50" i="11" s="1"/>
  <c r="M12" i="11"/>
  <c r="N12" i="11" s="1"/>
  <c r="AO12" i="11"/>
  <c r="AP12" i="11" s="1"/>
  <c r="BU12" i="11"/>
  <c r="BV12" i="11" s="1"/>
  <c r="AK39" i="11"/>
  <c r="AL39" i="11" s="1"/>
  <c r="BY45" i="11"/>
  <c r="BZ45" i="11" s="1"/>
  <c r="Q45" i="11"/>
  <c r="R45" i="11" s="1"/>
  <c r="M45" i="11"/>
  <c r="N45" i="11" s="1"/>
  <c r="CK45" i="11"/>
  <c r="CL45" i="11" s="1"/>
  <c r="AS45" i="11"/>
  <c r="AT45" i="11" s="1"/>
  <c r="I45" i="11"/>
  <c r="J45" i="11" s="1"/>
  <c r="I50" i="11"/>
  <c r="J50" i="11" s="1"/>
  <c r="BE59" i="11"/>
  <c r="BF59" i="11" s="1"/>
  <c r="V60" i="11"/>
  <c r="B65" i="11" s="1"/>
  <c r="AX60" i="11"/>
  <c r="B72" i="11" s="1"/>
  <c r="CD60" i="11"/>
  <c r="B80" i="11" s="1"/>
  <c r="CG22" i="11"/>
  <c r="CH22" i="11" s="1"/>
  <c r="BY22" i="11"/>
  <c r="BZ22" i="11" s="1"/>
  <c r="Q22" i="11"/>
  <c r="R22" i="11" s="1"/>
  <c r="AK24" i="11"/>
  <c r="AL24" i="11" s="1"/>
  <c r="BY32" i="11"/>
  <c r="BZ32" i="11" s="1"/>
  <c r="CG32" i="11"/>
  <c r="CH32" i="11" s="1"/>
  <c r="AS32" i="11"/>
  <c r="AT32" i="11" s="1"/>
  <c r="M32" i="11"/>
  <c r="N32" i="11" s="1"/>
  <c r="CK32" i="11"/>
  <c r="CL32" i="11" s="1"/>
  <c r="AO32" i="11"/>
  <c r="AP32" i="11" s="1"/>
  <c r="AK32" i="11"/>
  <c r="AL32" i="11" s="1"/>
  <c r="BU32" i="11"/>
  <c r="BV32" i="11" s="1"/>
  <c r="BU43" i="11"/>
  <c r="BV43" i="11" s="1"/>
  <c r="U50" i="11"/>
  <c r="V50" i="11" s="1"/>
  <c r="Q59" i="11"/>
  <c r="R59" i="11" s="1"/>
  <c r="CG59" i="11"/>
  <c r="CH59" i="11" s="1"/>
  <c r="I15" i="11"/>
  <c r="J15" i="11" s="1"/>
  <c r="AO15" i="11"/>
  <c r="AP15" i="11" s="1"/>
  <c r="AP60" i="11" s="1"/>
  <c r="B70" i="11" s="1"/>
  <c r="BY24" i="11"/>
  <c r="BZ24" i="11" s="1"/>
  <c r="CR28" i="11"/>
  <c r="CR55" i="11"/>
  <c r="CR35" i="11"/>
  <c r="M16" i="11"/>
  <c r="N16" i="11" s="1"/>
  <c r="CR16" i="11" s="1"/>
  <c r="AO16" i="11"/>
  <c r="AP16" i="11" s="1"/>
  <c r="CK57" i="11"/>
  <c r="CL57" i="11" s="1"/>
  <c r="BI57" i="11"/>
  <c r="BJ57" i="11" s="1"/>
  <c r="CG57" i="11"/>
  <c r="CH57" i="11" s="1"/>
  <c r="BE57" i="11"/>
  <c r="BF57" i="11" s="1"/>
  <c r="AW57" i="11"/>
  <c r="AX57" i="11" s="1"/>
  <c r="U57" i="11"/>
  <c r="V57" i="11" s="1"/>
  <c r="AS57" i="11"/>
  <c r="AT57" i="11" s="1"/>
  <c r="Q57" i="11"/>
  <c r="R57" i="11" s="1"/>
  <c r="CR57" i="11" s="1"/>
  <c r="Q16" i="11"/>
  <c r="R16" i="11" s="1"/>
  <c r="AS16" i="11"/>
  <c r="AT16" i="11" s="1"/>
  <c r="CR25" i="11"/>
  <c r="CG31" i="11"/>
  <c r="CH31" i="11" s="1"/>
  <c r="CR31" i="11"/>
  <c r="BU40" i="11"/>
  <c r="BV40" i="11" s="1"/>
  <c r="AS40" i="11"/>
  <c r="AT40" i="11" s="1"/>
  <c r="Q40" i="11"/>
  <c r="R40" i="11" s="1"/>
  <c r="I40" i="11"/>
  <c r="J40" i="11" s="1"/>
  <c r="AO40" i="11"/>
  <c r="AP40" i="11" s="1"/>
  <c r="BY46" i="11"/>
  <c r="BZ46" i="11" s="1"/>
  <c r="BU46" i="11"/>
  <c r="BV46" i="11" s="1"/>
  <c r="AS46" i="11"/>
  <c r="AT46" i="11" s="1"/>
  <c r="Q46" i="11"/>
  <c r="R46" i="11" s="1"/>
  <c r="CK46" i="11"/>
  <c r="CL46" i="11" s="1"/>
  <c r="M46" i="11"/>
  <c r="N46" i="11" s="1"/>
  <c r="BY52" i="11"/>
  <c r="BZ52" i="11" s="1"/>
  <c r="U52" i="11"/>
  <c r="V52" i="11" s="1"/>
  <c r="BU52" i="11"/>
  <c r="BV52" i="11" s="1"/>
  <c r="AK52" i="11"/>
  <c r="AL52" i="11" s="1"/>
  <c r="CK30" i="11"/>
  <c r="CL30" i="11" s="1"/>
  <c r="CG30" i="11"/>
  <c r="CH30" i="11" s="1"/>
  <c r="CR30" i="11" s="1"/>
  <c r="CK53" i="11"/>
  <c r="CL53" i="11" s="1"/>
  <c r="CG58" i="11"/>
  <c r="CH58" i="11" s="1"/>
  <c r="CR58" i="11" s="1"/>
  <c r="BE58" i="11"/>
  <c r="BF58" i="11" s="1"/>
  <c r="BA58" i="11"/>
  <c r="BB58" i="11" s="1"/>
  <c r="CG51" i="11"/>
  <c r="CH51" i="11" s="1"/>
  <c r="BI58" i="11"/>
  <c r="BJ58" i="11" s="1"/>
  <c r="BY53" i="11"/>
  <c r="BZ53" i="11" s="1"/>
  <c r="U53" i="11"/>
  <c r="V53" i="11" s="1"/>
  <c r="BU53" i="11"/>
  <c r="BV53" i="11" s="1"/>
  <c r="AS53" i="11"/>
  <c r="AT53" i="11" s="1"/>
  <c r="Q53" i="11"/>
  <c r="R53" i="11" s="1"/>
  <c r="CR53" i="11" s="1"/>
  <c r="CR29" i="11"/>
  <c r="CR42" i="11"/>
  <c r="CR49" i="11"/>
  <c r="BI56" i="11"/>
  <c r="BJ56" i="11" s="1"/>
  <c r="CR56" i="11" s="1"/>
  <c r="CR13" i="10"/>
  <c r="BY17" i="10"/>
  <c r="BZ17" i="10" s="1"/>
  <c r="U17" i="10"/>
  <c r="V17" i="10" s="1"/>
  <c r="AS17" i="10"/>
  <c r="AT17" i="10" s="1"/>
  <c r="BU17" i="10"/>
  <c r="BV17" i="10" s="1"/>
  <c r="AO17" i="10"/>
  <c r="AP17" i="10" s="1"/>
  <c r="I17" i="10"/>
  <c r="J17" i="10" s="1"/>
  <c r="CR53" i="10"/>
  <c r="BY34" i="10"/>
  <c r="BZ34" i="10" s="1"/>
  <c r="Q34" i="10"/>
  <c r="R34" i="10" s="1"/>
  <c r="BU34" i="10"/>
  <c r="BV34" i="10" s="1"/>
  <c r="AO34" i="10"/>
  <c r="AP34" i="10" s="1"/>
  <c r="I34" i="10"/>
  <c r="J34" i="10" s="1"/>
  <c r="M34" i="10"/>
  <c r="N34" i="10" s="1"/>
  <c r="CK14" i="10"/>
  <c r="CL14" i="10" s="1"/>
  <c r="CL60" i="10" s="1"/>
  <c r="B82" i="10" s="1"/>
  <c r="CG14" i="10"/>
  <c r="CH14" i="10" s="1"/>
  <c r="U14" i="10"/>
  <c r="V14" i="10" s="1"/>
  <c r="CD60" i="10"/>
  <c r="B80" i="10" s="1"/>
  <c r="AX60" i="10"/>
  <c r="B72" i="10" s="1"/>
  <c r="Q14" i="10"/>
  <c r="R14" i="10" s="1"/>
  <c r="M14" i="10"/>
  <c r="N14" i="10" s="1"/>
  <c r="BU14" i="10"/>
  <c r="BV14" i="10" s="1"/>
  <c r="AO14" i="10"/>
  <c r="AP14" i="10" s="1"/>
  <c r="AK14" i="10"/>
  <c r="AL14" i="10" s="1"/>
  <c r="CK16" i="10"/>
  <c r="CL16" i="10" s="1"/>
  <c r="AK27" i="10"/>
  <c r="AL27" i="10" s="1"/>
  <c r="AO16" i="10"/>
  <c r="AP16" i="10" s="1"/>
  <c r="M17" i="10"/>
  <c r="N17" i="10" s="1"/>
  <c r="AO27" i="10"/>
  <c r="AP27" i="10" s="1"/>
  <c r="AK34" i="10"/>
  <c r="AL34" i="10" s="1"/>
  <c r="AS14" i="10"/>
  <c r="AT14" i="10" s="1"/>
  <c r="Q17" i="10"/>
  <c r="R17" i="10" s="1"/>
  <c r="BU18" i="10"/>
  <c r="BV18" i="10" s="1"/>
  <c r="AS18" i="10"/>
  <c r="AT18" i="10" s="1"/>
  <c r="Q18" i="10"/>
  <c r="R18" i="10" s="1"/>
  <c r="CG18" i="10"/>
  <c r="CH18" i="10" s="1"/>
  <c r="U18" i="10"/>
  <c r="V18" i="10" s="1"/>
  <c r="M18" i="10"/>
  <c r="N18" i="10" s="1"/>
  <c r="BY18" i="10"/>
  <c r="BZ18" i="10" s="1"/>
  <c r="I18" i="10"/>
  <c r="J18" i="10" s="1"/>
  <c r="AO18" i="10"/>
  <c r="AP18" i="10" s="1"/>
  <c r="BY50" i="10"/>
  <c r="BZ50" i="10" s="1"/>
  <c r="U50" i="10"/>
  <c r="V50" i="10" s="1"/>
  <c r="CG50" i="10"/>
  <c r="CH50" i="10" s="1"/>
  <c r="Q50" i="10"/>
  <c r="R50" i="10" s="1"/>
  <c r="I50" i="10"/>
  <c r="J50" i="10" s="1"/>
  <c r="BU50" i="10"/>
  <c r="BV50" i="10" s="1"/>
  <c r="AK50" i="10"/>
  <c r="AL50" i="10" s="1"/>
  <c r="AS50" i="10"/>
  <c r="AT50" i="10" s="1"/>
  <c r="AO50" i="10"/>
  <c r="AP50" i="10" s="1"/>
  <c r="BU58" i="10"/>
  <c r="BV58" i="10" s="1"/>
  <c r="AS58" i="10"/>
  <c r="AT58" i="10" s="1"/>
  <c r="Q58" i="10"/>
  <c r="R58" i="10" s="1"/>
  <c r="AW58" i="10"/>
  <c r="AX58" i="10" s="1"/>
  <c r="AO58" i="10"/>
  <c r="AP58" i="10" s="1"/>
  <c r="I58" i="10"/>
  <c r="J58" i="10" s="1"/>
  <c r="BQ58" i="10"/>
  <c r="BR58" i="10" s="1"/>
  <c r="U58" i="10"/>
  <c r="V58" i="10" s="1"/>
  <c r="BM58" i="10"/>
  <c r="BN58" i="10" s="1"/>
  <c r="M58" i="10"/>
  <c r="N58" i="10" s="1"/>
  <c r="BA58" i="10"/>
  <c r="BB58" i="10" s="1"/>
  <c r="BE58" i="10"/>
  <c r="BF58" i="10" s="1"/>
  <c r="AK58" i="10"/>
  <c r="AL58" i="10" s="1"/>
  <c r="BB60" i="10"/>
  <c r="B73" i="10" s="1"/>
  <c r="I16" i="10"/>
  <c r="J16" i="10" s="1"/>
  <c r="AS16" i="10"/>
  <c r="AT16" i="10" s="1"/>
  <c r="AO24" i="10"/>
  <c r="AP24" i="10" s="1"/>
  <c r="AS34" i="10"/>
  <c r="AT34" i="10" s="1"/>
  <c r="M50" i="10"/>
  <c r="N50" i="10" s="1"/>
  <c r="BY57" i="10"/>
  <c r="BZ57" i="10" s="1"/>
  <c r="AW57" i="10"/>
  <c r="AX57" i="10" s="1"/>
  <c r="U57" i="10"/>
  <c r="V57" i="10" s="1"/>
  <c r="BU57" i="10"/>
  <c r="BV57" i="10" s="1"/>
  <c r="AO57" i="10"/>
  <c r="AP57" i="10" s="1"/>
  <c r="AK57" i="10"/>
  <c r="AL57" i="10" s="1"/>
  <c r="BI57" i="10"/>
  <c r="BJ57" i="10" s="1"/>
  <c r="M57" i="10"/>
  <c r="N57" i="10" s="1"/>
  <c r="BA57" i="10"/>
  <c r="BB57" i="10" s="1"/>
  <c r="I57" i="10"/>
  <c r="J57" i="10" s="1"/>
  <c r="AS57" i="10"/>
  <c r="AT57" i="10" s="1"/>
  <c r="CK57" i="10"/>
  <c r="CL57" i="10" s="1"/>
  <c r="BM57" i="10"/>
  <c r="BN57" i="10" s="1"/>
  <c r="BQ57" i="10"/>
  <c r="BR57" i="10" s="1"/>
  <c r="BE57" i="10"/>
  <c r="BF57" i="10" s="1"/>
  <c r="AK18" i="10"/>
  <c r="AL18" i="10" s="1"/>
  <c r="AS24" i="10"/>
  <c r="AT24" i="10" s="1"/>
  <c r="M16" i="10"/>
  <c r="N16" i="10" s="1"/>
  <c r="BU32" i="10"/>
  <c r="BV32" i="10" s="1"/>
  <c r="M32" i="10"/>
  <c r="N32" i="10" s="1"/>
  <c r="CK32" i="10"/>
  <c r="CL32" i="10" s="1"/>
  <c r="CG32" i="10"/>
  <c r="CH32" i="10" s="1"/>
  <c r="U32" i="10"/>
  <c r="V32" i="10" s="1"/>
  <c r="Q32" i="10"/>
  <c r="R32" i="10" s="1"/>
  <c r="AS32" i="10"/>
  <c r="AT32" i="10" s="1"/>
  <c r="CR22" i="10"/>
  <c r="I14" i="10"/>
  <c r="J14" i="10" s="1"/>
  <c r="CG17" i="10"/>
  <c r="CH17" i="10" s="1"/>
  <c r="CR37" i="10"/>
  <c r="U16" i="10"/>
  <c r="V16" i="10" s="1"/>
  <c r="CK17" i="10"/>
  <c r="CL17" i="10" s="1"/>
  <c r="I24" i="10"/>
  <c r="J24" i="10" s="1"/>
  <c r="CG34" i="10"/>
  <c r="CH34" i="10" s="1"/>
  <c r="CG39" i="10"/>
  <c r="CH39" i="10" s="1"/>
  <c r="AS39" i="10"/>
  <c r="AT39" i="10" s="1"/>
  <c r="Q39" i="10"/>
  <c r="R39" i="10" s="1"/>
  <c r="CK39" i="10"/>
  <c r="CL39" i="10" s="1"/>
  <c r="U39" i="10"/>
  <c r="V39" i="10" s="1"/>
  <c r="BY39" i="10"/>
  <c r="BZ39" i="10" s="1"/>
  <c r="I39" i="10"/>
  <c r="J39" i="10" s="1"/>
  <c r="CR45" i="10"/>
  <c r="BY27" i="10"/>
  <c r="BZ27" i="10" s="1"/>
  <c r="U27" i="10"/>
  <c r="V27" i="10" s="1"/>
  <c r="AS27" i="10"/>
  <c r="AT27" i="10" s="1"/>
  <c r="BU27" i="10"/>
  <c r="BV27" i="10" s="1"/>
  <c r="CG24" i="10"/>
  <c r="CH24" i="10" s="1"/>
  <c r="U24" i="10"/>
  <c r="V24" i="10" s="1"/>
  <c r="BY24" i="10"/>
  <c r="BZ24" i="10" s="1"/>
  <c r="AK24" i="10"/>
  <c r="AL24" i="10" s="1"/>
  <c r="BU24" i="10"/>
  <c r="BV24" i="10" s="1"/>
  <c r="CK38" i="10"/>
  <c r="CL38" i="10" s="1"/>
  <c r="AS38" i="10"/>
  <c r="AT38" i="10" s="1"/>
  <c r="Q38" i="10"/>
  <c r="R38" i="10" s="1"/>
  <c r="BU38" i="10"/>
  <c r="BV38" i="10" s="1"/>
  <c r="I38" i="10"/>
  <c r="J38" i="10" s="1"/>
  <c r="AK38" i="10"/>
  <c r="AL38" i="10" s="1"/>
  <c r="BY38" i="10"/>
  <c r="BZ38" i="10" s="1"/>
  <c r="U38" i="10"/>
  <c r="V38" i="10" s="1"/>
  <c r="M38" i="10"/>
  <c r="N38" i="10" s="1"/>
  <c r="Q16" i="10"/>
  <c r="R16" i="10" s="1"/>
  <c r="I27" i="10"/>
  <c r="J27" i="10" s="1"/>
  <c r="AS33" i="10"/>
  <c r="AT33" i="10" s="1"/>
  <c r="CG33" i="10"/>
  <c r="CH33" i="10" s="1"/>
  <c r="I33" i="10"/>
  <c r="J33" i="10" s="1"/>
  <c r="BU33" i="10"/>
  <c r="BV33" i="10" s="1"/>
  <c r="AK33" i="10"/>
  <c r="AL33" i="10" s="1"/>
  <c r="U33" i="10"/>
  <c r="V33" i="10" s="1"/>
  <c r="Q33" i="10"/>
  <c r="R33" i="10" s="1"/>
  <c r="M33" i="10"/>
  <c r="N33" i="10" s="1"/>
  <c r="AO43" i="10"/>
  <c r="AP43" i="10" s="1"/>
  <c r="BU43" i="10"/>
  <c r="BV43" i="10" s="1"/>
  <c r="AK43" i="10"/>
  <c r="AL43" i="10" s="1"/>
  <c r="CK43" i="10"/>
  <c r="CL43" i="10" s="1"/>
  <c r="AS43" i="10"/>
  <c r="AT43" i="10" s="1"/>
  <c r="CG43" i="10"/>
  <c r="CH43" i="10" s="1"/>
  <c r="BY43" i="10"/>
  <c r="BZ43" i="10" s="1"/>
  <c r="BR60" i="10"/>
  <c r="B77" i="10" s="1"/>
  <c r="AO12" i="10"/>
  <c r="AP12" i="10" s="1"/>
  <c r="AP60" i="10" s="1"/>
  <c r="B70" i="10" s="1"/>
  <c r="M12" i="10"/>
  <c r="N12" i="10" s="1"/>
  <c r="BY12" i="10"/>
  <c r="BZ12" i="10" s="1"/>
  <c r="AS12" i="10"/>
  <c r="AT12" i="10" s="1"/>
  <c r="I12" i="10"/>
  <c r="J12" i="10" s="1"/>
  <c r="BU12" i="10"/>
  <c r="BV12" i="10" s="1"/>
  <c r="BU16" i="10"/>
  <c r="BV16" i="10" s="1"/>
  <c r="AK17" i="10"/>
  <c r="AL17" i="10" s="1"/>
  <c r="Q27" i="10"/>
  <c r="R27" i="10" s="1"/>
  <c r="U34" i="10"/>
  <c r="V34" i="10" s="1"/>
  <c r="Q43" i="10"/>
  <c r="R43" i="10" s="1"/>
  <c r="CR46" i="10"/>
  <c r="BU28" i="10"/>
  <c r="BV28" i="10" s="1"/>
  <c r="AS28" i="10"/>
  <c r="AT28" i="10" s="1"/>
  <c r="Q28" i="10"/>
  <c r="R28" i="10" s="1"/>
  <c r="CK28" i="10"/>
  <c r="CL28" i="10" s="1"/>
  <c r="BY30" i="10"/>
  <c r="BZ30" i="10" s="1"/>
  <c r="AS30" i="10"/>
  <c r="AT30" i="10" s="1"/>
  <c r="BU30" i="10"/>
  <c r="BV30" i="10" s="1"/>
  <c r="M30" i="10"/>
  <c r="N30" i="10" s="1"/>
  <c r="CK30" i="10"/>
  <c r="CL30" i="10" s="1"/>
  <c r="U30" i="10"/>
  <c r="V30" i="10" s="1"/>
  <c r="I30" i="10"/>
  <c r="J30" i="10" s="1"/>
  <c r="BQ52" i="10"/>
  <c r="BR52" i="10" s="1"/>
  <c r="AO52" i="10"/>
  <c r="AP52" i="10" s="1"/>
  <c r="M52" i="10"/>
  <c r="N52" i="10" s="1"/>
  <c r="BU52" i="10"/>
  <c r="BV52" i="10" s="1"/>
  <c r="AK52" i="10"/>
  <c r="AL52" i="10" s="1"/>
  <c r="BE52" i="10"/>
  <c r="BF52" i="10" s="1"/>
  <c r="U52" i="10"/>
  <c r="V52" i="10" s="1"/>
  <c r="CK52" i="10"/>
  <c r="CL52" i="10" s="1"/>
  <c r="AW52" i="10"/>
  <c r="AX52" i="10" s="1"/>
  <c r="BM52" i="10"/>
  <c r="BN52" i="10" s="1"/>
  <c r="BI52" i="10"/>
  <c r="BJ52" i="10" s="1"/>
  <c r="I52" i="10"/>
  <c r="J52" i="10" s="1"/>
  <c r="AO19" i="10"/>
  <c r="AP19" i="10" s="1"/>
  <c r="M19" i="10"/>
  <c r="N19" i="10" s="1"/>
  <c r="CR19" i="10" s="1"/>
  <c r="M28" i="10"/>
  <c r="N28" i="10" s="1"/>
  <c r="CR28" i="10" s="1"/>
  <c r="BY31" i="10"/>
  <c r="BZ31" i="10" s="1"/>
  <c r="Q31" i="10"/>
  <c r="R31" i="10" s="1"/>
  <c r="BU31" i="10"/>
  <c r="BV31" i="10" s="1"/>
  <c r="AK31" i="10"/>
  <c r="AL31" i="10" s="1"/>
  <c r="CG41" i="10"/>
  <c r="CH41" i="10" s="1"/>
  <c r="Y11" i="10"/>
  <c r="Z11" i="10" s="1"/>
  <c r="Z60" i="10" s="1"/>
  <c r="B66" i="10" s="1"/>
  <c r="AK23" i="10"/>
  <c r="AL23" i="10" s="1"/>
  <c r="U28" i="10"/>
  <c r="V28" i="10" s="1"/>
  <c r="BU29" i="10"/>
  <c r="BV29" i="10" s="1"/>
  <c r="M29" i="10"/>
  <c r="N29" i="10" s="1"/>
  <c r="AO29" i="10"/>
  <c r="AP29" i="10" s="1"/>
  <c r="AK29" i="10"/>
  <c r="AL29" i="10" s="1"/>
  <c r="I31" i="10"/>
  <c r="J31" i="10" s="1"/>
  <c r="BU11" i="10"/>
  <c r="BV11" i="10" s="1"/>
  <c r="AS11" i="10"/>
  <c r="AT11" i="10" s="1"/>
  <c r="Q11" i="10"/>
  <c r="R11" i="10" s="1"/>
  <c r="CR20" i="10"/>
  <c r="Q30" i="10"/>
  <c r="R30" i="10" s="1"/>
  <c r="U31" i="10"/>
  <c r="V31" i="10" s="1"/>
  <c r="BA52" i="10"/>
  <c r="BB52" i="10" s="1"/>
  <c r="AC11" i="10"/>
  <c r="AD11" i="10" s="1"/>
  <c r="AD60" i="10" s="1"/>
  <c r="B67" i="10" s="1"/>
  <c r="BJ60" i="10"/>
  <c r="B75" i="10" s="1"/>
  <c r="BY41" i="10"/>
  <c r="BZ41" i="10" s="1"/>
  <c r="U41" i="10"/>
  <c r="V41" i="10" s="1"/>
  <c r="Q41" i="10"/>
  <c r="R41" i="10" s="1"/>
  <c r="AS41" i="10"/>
  <c r="AT41" i="10" s="1"/>
  <c r="I41" i="10"/>
  <c r="J41" i="10" s="1"/>
  <c r="AK41" i="10"/>
  <c r="AL41" i="10" s="1"/>
  <c r="AG11" i="10"/>
  <c r="AH11" i="10" s="1"/>
  <c r="AH60" i="10" s="1"/>
  <c r="B68" i="10" s="1"/>
  <c r="BN60" i="10"/>
  <c r="B76" i="10" s="1"/>
  <c r="CG15" i="10"/>
  <c r="CH15" i="10" s="1"/>
  <c r="CR15" i="10" s="1"/>
  <c r="BU19" i="10"/>
  <c r="BV19" i="10" s="1"/>
  <c r="CK23" i="10"/>
  <c r="CL23" i="10" s="1"/>
  <c r="Q23" i="10"/>
  <c r="R23" i="10" s="1"/>
  <c r="BY23" i="10"/>
  <c r="BZ23" i="10" s="1"/>
  <c r="AS23" i="10"/>
  <c r="AT23" i="10" s="1"/>
  <c r="I23" i="10"/>
  <c r="J23" i="10" s="1"/>
  <c r="AO41" i="10"/>
  <c r="AP41" i="10" s="1"/>
  <c r="AO49" i="10"/>
  <c r="AP49" i="10" s="1"/>
  <c r="BU49" i="10"/>
  <c r="BV49" i="10" s="1"/>
  <c r="I49" i="10"/>
  <c r="J49" i="10" s="1"/>
  <c r="CG49" i="10"/>
  <c r="CH49" i="10" s="1"/>
  <c r="AS49" i="10"/>
  <c r="AT49" i="10" s="1"/>
  <c r="AK49" i="10"/>
  <c r="AL49" i="10" s="1"/>
  <c r="CK49" i="10"/>
  <c r="CL49" i="10" s="1"/>
  <c r="BY49" i="10"/>
  <c r="BZ49" i="10" s="1"/>
  <c r="AO21" i="10"/>
  <c r="AP21" i="10" s="1"/>
  <c r="M21" i="10"/>
  <c r="N21" i="10" s="1"/>
  <c r="CR21" i="10" s="1"/>
  <c r="CR25" i="10"/>
  <c r="BY26" i="10"/>
  <c r="BZ26" i="10" s="1"/>
  <c r="CR26" i="10" s="1"/>
  <c r="U26" i="10"/>
  <c r="V26" i="10" s="1"/>
  <c r="CK35" i="10"/>
  <c r="CL35" i="10" s="1"/>
  <c r="U35" i="10"/>
  <c r="V35" i="10" s="1"/>
  <c r="Q35" i="10"/>
  <c r="R35" i="10" s="1"/>
  <c r="CG35" i="10"/>
  <c r="CH35" i="10" s="1"/>
  <c r="AO36" i="10"/>
  <c r="AP36" i="10" s="1"/>
  <c r="CR36" i="10" s="1"/>
  <c r="CG40" i="10"/>
  <c r="CH40" i="10" s="1"/>
  <c r="AS40" i="10"/>
  <c r="AT40" i="10" s="1"/>
  <c r="Q40" i="10"/>
  <c r="R40" i="10" s="1"/>
  <c r="CG55" i="10"/>
  <c r="CH55" i="10" s="1"/>
  <c r="BE55" i="10"/>
  <c r="BF55" i="10" s="1"/>
  <c r="CK55" i="10"/>
  <c r="CL55" i="10" s="1"/>
  <c r="BA55" i="10"/>
  <c r="BB55" i="10" s="1"/>
  <c r="AS55" i="10"/>
  <c r="AT55" i="10" s="1"/>
  <c r="Q55" i="10"/>
  <c r="R55" i="10" s="1"/>
  <c r="M55" i="10"/>
  <c r="N55" i="10" s="1"/>
  <c r="CR55" i="10" s="1"/>
  <c r="AO55" i="10"/>
  <c r="AP55" i="10" s="1"/>
  <c r="AW55" i="10"/>
  <c r="AX55" i="10" s="1"/>
  <c r="CK54" i="10"/>
  <c r="CL54" i="10" s="1"/>
  <c r="BI54" i="10"/>
  <c r="BJ54" i="10" s="1"/>
  <c r="Q54" i="10"/>
  <c r="R54" i="10" s="1"/>
  <c r="BY54" i="10"/>
  <c r="BZ54" i="10" s="1"/>
  <c r="AS54" i="10"/>
  <c r="AT54" i="10" s="1"/>
  <c r="I54" i="10"/>
  <c r="J54" i="10" s="1"/>
  <c r="BM54" i="10"/>
  <c r="BN54" i="10" s="1"/>
  <c r="M54" i="10"/>
  <c r="N54" i="10" s="1"/>
  <c r="BI55" i="10"/>
  <c r="BJ55" i="10" s="1"/>
  <c r="AK47" i="10"/>
  <c r="AL47" i="10" s="1"/>
  <c r="CK47" i="10"/>
  <c r="CL47" i="10" s="1"/>
  <c r="CG42" i="10"/>
  <c r="CH42" i="10" s="1"/>
  <c r="BY42" i="10"/>
  <c r="BZ42" i="10" s="1"/>
  <c r="Q42" i="10"/>
  <c r="R42" i="10" s="1"/>
  <c r="CK44" i="10"/>
  <c r="CL44" i="10" s="1"/>
  <c r="U44" i="10"/>
  <c r="V44" i="10" s="1"/>
  <c r="CR44" i="10" s="1"/>
  <c r="CR47" i="10"/>
  <c r="I48" i="10"/>
  <c r="J48" i="10" s="1"/>
  <c r="CR48" i="10" s="1"/>
  <c r="AK48" i="10"/>
  <c r="AL48" i="10" s="1"/>
  <c r="U51" i="10"/>
  <c r="V51" i="10" s="1"/>
  <c r="BU51" i="10"/>
  <c r="BV51" i="10" s="1"/>
  <c r="AS51" i="10"/>
  <c r="AT51" i="10" s="1"/>
  <c r="Q51" i="10"/>
  <c r="R51" i="10" s="1"/>
  <c r="BA56" i="10"/>
  <c r="BB56" i="10" s="1"/>
  <c r="CR56" i="10" s="1"/>
  <c r="BQ59" i="10"/>
  <c r="BR59" i="10" s="1"/>
  <c r="AO59" i="10"/>
  <c r="AP59" i="10" s="1"/>
  <c r="M59" i="10"/>
  <c r="N59" i="10" s="1"/>
  <c r="CR59" i="10" s="1"/>
  <c r="AG59" i="2"/>
  <c r="AC59" i="2"/>
  <c r="AG58" i="2"/>
  <c r="AC58" i="2"/>
  <c r="AG57" i="2"/>
  <c r="AC57" i="2"/>
  <c r="AG56" i="2"/>
  <c r="AC56" i="2"/>
  <c r="AG55" i="2"/>
  <c r="AC55" i="2"/>
  <c r="AG54" i="2"/>
  <c r="AC54" i="2"/>
  <c r="AG53" i="2"/>
  <c r="AC53" i="2"/>
  <c r="AG52" i="2"/>
  <c r="AC52" i="2"/>
  <c r="AG51" i="2"/>
  <c r="AC51" i="2"/>
  <c r="AG50" i="2"/>
  <c r="AC50" i="2"/>
  <c r="AG49" i="2"/>
  <c r="AC49" i="2"/>
  <c r="AG48" i="2"/>
  <c r="AC48" i="2"/>
  <c r="AG47" i="2"/>
  <c r="AC47" i="2"/>
  <c r="AG46" i="2"/>
  <c r="AC46" i="2"/>
  <c r="AG45" i="2"/>
  <c r="AC45" i="2"/>
  <c r="AG44" i="2"/>
  <c r="AC44" i="2"/>
  <c r="AG43" i="2"/>
  <c r="AC43" i="2"/>
  <c r="AG42" i="2"/>
  <c r="AC42" i="2"/>
  <c r="AG41" i="2"/>
  <c r="AC41" i="2"/>
  <c r="AG40" i="2"/>
  <c r="AC40" i="2"/>
  <c r="AG39" i="2"/>
  <c r="AC39" i="2"/>
  <c r="AG38" i="2"/>
  <c r="AC38" i="2"/>
  <c r="AG37" i="2"/>
  <c r="AC37" i="2"/>
  <c r="AG36" i="2"/>
  <c r="AC36" i="2"/>
  <c r="AG35" i="2"/>
  <c r="AC35" i="2"/>
  <c r="AG34" i="2"/>
  <c r="AC34" i="2"/>
  <c r="AG33" i="2"/>
  <c r="AC33" i="2"/>
  <c r="AG32" i="2"/>
  <c r="AC32" i="2"/>
  <c r="AG31" i="2"/>
  <c r="AC31" i="2"/>
  <c r="AG30" i="2"/>
  <c r="AC30" i="2"/>
  <c r="AG29" i="2"/>
  <c r="AC29" i="2"/>
  <c r="AG28" i="2"/>
  <c r="AC28" i="2"/>
  <c r="AG27" i="2"/>
  <c r="AC27" i="2"/>
  <c r="AG26" i="2"/>
  <c r="AC26" i="2"/>
  <c r="AG25" i="2"/>
  <c r="AC25" i="2"/>
  <c r="AG24" i="2"/>
  <c r="AC24" i="2"/>
  <c r="AG23" i="2"/>
  <c r="AC23" i="2"/>
  <c r="AG22" i="2"/>
  <c r="AC22" i="2"/>
  <c r="AG21" i="2"/>
  <c r="AC21" i="2"/>
  <c r="AG20" i="2"/>
  <c r="AC20" i="2"/>
  <c r="AG19" i="2"/>
  <c r="AC19" i="2"/>
  <c r="AG18" i="2"/>
  <c r="AC18" i="2"/>
  <c r="AG17" i="2"/>
  <c r="AC17" i="2"/>
  <c r="AG16" i="2"/>
  <c r="AC16" i="2"/>
  <c r="AG15" i="2"/>
  <c r="AC15" i="2"/>
  <c r="AG14" i="2"/>
  <c r="AC14" i="2"/>
  <c r="AG13" i="2"/>
  <c r="AC13" i="2"/>
  <c r="AG12" i="2"/>
  <c r="AC12" i="2"/>
  <c r="CH60" i="15" l="1"/>
  <c r="B81" i="15" s="1"/>
  <c r="CH60" i="14"/>
  <c r="B81" i="14" s="1"/>
  <c r="CR43" i="14"/>
  <c r="CH60" i="13"/>
  <c r="B81" i="13" s="1"/>
  <c r="CR44" i="13"/>
  <c r="CR58" i="13"/>
  <c r="CH60" i="12"/>
  <c r="B81" i="12" s="1"/>
  <c r="CR58" i="12"/>
  <c r="CR31" i="12"/>
  <c r="CH60" i="11"/>
  <c r="B81" i="11" s="1"/>
  <c r="CH60" i="10"/>
  <c r="B81" i="10" s="1"/>
  <c r="BZ60" i="15"/>
  <c r="B79" i="15" s="1"/>
  <c r="CR50" i="13"/>
  <c r="CR39" i="13"/>
  <c r="CR19" i="13"/>
  <c r="CR55" i="12"/>
  <c r="CR59" i="12"/>
  <c r="BZ60" i="12"/>
  <c r="B79" i="12" s="1"/>
  <c r="BZ60" i="11"/>
  <c r="B79" i="11" s="1"/>
  <c r="CR44" i="11"/>
  <c r="CR21" i="11"/>
  <c r="CR23" i="10"/>
  <c r="BZ60" i="10"/>
  <c r="B79" i="10" s="1"/>
  <c r="CR42" i="10"/>
  <c r="CR45" i="13"/>
  <c r="CR45" i="12"/>
  <c r="BV60" i="12"/>
  <c r="B78" i="12" s="1"/>
  <c r="CR43" i="11"/>
  <c r="CR52" i="11"/>
  <c r="CR32" i="11"/>
  <c r="CR54" i="11"/>
  <c r="BV60" i="11"/>
  <c r="B78" i="11" s="1"/>
  <c r="CR51" i="10"/>
  <c r="AT60" i="15"/>
  <c r="B71" i="15" s="1"/>
  <c r="CR24" i="15"/>
  <c r="CR16" i="12"/>
  <c r="AT60" i="12"/>
  <c r="B71" i="12" s="1"/>
  <c r="CR38" i="12"/>
  <c r="CR48" i="12"/>
  <c r="CR13" i="12"/>
  <c r="CR40" i="12"/>
  <c r="CR46" i="11"/>
  <c r="CR37" i="11"/>
  <c r="AT60" i="11"/>
  <c r="B71" i="11" s="1"/>
  <c r="CR43" i="10"/>
  <c r="AL60" i="10"/>
  <c r="B69" i="10" s="1"/>
  <c r="V60" i="10"/>
  <c r="B65" i="10" s="1"/>
  <c r="CR40" i="15"/>
  <c r="R60" i="15"/>
  <c r="B64" i="15" s="1"/>
  <c r="CR23" i="15"/>
  <c r="CR31" i="14"/>
  <c r="CR45" i="14"/>
  <c r="CR25" i="14"/>
  <c r="CR16" i="13"/>
  <c r="CR15" i="13"/>
  <c r="CR25" i="12"/>
  <c r="R60" i="12"/>
  <c r="B64" i="12" s="1"/>
  <c r="CR22" i="11"/>
  <c r="CR13" i="11"/>
  <c r="CR40" i="10"/>
  <c r="CR37" i="15"/>
  <c r="CR30" i="15"/>
  <c r="CR29" i="15"/>
  <c r="N60" i="14"/>
  <c r="B63" i="14" s="1"/>
  <c r="CR38" i="14"/>
  <c r="CR12" i="14"/>
  <c r="CR28" i="14"/>
  <c r="N60" i="13"/>
  <c r="B63" i="13" s="1"/>
  <c r="CR14" i="12"/>
  <c r="CR17" i="12"/>
  <c r="CR33" i="11"/>
  <c r="N60" i="11"/>
  <c r="B63" i="11" s="1"/>
  <c r="N60" i="10"/>
  <c r="B63" i="10" s="1"/>
  <c r="CR32" i="10"/>
  <c r="CR17" i="15"/>
  <c r="BN60" i="15"/>
  <c r="B76" i="15" s="1"/>
  <c r="CR21" i="15"/>
  <c r="J60" i="15"/>
  <c r="B62" i="15" s="1"/>
  <c r="CR11" i="15"/>
  <c r="CL60" i="15"/>
  <c r="B82" i="15" s="1"/>
  <c r="CR55" i="15"/>
  <c r="BJ60" i="15"/>
  <c r="B75" i="15" s="1"/>
  <c r="CR46" i="15"/>
  <c r="AL60" i="15"/>
  <c r="B69" i="15" s="1"/>
  <c r="CR50" i="15"/>
  <c r="CR16" i="15"/>
  <c r="AP60" i="15"/>
  <c r="B70" i="15" s="1"/>
  <c r="CR20" i="15"/>
  <c r="CR39" i="15"/>
  <c r="CR48" i="15"/>
  <c r="CR41" i="15"/>
  <c r="CR59" i="15"/>
  <c r="BV60" i="15"/>
  <c r="B78" i="15" s="1"/>
  <c r="N60" i="15"/>
  <c r="B63" i="15" s="1"/>
  <c r="CR18" i="15"/>
  <c r="CR58" i="15"/>
  <c r="BF60" i="15"/>
  <c r="B74" i="15" s="1"/>
  <c r="CR33" i="15"/>
  <c r="CR34" i="15"/>
  <c r="CR51" i="15"/>
  <c r="CR30" i="14"/>
  <c r="BV60" i="14"/>
  <c r="B78" i="14" s="1"/>
  <c r="CR32" i="14"/>
  <c r="CR22" i="14"/>
  <c r="J60" i="14"/>
  <c r="B62" i="14" s="1"/>
  <c r="CR11" i="14"/>
  <c r="CR29" i="14"/>
  <c r="CR26" i="14"/>
  <c r="CR35" i="14"/>
  <c r="AP60" i="14"/>
  <c r="B70" i="14" s="1"/>
  <c r="CR15" i="14"/>
  <c r="BB60" i="14"/>
  <c r="B73" i="14" s="1"/>
  <c r="CR59" i="14"/>
  <c r="V60" i="14"/>
  <c r="B65" i="14" s="1"/>
  <c r="BF60" i="14"/>
  <c r="B74" i="14" s="1"/>
  <c r="AX60" i="14"/>
  <c r="B72" i="14" s="1"/>
  <c r="BZ60" i="14"/>
  <c r="B79" i="14" s="1"/>
  <c r="CR23" i="14"/>
  <c r="CR50" i="14"/>
  <c r="BJ60" i="14"/>
  <c r="B75" i="14" s="1"/>
  <c r="CL60" i="14"/>
  <c r="B82" i="14" s="1"/>
  <c r="CR41" i="14"/>
  <c r="CR14" i="14"/>
  <c r="R60" i="14"/>
  <c r="B64" i="14" s="1"/>
  <c r="CR16" i="14"/>
  <c r="CR33" i="14"/>
  <c r="AT60" i="14"/>
  <c r="B71" i="14" s="1"/>
  <c r="CR18" i="14"/>
  <c r="CR55" i="14"/>
  <c r="AT60" i="13"/>
  <c r="B71" i="13" s="1"/>
  <c r="V60" i="13"/>
  <c r="B65" i="13" s="1"/>
  <c r="CR59" i="13"/>
  <c r="AX60" i="13"/>
  <c r="B72" i="13" s="1"/>
  <c r="BZ60" i="13"/>
  <c r="B79" i="13" s="1"/>
  <c r="CR12" i="13"/>
  <c r="CR32" i="13"/>
  <c r="CR23" i="13"/>
  <c r="BV60" i="13"/>
  <c r="B78" i="13" s="1"/>
  <c r="CR13" i="13"/>
  <c r="CR33" i="13"/>
  <c r="CR14" i="13"/>
  <c r="CR18" i="13"/>
  <c r="CR48" i="13"/>
  <c r="CR21" i="13"/>
  <c r="CR22" i="13"/>
  <c r="CR41" i="13"/>
  <c r="CR55" i="13"/>
  <c r="CR40" i="13"/>
  <c r="J60" i="13"/>
  <c r="B62" i="13" s="1"/>
  <c r="CR11" i="13"/>
  <c r="CR52" i="13"/>
  <c r="R60" i="13"/>
  <c r="B64" i="13" s="1"/>
  <c r="CR46" i="13"/>
  <c r="CR37" i="12"/>
  <c r="J60" i="12"/>
  <c r="B62" i="12" s="1"/>
  <c r="CR15" i="12"/>
  <c r="CR26" i="12"/>
  <c r="CR23" i="12"/>
  <c r="CR30" i="12"/>
  <c r="CR39" i="12"/>
  <c r="CR33" i="12"/>
  <c r="CR35" i="12"/>
  <c r="N60" i="12"/>
  <c r="B63" i="12" s="1"/>
  <c r="CR12" i="12"/>
  <c r="CR32" i="12"/>
  <c r="CD60" i="12"/>
  <c r="B80" i="12" s="1"/>
  <c r="CR38" i="11"/>
  <c r="CR41" i="11"/>
  <c r="CR50" i="11"/>
  <c r="J60" i="11"/>
  <c r="B62" i="11" s="1"/>
  <c r="CR12" i="11"/>
  <c r="CR45" i="11"/>
  <c r="R60" i="11"/>
  <c r="B64" i="11" s="1"/>
  <c r="CR34" i="11"/>
  <c r="CR15" i="11"/>
  <c r="CR47" i="11"/>
  <c r="CR14" i="11"/>
  <c r="CR39" i="11"/>
  <c r="CR26" i="11"/>
  <c r="CR59" i="11"/>
  <c r="CR27" i="11"/>
  <c r="CR40" i="11"/>
  <c r="AT60" i="10"/>
  <c r="B71" i="10" s="1"/>
  <c r="CR18" i="10"/>
  <c r="CR16" i="10"/>
  <c r="BV60" i="10"/>
  <c r="B78" i="10" s="1"/>
  <c r="CR49" i="10"/>
  <c r="CR31" i="10"/>
  <c r="CR34" i="10"/>
  <c r="CR33" i="10"/>
  <c r="J60" i="10"/>
  <c r="B62" i="10" s="1"/>
  <c r="CR54" i="10"/>
  <c r="CR12" i="10"/>
  <c r="CR58" i="10"/>
  <c r="CR50" i="10"/>
  <c r="CR29" i="10"/>
  <c r="CR38" i="10"/>
  <c r="CR57" i="10"/>
  <c r="CR24" i="10"/>
  <c r="CR27" i="10"/>
  <c r="CR39" i="10"/>
  <c r="CR35" i="10"/>
  <c r="CR41" i="10"/>
  <c r="CR17" i="10"/>
  <c r="CR30" i="10"/>
  <c r="R60" i="10"/>
  <c r="B64" i="10" s="1"/>
  <c r="BF60" i="10"/>
  <c r="B74" i="10" s="1"/>
  <c r="CR52" i="10"/>
  <c r="CR14" i="10"/>
  <c r="CR11" i="10"/>
  <c r="CR60" i="12" l="1"/>
  <c r="D13" i="1" s="1"/>
  <c r="C62" i="12" s="1"/>
  <c r="CR60" i="10"/>
  <c r="D11" i="1" s="1"/>
  <c r="C77" i="10" s="1"/>
  <c r="CR60" i="11"/>
  <c r="D12" i="1" s="1"/>
  <c r="C62" i="11" s="1"/>
  <c r="CR60" i="15"/>
  <c r="D16" i="1" s="1"/>
  <c r="C62" i="15" s="1"/>
  <c r="CR60" i="14"/>
  <c r="D15" i="1" s="1"/>
  <c r="C62" i="14" s="1"/>
  <c r="CR60" i="13"/>
  <c r="D14" i="1" s="1"/>
  <c r="Y57" i="2"/>
  <c r="Y19" i="2"/>
  <c r="Y41" i="2"/>
  <c r="CQ31" i="2"/>
  <c r="I31" i="2" s="1"/>
  <c r="J31" i="2" s="1"/>
  <c r="Y16" i="2"/>
  <c r="CQ30" i="2"/>
  <c r="I30" i="2" s="1"/>
  <c r="J30" i="2" s="1"/>
  <c r="Y30" i="2"/>
  <c r="Y13" i="2"/>
  <c r="CQ48" i="2"/>
  <c r="I48" i="2" s="1"/>
  <c r="J48" i="2" s="1"/>
  <c r="Y50" i="2"/>
  <c r="Y17" i="2"/>
  <c r="Y28" i="2"/>
  <c r="CQ47" i="2"/>
  <c r="I47" i="2" s="1"/>
  <c r="J47" i="2" s="1"/>
  <c r="Y48" i="2"/>
  <c r="Y21" i="2"/>
  <c r="Y26" i="2"/>
  <c r="CQ50" i="2"/>
  <c r="I50" i="2" s="1"/>
  <c r="J50" i="2" s="1"/>
  <c r="CQ40" i="2"/>
  <c r="I40" i="2" s="1"/>
  <c r="J40" i="2" s="1"/>
  <c r="Y54" i="2"/>
  <c r="Y35" i="2"/>
  <c r="CQ38" i="2"/>
  <c r="I38" i="2" s="1"/>
  <c r="J38" i="2" s="1"/>
  <c r="Y40" i="2"/>
  <c r="Y11" i="2"/>
  <c r="Y31" i="2"/>
  <c r="Y32" i="2"/>
  <c r="Y20" i="2"/>
  <c r="Y45" i="2"/>
  <c r="Y25" i="2"/>
  <c r="Y53" i="2"/>
  <c r="Y22" i="2"/>
  <c r="CQ59" i="2"/>
  <c r="I59" i="2" s="1"/>
  <c r="J59" i="2" s="1"/>
  <c r="Y33" i="2"/>
  <c r="Y55" i="2"/>
  <c r="Y59" i="2"/>
  <c r="CQ54" i="2"/>
  <c r="I54" i="2" s="1"/>
  <c r="J54" i="2" s="1"/>
  <c r="Y27" i="2"/>
  <c r="Y38" i="2"/>
  <c r="CQ20" i="2"/>
  <c r="I20" i="2" s="1"/>
  <c r="J20" i="2" s="1"/>
  <c r="CQ27" i="2"/>
  <c r="I27" i="2" s="1"/>
  <c r="J27" i="2" s="1"/>
  <c r="Y24" i="2"/>
  <c r="Y43" i="2"/>
  <c r="Y49" i="2"/>
  <c r="Y18" i="2"/>
  <c r="CQ16" i="2"/>
  <c r="I16" i="2" s="1"/>
  <c r="J16" i="2" s="1"/>
  <c r="Y46" i="2"/>
  <c r="CQ18" i="2"/>
  <c r="I18" i="2" s="1"/>
  <c r="J18" i="2" s="1"/>
  <c r="Y15" i="2"/>
  <c r="Y42" i="2"/>
  <c r="CQ11" i="2"/>
  <c r="I11" i="2" s="1"/>
  <c r="Y37" i="2"/>
  <c r="CQ39" i="2"/>
  <c r="I39" i="2" s="1"/>
  <c r="J39" i="2" s="1"/>
  <c r="Y52" i="2"/>
  <c r="Y39" i="2"/>
  <c r="Y12" i="2"/>
  <c r="Y34" i="2"/>
  <c r="Y36" i="2"/>
  <c r="CQ55" i="2"/>
  <c r="I55" i="2" s="1"/>
  <c r="J55" i="2" s="1"/>
  <c r="Y29" i="2"/>
  <c r="CQ19" i="2"/>
  <c r="I19" i="2" s="1"/>
  <c r="J19" i="2" s="1"/>
  <c r="Y23" i="2"/>
  <c r="Y56" i="2"/>
  <c r="CQ36" i="2"/>
  <c r="I36" i="2" s="1"/>
  <c r="J36" i="2" s="1"/>
  <c r="Y47" i="2"/>
  <c r="Y51" i="2"/>
  <c r="Y44" i="2"/>
  <c r="CQ43" i="2"/>
  <c r="I43" i="2" s="1"/>
  <c r="J43" i="2" s="1"/>
  <c r="CQ22" i="2"/>
  <c r="I22" i="2" s="1"/>
  <c r="J22" i="2" s="1"/>
  <c r="Y58" i="2"/>
  <c r="C62" i="10" l="1"/>
  <c r="C75" i="10"/>
  <c r="C73" i="10"/>
  <c r="C72" i="10"/>
  <c r="C71" i="10"/>
  <c r="C70" i="10"/>
  <c r="C68" i="10"/>
  <c r="C67" i="10"/>
  <c r="C76" i="10"/>
  <c r="C70" i="12"/>
  <c r="C69" i="12"/>
  <c r="C66" i="12"/>
  <c r="C68" i="12"/>
  <c r="C77" i="12"/>
  <c r="C71" i="12"/>
  <c r="C82" i="12"/>
  <c r="C80" i="12"/>
  <c r="C78" i="12"/>
  <c r="C73" i="12"/>
  <c r="C67" i="12"/>
  <c r="C72" i="12"/>
  <c r="C81" i="12"/>
  <c r="C65" i="12"/>
  <c r="C79" i="12"/>
  <c r="C63" i="12"/>
  <c r="C69" i="10"/>
  <c r="C82" i="10"/>
  <c r="C74" i="10"/>
  <c r="C63" i="10"/>
  <c r="C66" i="10"/>
  <c r="C81" i="10"/>
  <c r="C65" i="10"/>
  <c r="C64" i="10"/>
  <c r="C79" i="10"/>
  <c r="C80" i="10"/>
  <c r="C78" i="10"/>
  <c r="C76" i="12"/>
  <c r="C75" i="12"/>
  <c r="C74" i="12"/>
  <c r="C64" i="12"/>
  <c r="C63" i="15"/>
  <c r="C77" i="15"/>
  <c r="C64" i="15"/>
  <c r="C78" i="15"/>
  <c r="C65" i="15"/>
  <c r="C79" i="15"/>
  <c r="C67" i="15"/>
  <c r="C66" i="15"/>
  <c r="C80" i="15"/>
  <c r="C81" i="15"/>
  <c r="C68" i="15"/>
  <c r="C82" i="15"/>
  <c r="C69" i="15"/>
  <c r="C70" i="15"/>
  <c r="C71" i="15"/>
  <c r="C72" i="15"/>
  <c r="C73" i="15"/>
  <c r="C74" i="15"/>
  <c r="C75" i="15"/>
  <c r="C76" i="15"/>
  <c r="C76" i="14"/>
  <c r="C63" i="14"/>
  <c r="C77" i="14"/>
  <c r="C64" i="14"/>
  <c r="C78" i="14"/>
  <c r="C80" i="14"/>
  <c r="C65" i="14"/>
  <c r="C79" i="14"/>
  <c r="C66" i="14"/>
  <c r="C67" i="14"/>
  <c r="C81" i="14"/>
  <c r="C68" i="14"/>
  <c r="C82" i="14"/>
  <c r="C69" i="14"/>
  <c r="C73" i="14"/>
  <c r="C75" i="14"/>
  <c r="C70" i="14"/>
  <c r="C71" i="14"/>
  <c r="C72" i="14"/>
  <c r="C74" i="14"/>
  <c r="C63" i="13"/>
  <c r="C77" i="13"/>
  <c r="C81" i="13"/>
  <c r="C64" i="13"/>
  <c r="C78" i="13"/>
  <c r="C65" i="13"/>
  <c r="C79" i="13"/>
  <c r="C66" i="13"/>
  <c r="C80" i="13"/>
  <c r="C67" i="13"/>
  <c r="C68" i="13"/>
  <c r="C82" i="13"/>
  <c r="C69" i="13"/>
  <c r="C70" i="13"/>
  <c r="C73" i="13"/>
  <c r="C71" i="13"/>
  <c r="C72" i="13"/>
  <c r="C74" i="13"/>
  <c r="C75" i="13"/>
  <c r="C76" i="13"/>
  <c r="C62" i="13"/>
  <c r="C68" i="11"/>
  <c r="C80" i="11"/>
  <c r="C81" i="11"/>
  <c r="C79" i="11"/>
  <c r="C82" i="11"/>
  <c r="C63" i="11"/>
  <c r="C66" i="11"/>
  <c r="C67" i="11"/>
  <c r="C69" i="11"/>
  <c r="C70" i="11"/>
  <c r="C71" i="11"/>
  <c r="C72" i="11"/>
  <c r="C74" i="11"/>
  <c r="C75" i="11"/>
  <c r="C76" i="11"/>
  <c r="C73" i="11"/>
  <c r="C65" i="11"/>
  <c r="C78" i="11"/>
  <c r="C64" i="11"/>
  <c r="C77" i="11"/>
  <c r="CC39" i="2"/>
  <c r="CD39" i="2" s="1"/>
  <c r="M39" i="2"/>
  <c r="BE39" i="2"/>
  <c r="BQ39" i="2"/>
  <c r="BR39" i="2" s="1"/>
  <c r="BI39" i="2"/>
  <c r="BM39" i="2"/>
  <c r="AS39" i="2"/>
  <c r="Q39" i="2"/>
  <c r="R39" i="2" s="1"/>
  <c r="AW39" i="2"/>
  <c r="AS20" i="2"/>
  <c r="BE20" i="2"/>
  <c r="AW20" i="2"/>
  <c r="M20" i="2"/>
  <c r="BM20" i="2"/>
  <c r="BI20" i="2"/>
  <c r="BQ20" i="2"/>
  <c r="BR20" i="2" s="1"/>
  <c r="Q20" i="2"/>
  <c r="AS59" i="2"/>
  <c r="BE59" i="2"/>
  <c r="Q59" i="2"/>
  <c r="AW59" i="2"/>
  <c r="BI59" i="2"/>
  <c r="M59" i="2"/>
  <c r="BQ59" i="2"/>
  <c r="BM59" i="2"/>
  <c r="BE27" i="2"/>
  <c r="Q27" i="2"/>
  <c r="AS27" i="2"/>
  <c r="BI27" i="2"/>
  <c r="BQ27" i="2"/>
  <c r="BR27" i="2" s="1"/>
  <c r="BM27" i="2"/>
  <c r="AW27" i="2"/>
  <c r="Q18" i="2"/>
  <c r="BE18" i="2"/>
  <c r="BI18" i="2" s="1"/>
  <c r="AS18" i="2"/>
  <c r="BM18" i="2"/>
  <c r="BQ18" i="2"/>
  <c r="BR18" i="2" s="1"/>
  <c r="M18" i="2"/>
  <c r="AW18" i="2"/>
  <c r="AC11" i="2"/>
  <c r="AW11" i="2"/>
  <c r="M11" i="2"/>
  <c r="Q11" i="2"/>
  <c r="AG11" i="2"/>
  <c r="BQ11" i="2"/>
  <c r="BR11" i="2" s="1"/>
  <c r="BM11" i="2"/>
  <c r="AS11" i="2"/>
  <c r="AS48" i="2"/>
  <c r="BQ48" i="2"/>
  <c r="BR48" i="2" s="1"/>
  <c r="AW48" i="2"/>
  <c r="M48" i="2"/>
  <c r="BE48" i="2"/>
  <c r="BI48" i="2" s="1"/>
  <c r="Q48" i="2"/>
  <c r="BM48" i="2"/>
  <c r="BM54" i="2"/>
  <c r="AW54" i="2"/>
  <c r="BQ54" i="2"/>
  <c r="BR54" i="2" s="1"/>
  <c r="AS54" i="2"/>
  <c r="Q54" i="2"/>
  <c r="R54" i="2" s="1"/>
  <c r="M54" i="2"/>
  <c r="AS50" i="2"/>
  <c r="BM50" i="2"/>
  <c r="AW50" i="2"/>
  <c r="M50" i="2"/>
  <c r="Q50" i="2"/>
  <c r="R50" i="2" s="1"/>
  <c r="BQ50" i="2"/>
  <c r="M47" i="2"/>
  <c r="AW47" i="2"/>
  <c r="BM47" i="2"/>
  <c r="BQ47" i="2"/>
  <c r="BR47" i="2" s="1"/>
  <c r="BE47" i="2"/>
  <c r="BI47" i="2" s="1"/>
  <c r="AS47" i="2"/>
  <c r="Q47" i="2"/>
  <c r="R47" i="2" s="1"/>
  <c r="Q43" i="2"/>
  <c r="R43" i="2" s="1"/>
  <c r="AS43" i="2"/>
  <c r="AW43" i="2"/>
  <c r="M43" i="2"/>
  <c r="BM43" i="2"/>
  <c r="BQ43" i="2"/>
  <c r="BR43" i="2" s="1"/>
  <c r="BM16" i="2"/>
  <c r="AW16" i="2"/>
  <c r="BQ16" i="2"/>
  <c r="BR16" i="2" s="1"/>
  <c r="M16" i="2"/>
  <c r="AS16" i="2"/>
  <c r="BE16" i="2"/>
  <c r="BI16" i="2" s="1"/>
  <c r="Q16" i="2"/>
  <c r="AW31" i="2"/>
  <c r="BM31" i="2"/>
  <c r="M31" i="2"/>
  <c r="AS31" i="2"/>
  <c r="BE31" i="2"/>
  <c r="BI31" i="2" s="1"/>
  <c r="BQ31" i="2"/>
  <c r="BR31" i="2" s="1"/>
  <c r="Q31" i="2"/>
  <c r="BQ36" i="2"/>
  <c r="M36" i="2"/>
  <c r="Q36" i="2"/>
  <c r="AS36" i="2"/>
  <c r="BM36" i="2"/>
  <c r="AW36" i="2"/>
  <c r="AS55" i="2"/>
  <c r="Q55" i="2"/>
  <c r="M55" i="2"/>
  <c r="BQ55" i="2"/>
  <c r="BR55" i="2" s="1"/>
  <c r="BM55" i="2"/>
  <c r="AW55" i="2"/>
  <c r="BE22" i="2"/>
  <c r="BI22" i="2"/>
  <c r="M22" i="2"/>
  <c r="Q22" i="2"/>
  <c r="R22" i="2" s="1"/>
  <c r="AW22" i="2"/>
  <c r="AS22" i="2"/>
  <c r="BQ22" i="2"/>
  <c r="BR22" i="2" s="1"/>
  <c r="BM22" i="2"/>
  <c r="Q19" i="2"/>
  <c r="R19" i="2" s="1"/>
  <c r="BE19" i="2"/>
  <c r="BI19" i="2" s="1"/>
  <c r="AW19" i="2"/>
  <c r="M19" i="2"/>
  <c r="BM19" i="2"/>
  <c r="AS19" i="2"/>
  <c r="BQ19" i="2"/>
  <c r="BR19" i="2" s="1"/>
  <c r="AW38" i="2"/>
  <c r="AS38" i="2"/>
  <c r="Q38" i="2"/>
  <c r="R38" i="2" s="1"/>
  <c r="BQ38" i="2"/>
  <c r="BR38" i="2" s="1"/>
  <c r="M38" i="2"/>
  <c r="BM38" i="2"/>
  <c r="Q30" i="2"/>
  <c r="BQ30" i="2"/>
  <c r="BR30" i="2" s="1"/>
  <c r="M30" i="2"/>
  <c r="BM30" i="2"/>
  <c r="AS30" i="2"/>
  <c r="AW30" i="2"/>
  <c r="Q40" i="2"/>
  <c r="AS40" i="2"/>
  <c r="AW40" i="2"/>
  <c r="M40" i="2"/>
  <c r="BM40" i="2"/>
  <c r="BQ40" i="2"/>
  <c r="BR40" i="2" s="1"/>
  <c r="Y14" i="2"/>
  <c r="CQ21" i="2"/>
  <c r="I21" i="2" s="1"/>
  <c r="J21" i="2" s="1"/>
  <c r="R18" i="2" l="1"/>
  <c r="R16" i="2"/>
  <c r="BR36" i="2"/>
  <c r="R59" i="2"/>
  <c r="AW21" i="2"/>
  <c r="BQ21" i="2"/>
  <c r="BR21" i="2" s="1"/>
  <c r="Q21" i="2"/>
  <c r="M21" i="2"/>
  <c r="BM21" i="2"/>
  <c r="AS21" i="2"/>
  <c r="BR59" i="2"/>
  <c r="R20" i="2"/>
  <c r="BR50" i="2"/>
  <c r="R11" i="2"/>
  <c r="AH18" i="2" l="1"/>
  <c r="AH11" i="2"/>
  <c r="AD11" i="2" s="1"/>
  <c r="Z11" i="2" s="1"/>
  <c r="U11" i="2" s="1"/>
  <c r="V11" i="2" s="1"/>
  <c r="AH16" i="2"/>
  <c r="BE21" i="2"/>
  <c r="D31" i="1"/>
  <c r="BI21" i="2" l="1"/>
  <c r="A21" i="1"/>
  <c r="G3" i="15" l="1"/>
  <c r="G3" i="14"/>
  <c r="G3" i="13"/>
  <c r="G3" i="12"/>
  <c r="G3" i="10"/>
  <c r="BN40" i="2" l="1"/>
  <c r="D39" i="1"/>
  <c r="D41" i="1" l="1"/>
  <c r="AX40" i="2" l="1"/>
  <c r="AT40" i="2" s="1"/>
  <c r="BU40" i="2" s="1"/>
  <c r="BV40" i="2" s="1"/>
  <c r="D42" i="1"/>
  <c r="D43" i="1" l="1"/>
  <c r="D44" i="1"/>
  <c r="G3" i="11" l="1"/>
  <c r="D40" i="1" s="1"/>
  <c r="CQ58" i="2" l="1"/>
  <c r="I58" i="2" s="1"/>
  <c r="J58" i="2" s="1"/>
  <c r="CQ41" i="2"/>
  <c r="I41" i="2" s="1"/>
  <c r="J41" i="2" s="1"/>
  <c r="CQ13" i="2"/>
  <c r="I13" i="2" s="1"/>
  <c r="J13" i="2" s="1"/>
  <c r="CQ26" i="2"/>
  <c r="I26" i="2" s="1"/>
  <c r="J26" i="2" s="1"/>
  <c r="CQ56" i="2"/>
  <c r="I56" i="2" s="1"/>
  <c r="J56" i="2" s="1"/>
  <c r="CQ49" i="2"/>
  <c r="I49" i="2" s="1"/>
  <c r="J49" i="2" s="1"/>
  <c r="CQ15" i="2"/>
  <c r="I15" i="2" s="1"/>
  <c r="J15" i="2" s="1"/>
  <c r="CQ29" i="2"/>
  <c r="I29" i="2" s="1"/>
  <c r="J29" i="2" s="1"/>
  <c r="CQ46" i="2"/>
  <c r="I46" i="2" s="1"/>
  <c r="J46" i="2" s="1"/>
  <c r="CQ34" i="2"/>
  <c r="I34" i="2" s="1"/>
  <c r="J34" i="2" s="1"/>
  <c r="Q34" i="2" l="1"/>
  <c r="R34" i="2" s="1"/>
  <c r="BQ34" i="2"/>
  <c r="BR34" i="2" s="1"/>
  <c r="BE34" i="2"/>
  <c r="M34" i="2"/>
  <c r="BM34" i="2"/>
  <c r="AW34" i="2"/>
  <c r="AS34" i="2"/>
  <c r="AS13" i="2"/>
  <c r="BE13" i="2"/>
  <c r="BM13" i="2"/>
  <c r="M13" i="2"/>
  <c r="BI13" i="2"/>
  <c r="AW13" i="2"/>
  <c r="Q13" i="2"/>
  <c r="BQ13" i="2"/>
  <c r="BR13" i="2" s="1"/>
  <c r="AW46" i="2"/>
  <c r="M46" i="2"/>
  <c r="BQ46" i="2"/>
  <c r="BR46" i="2" s="1"/>
  <c r="BM46" i="2"/>
  <c r="Q46" i="2"/>
  <c r="R46" i="2" s="1"/>
  <c r="BE46" i="2"/>
  <c r="BI46" i="2" s="1"/>
  <c r="AS46" i="2"/>
  <c r="BI26" i="2"/>
  <c r="BQ26" i="2"/>
  <c r="BR26" i="2" s="1"/>
  <c r="Q26" i="2"/>
  <c r="R26" i="2" s="1"/>
  <c r="AW26" i="2"/>
  <c r="BM26" i="2"/>
  <c r="M26" i="2"/>
  <c r="BE26" i="2"/>
  <c r="AS26" i="2"/>
  <c r="BI49" i="2"/>
  <c r="AS49" i="2"/>
  <c r="BQ49" i="2"/>
  <c r="BR49" i="2" s="1"/>
  <c r="Q49" i="2"/>
  <c r="M49" i="2"/>
  <c r="BM49" i="2"/>
  <c r="BE49" i="2"/>
  <c r="AW49" i="2"/>
  <c r="AS41" i="2"/>
  <c r="Q41" i="2"/>
  <c r="R41" i="2" s="1"/>
  <c r="BQ41" i="2"/>
  <c r="BR41" i="2" s="1"/>
  <c r="M41" i="2"/>
  <c r="BM41" i="2"/>
  <c r="AW41" i="2"/>
  <c r="BQ56" i="2"/>
  <c r="BR56" i="2" s="1"/>
  <c r="BM56" i="2"/>
  <c r="AW56" i="2"/>
  <c r="AS56" i="2"/>
  <c r="Q56" i="2"/>
  <c r="R56" i="2" s="1"/>
  <c r="BI56" i="2"/>
  <c r="M56" i="2"/>
  <c r="BE56" i="2"/>
  <c r="AS29" i="2"/>
  <c r="BM29" i="2"/>
  <c r="Q29" i="2"/>
  <c r="R29" i="2" s="1"/>
  <c r="BQ29" i="2"/>
  <c r="BR29" i="2" s="1"/>
  <c r="M29" i="2"/>
  <c r="AW29" i="2"/>
  <c r="M58" i="2"/>
  <c r="BE58" i="2"/>
  <c r="BM58" i="2"/>
  <c r="AW58" i="2"/>
  <c r="Q58" i="2"/>
  <c r="BQ58" i="2"/>
  <c r="BR58" i="2" s="1"/>
  <c r="AS58" i="2"/>
  <c r="Q15" i="2"/>
  <c r="R15" i="2" s="1"/>
  <c r="BQ15" i="2"/>
  <c r="BR15" i="2" s="1"/>
  <c r="AW15" i="2"/>
  <c r="BE15" i="2"/>
  <c r="BI15" i="2" s="1"/>
  <c r="AS15" i="2"/>
  <c r="M15" i="2"/>
  <c r="BM15" i="2"/>
  <c r="CG15" i="2"/>
  <c r="BI58" i="2" l="1"/>
  <c r="BI34" i="2"/>
  <c r="BE41" i="2"/>
  <c r="BE29" i="2"/>
  <c r="R58" i="2"/>
  <c r="BI41" i="2" l="1"/>
  <c r="BI29" i="2"/>
  <c r="AH29" i="2" l="1"/>
  <c r="CQ12" i="2"/>
  <c r="BI12" i="2" s="1"/>
  <c r="BJ12" i="2" s="1"/>
  <c r="CQ14" i="2"/>
  <c r="I14" i="2" s="1"/>
  <c r="J14" i="2" s="1"/>
  <c r="CQ17" i="2"/>
  <c r="CQ23" i="2"/>
  <c r="CQ24" i="2"/>
  <c r="CQ25" i="2"/>
  <c r="CQ28" i="2"/>
  <c r="CQ32" i="2"/>
  <c r="CQ33" i="2"/>
  <c r="CQ35" i="2"/>
  <c r="Q35" i="2" s="1"/>
  <c r="R35" i="2" s="1"/>
  <c r="CQ37" i="2"/>
  <c r="CQ42" i="2"/>
  <c r="CQ44" i="2"/>
  <c r="CQ45" i="2"/>
  <c r="AS45" i="2" s="1"/>
  <c r="CQ51" i="2"/>
  <c r="CQ52" i="2"/>
  <c r="CG52" i="2"/>
  <c r="CQ53" i="2"/>
  <c r="M53" i="2" s="1"/>
  <c r="CQ57" i="2"/>
  <c r="M12" i="2"/>
  <c r="AO12" i="2"/>
  <c r="AK12" i="2" s="1"/>
  <c r="AL12" i="2" s="1"/>
  <c r="AS12" i="2"/>
  <c r="BE12" i="2"/>
  <c r="BF12" i="2"/>
  <c r="BM12" i="2"/>
  <c r="BQ12" i="2"/>
  <c r="BR12" i="2" s="1"/>
  <c r="AW14" i="2"/>
  <c r="BE14" i="2"/>
  <c r="BI14" i="2" s="1"/>
  <c r="BQ14" i="2"/>
  <c r="BR14" i="2" s="1"/>
  <c r="AS23" i="2"/>
  <c r="AW23" i="2"/>
  <c r="AO24" i="2"/>
  <c r="AK24" i="2" s="1"/>
  <c r="AL24" i="2" s="1"/>
  <c r="AP24" i="2"/>
  <c r="AW45" i="2"/>
  <c r="AO51" i="2"/>
  <c r="AK51" i="2" s="1"/>
  <c r="AL51" i="2" s="1"/>
  <c r="AP51" i="2"/>
  <c r="M52" i="2"/>
  <c r="Q52" i="2"/>
  <c r="R52" i="2" s="1"/>
  <c r="AS14" i="2" l="1"/>
  <c r="Q14" i="2"/>
  <c r="R14" i="2" s="1"/>
  <c r="M14" i="2"/>
  <c r="AS53" i="2"/>
  <c r="I53" i="2"/>
  <c r="J53" i="2" s="1"/>
  <c r="AS28" i="2"/>
  <c r="I28" i="2"/>
  <c r="J28" i="2" s="1"/>
  <c r="AO52" i="2"/>
  <c r="AP52" i="2" s="1"/>
  <c r="AL52" i="2" s="1"/>
  <c r="I52" i="2"/>
  <c r="J52" i="2" s="1"/>
  <c r="BM44" i="2"/>
  <c r="I44" i="2"/>
  <c r="J44" i="2" s="1"/>
  <c r="AW24" i="2"/>
  <c r="I24" i="2"/>
  <c r="J24" i="2" s="1"/>
  <c r="BQ57" i="2"/>
  <c r="BR57" i="2" s="1"/>
  <c r="I57" i="2"/>
  <c r="J57" i="2" s="1"/>
  <c r="AS51" i="2"/>
  <c r="I51" i="2"/>
  <c r="J51" i="2" s="1"/>
  <c r="BI44" i="2"/>
  <c r="BJ44" i="2" s="1"/>
  <c r="AS44" i="2"/>
  <c r="BM23" i="2"/>
  <c r="I23" i="2"/>
  <c r="J23" i="2" s="1"/>
  <c r="BE45" i="2"/>
  <c r="BI45" i="2" s="1"/>
  <c r="I45" i="2"/>
  <c r="J45" i="2" s="1"/>
  <c r="CG42" i="2"/>
  <c r="CH42" i="2" s="1"/>
  <c r="I42" i="2"/>
  <c r="J42" i="2" s="1"/>
  <c r="BQ37" i="2"/>
  <c r="BR37" i="2" s="1"/>
  <c r="I37" i="2"/>
  <c r="J37" i="2" s="1"/>
  <c r="M33" i="2"/>
  <c r="I33" i="2"/>
  <c r="J33" i="2" s="1"/>
  <c r="BE57" i="2"/>
  <c r="BI57" i="2" s="1"/>
  <c r="AO44" i="2"/>
  <c r="AW57" i="2"/>
  <c r="BI37" i="2"/>
  <c r="AW25" i="2"/>
  <c r="I25" i="2"/>
  <c r="J25" i="2" s="1"/>
  <c r="Q57" i="2"/>
  <c r="R57" i="2" s="1"/>
  <c r="AS35" i="2"/>
  <c r="M57" i="2"/>
  <c r="BE17" i="2"/>
  <c r="BI17" i="2" s="1"/>
  <c r="I17" i="2"/>
  <c r="J17" i="2" s="1"/>
  <c r="BQ53" i="2"/>
  <c r="BR53" i="2" s="1"/>
  <c r="AO28" i="2"/>
  <c r="AK28" i="2" s="1"/>
  <c r="AL28" i="2" s="1"/>
  <c r="AP12" i="2"/>
  <c r="CG14" i="2"/>
  <c r="CH14" i="2" s="1"/>
  <c r="BE44" i="2"/>
  <c r="BF44" i="2" s="1"/>
  <c r="AW35" i="2"/>
  <c r="I35" i="2"/>
  <c r="J35" i="2" s="1"/>
  <c r="BM57" i="2"/>
  <c r="AS32" i="2"/>
  <c r="I32" i="2"/>
  <c r="J32" i="2" s="1"/>
  <c r="BM37" i="2"/>
  <c r="AS57" i="2"/>
  <c r="AO53" i="2"/>
  <c r="AK53" i="2" s="1"/>
  <c r="AL53" i="2" s="1"/>
  <c r="Q25" i="2"/>
  <c r="R25" i="2" s="1"/>
  <c r="AW12" i="2"/>
  <c r="I12" i="2"/>
  <c r="J12" i="2" s="1"/>
  <c r="Q53" i="2"/>
  <c r="R53" i="2" s="1"/>
  <c r="AS24" i="2"/>
  <c r="Q12" i="2"/>
  <c r="R12" i="2" s="1"/>
  <c r="AW37" i="2"/>
  <c r="M35" i="2"/>
  <c r="BM33" i="2"/>
  <c r="BN33" i="2" s="1"/>
  <c r="Q37" i="2"/>
  <c r="R37" i="2" s="1"/>
  <c r="BM53" i="2"/>
  <c r="AW42" i="2"/>
  <c r="BI53" i="2"/>
  <c r="BJ53" i="2" s="1"/>
  <c r="AS33" i="2"/>
  <c r="BQ35" i="2"/>
  <c r="BR35" i="2" s="1"/>
  <c r="BE53" i="2"/>
  <c r="BF53" i="2" s="1"/>
  <c r="BM35" i="2"/>
  <c r="AS17" i="2"/>
  <c r="Q33" i="2"/>
  <c r="R33" i="2" s="1"/>
  <c r="BE37" i="2"/>
  <c r="BQ42" i="2"/>
  <c r="BR42" i="2" s="1"/>
  <c r="AS37" i="2"/>
  <c r="BM42" i="2"/>
  <c r="AO37" i="2"/>
  <c r="AK37" i="2" s="1"/>
  <c r="AL37" i="2" s="1"/>
  <c r="BQ33" i="2"/>
  <c r="BR33" i="2" s="1"/>
  <c r="BI42" i="2"/>
  <c r="BE42" i="2"/>
  <c r="BF42" i="2" s="1"/>
  <c r="BE33" i="2"/>
  <c r="BI33" i="2" s="1"/>
  <c r="M37" i="2"/>
  <c r="AW33" i="2"/>
  <c r="AS42" i="2"/>
  <c r="Q23" i="2"/>
  <c r="R23" i="2" s="1"/>
  <c r="Q42" i="2"/>
  <c r="R42" i="2" s="1"/>
  <c r="AO33" i="2"/>
  <c r="AK33" i="2" s="1"/>
  <c r="AL33" i="2" s="1"/>
  <c r="AW17" i="2"/>
  <c r="M42" i="2"/>
  <c r="AW53" i="2"/>
  <c r="BE35" i="2"/>
  <c r="BI35" i="2" s="1"/>
  <c r="AW44" i="2"/>
  <c r="AO17" i="2"/>
  <c r="AK52" i="2"/>
  <c r="BQ52" i="2"/>
  <c r="BR52" i="2" s="1"/>
  <c r="M23" i="2"/>
  <c r="BE52" i="2"/>
  <c r="BI52" i="2" s="1"/>
  <c r="BM51" i="2"/>
  <c r="BN51" i="2" s="1"/>
  <c r="BQ32" i="2"/>
  <c r="BR32" i="2" s="1"/>
  <c r="BQ28" i="2"/>
  <c r="BR28" i="2" s="1"/>
  <c r="M24" i="2"/>
  <c r="Q17" i="2"/>
  <c r="R17" i="2" s="1"/>
  <c r="Q51" i="2"/>
  <c r="R51" i="2" s="1"/>
  <c r="AW52" i="2"/>
  <c r="AP37" i="2"/>
  <c r="BM32" i="2"/>
  <c r="BM28" i="2"/>
  <c r="BN28" i="2" s="1"/>
  <c r="M17" i="2"/>
  <c r="M28" i="2"/>
  <c r="Q24" i="2"/>
  <c r="R24" i="2" s="1"/>
  <c r="AS52" i="2"/>
  <c r="BI51" i="2"/>
  <c r="BJ51" i="2" s="1"/>
  <c r="BE32" i="2"/>
  <c r="BI32" i="2" s="1"/>
  <c r="BQ25" i="2"/>
  <c r="BR25" i="2" s="1"/>
  <c r="BQ24" i="2"/>
  <c r="BR24" i="2" s="1"/>
  <c r="Q28" i="2"/>
  <c r="R28" i="2" s="1"/>
  <c r="Q44" i="2"/>
  <c r="R44" i="2" s="1"/>
  <c r="AW32" i="2"/>
  <c r="BE28" i="2"/>
  <c r="BM25" i="2"/>
  <c r="BM24" i="2"/>
  <c r="BN24" i="2" s="1"/>
  <c r="Q32" i="2"/>
  <c r="R32" i="2" s="1"/>
  <c r="M32" i="2"/>
  <c r="Q45" i="2"/>
  <c r="R45" i="2" s="1"/>
  <c r="BE51" i="2"/>
  <c r="BF51" i="2" s="1"/>
  <c r="BQ45" i="2"/>
  <c r="BR45" i="2" s="1"/>
  <c r="BQ44" i="2"/>
  <c r="BR44" i="2" s="1"/>
  <c r="M44" i="2"/>
  <c r="AW28" i="2"/>
  <c r="BE25" i="2"/>
  <c r="BI25" i="2" s="1"/>
  <c r="BQ23" i="2"/>
  <c r="BR23" i="2" s="1"/>
  <c r="BQ17" i="2"/>
  <c r="BR17" i="2" s="1"/>
  <c r="M51" i="2"/>
  <c r="AW51" i="2"/>
  <c r="BM45" i="2"/>
  <c r="BE24" i="2"/>
  <c r="BM17" i="2"/>
  <c r="CL32" i="2"/>
  <c r="BY52" i="2"/>
  <c r="BZ52" i="2" s="1"/>
  <c r="M25" i="2"/>
  <c r="BM52" i="2"/>
  <c r="BQ51" i="2"/>
  <c r="BR51" i="2" s="1"/>
  <c r="M45" i="2"/>
  <c r="AS25" i="2"/>
  <c r="BE23" i="2"/>
  <c r="BI23" i="2" s="1"/>
  <c r="BM14" i="2"/>
  <c r="AH12" i="2"/>
  <c r="AX24" i="2"/>
  <c r="BF52" i="2"/>
  <c r="AH53" i="2"/>
  <c r="AH51" i="2"/>
  <c r="CG28" i="2"/>
  <c r="CK44" i="2"/>
  <c r="CL44" i="2" s="1"/>
  <c r="CG44" i="2" s="1"/>
  <c r="CK12" i="2"/>
  <c r="CL12" i="2" s="1"/>
  <c r="CG12" i="2" s="1"/>
  <c r="CK25" i="2"/>
  <c r="CL25" i="2" s="1"/>
  <c r="CG25" i="2"/>
  <c r="CK17" i="2"/>
  <c r="CL17" i="2" s="1"/>
  <c r="CG17" i="2" s="1"/>
  <c r="CK33" i="2"/>
  <c r="CL33" i="2" s="1"/>
  <c r="CG33" i="2" s="1"/>
  <c r="CK24" i="2"/>
  <c r="CL24" i="2" s="1"/>
  <c r="CG24" i="2" s="1"/>
  <c r="AH17" i="2"/>
  <c r="CK37" i="2"/>
  <c r="CL37" i="2" s="1"/>
  <c r="CG37" i="2" s="1"/>
  <c r="BF14" i="2"/>
  <c r="AH28" i="2"/>
  <c r="AH14" i="2"/>
  <c r="BJ42" i="2"/>
  <c r="CK23" i="2"/>
  <c r="CL23" i="2" s="1"/>
  <c r="CG23" i="2"/>
  <c r="AX44" i="2"/>
  <c r="BN12" i="2"/>
  <c r="AH33" i="2"/>
  <c r="AH24" i="2"/>
  <c r="CK51" i="2"/>
  <c r="CL51" i="2" s="1"/>
  <c r="CG51" i="2" s="1"/>
  <c r="BF37" i="2"/>
  <c r="CK32" i="2"/>
  <c r="CG32" i="2"/>
  <c r="CH32" i="2" s="1"/>
  <c r="CK57" i="2"/>
  <c r="CL57" i="2" s="1"/>
  <c r="CG57" i="2"/>
  <c r="CH57" i="2" s="1"/>
  <c r="CG53" i="2"/>
  <c r="AH23" i="2"/>
  <c r="AD23" i="2" s="1"/>
  <c r="Z23" i="2" s="1"/>
  <c r="U23" i="2" s="1"/>
  <c r="V23" i="2" s="1"/>
  <c r="CG35" i="2"/>
  <c r="CH35" i="2" s="1"/>
  <c r="AH52" i="2"/>
  <c r="AH45" i="2"/>
  <c r="AH32" i="2"/>
  <c r="AD57" i="2"/>
  <c r="Z57" i="2" s="1"/>
  <c r="U57" i="2" s="1"/>
  <c r="V57" i="2" s="1"/>
  <c r="CG45" i="2"/>
  <c r="CH45" i="2" s="1"/>
  <c r="AH57" i="2"/>
  <c r="AH35" i="2"/>
  <c r="AD29" i="2"/>
  <c r="Z29" i="2" s="1"/>
  <c r="U29" i="2" s="1"/>
  <c r="V29" i="2" s="1"/>
  <c r="AT44" i="2" l="1"/>
  <c r="BU44" i="2" s="1"/>
  <c r="BV44" i="2" s="1"/>
  <c r="AP33" i="2"/>
  <c r="AP53" i="2"/>
  <c r="AP28" i="2"/>
  <c r="AK44" i="2"/>
  <c r="AL44" i="2" s="1"/>
  <c r="AP44" i="2"/>
  <c r="BF17" i="2"/>
  <c r="BF33" i="2"/>
  <c r="BJ33" i="2" s="1"/>
  <c r="BR60" i="2"/>
  <c r="B77" i="2" s="1"/>
  <c r="AK17" i="2"/>
  <c r="AL17" i="2" s="1"/>
  <c r="AP17" i="2"/>
  <c r="CH12" i="2"/>
  <c r="CH37" i="2"/>
  <c r="CH51" i="2"/>
  <c r="CH28" i="2"/>
  <c r="BI28" i="2"/>
  <c r="BF28" i="2"/>
  <c r="BJ28" i="2" s="1"/>
  <c r="CH23" i="2"/>
  <c r="CH44" i="2"/>
  <c r="BN44" i="2" s="1"/>
  <c r="CH25" i="2"/>
  <c r="BI24" i="2"/>
  <c r="BF24" i="2"/>
  <c r="BJ24" i="2" s="1"/>
  <c r="BJ17" i="2"/>
  <c r="BF32" i="2"/>
  <c r="BJ52" i="2"/>
  <c r="BF57" i="2"/>
  <c r="BF35" i="2"/>
  <c r="BN53" i="2"/>
  <c r="BF23" i="2"/>
  <c r="BF25" i="2"/>
  <c r="BJ37" i="2"/>
  <c r="BF45" i="2"/>
  <c r="AT24" i="2"/>
  <c r="BU24" i="2" s="1"/>
  <c r="BV24" i="2" s="1"/>
  <c r="CH24" i="2" s="1"/>
  <c r="BN42" i="2"/>
  <c r="BJ14" i="2"/>
  <c r="BN14" i="2" l="1"/>
  <c r="AX33" i="2"/>
  <c r="AT33" i="2" s="1"/>
  <c r="BU33" i="2" s="1"/>
  <c r="BV33" i="2" s="1"/>
  <c r="CH33" i="2" s="1"/>
  <c r="BJ45" i="2"/>
  <c r="AX28" i="2"/>
  <c r="AT28" i="2" s="1"/>
  <c r="BU28" i="2" s="1"/>
  <c r="BV28" i="2" s="1"/>
  <c r="AX42" i="2"/>
  <c r="AT42" i="2" s="1"/>
  <c r="BU42" i="2" s="1"/>
  <c r="BV42" i="2" s="1"/>
  <c r="BN52" i="2"/>
  <c r="AX12" i="2"/>
  <c r="AT12" i="2" s="1"/>
  <c r="BU12" i="2" s="1"/>
  <c r="BV12" i="2" s="1"/>
  <c r="BJ35" i="2"/>
  <c r="BN37" i="2"/>
  <c r="BN17" i="2"/>
  <c r="BJ23" i="2"/>
  <c r="AX51" i="2"/>
  <c r="AT51" i="2" s="1"/>
  <c r="BU51" i="2" s="1"/>
  <c r="BV51" i="2" s="1"/>
  <c r="BJ32" i="2"/>
  <c r="BJ57" i="2"/>
  <c r="BJ25" i="2"/>
  <c r="BN35" i="2" l="1"/>
  <c r="AX53" i="2"/>
  <c r="AT53" i="2" s="1"/>
  <c r="BU53" i="2" s="1"/>
  <c r="BV53" i="2" s="1"/>
  <c r="CH53" i="2" s="1"/>
  <c r="BN25" i="2"/>
  <c r="BN23" i="2"/>
  <c r="BN45" i="2"/>
  <c r="BN57" i="2"/>
  <c r="BN32" i="2"/>
  <c r="AX37" i="2" l="1"/>
  <c r="AT37" i="2" s="1"/>
  <c r="BU37" i="2" s="1"/>
  <c r="BV37" i="2" s="1"/>
  <c r="AX14" i="2"/>
  <c r="AT14" i="2" s="1"/>
  <c r="BU14" i="2" s="1"/>
  <c r="BV14" i="2" s="1"/>
  <c r="AX52" i="2"/>
  <c r="AT52" i="2" s="1"/>
  <c r="BU52" i="2" s="1"/>
  <c r="BV52" i="2" s="1"/>
  <c r="CH52" i="2" s="1"/>
  <c r="AX17" i="2"/>
  <c r="AT17" i="2" s="1"/>
  <c r="BU17" i="2" s="1"/>
  <c r="BV17" i="2" s="1"/>
  <c r="CH17" i="2" s="1"/>
  <c r="AX57" i="2" l="1"/>
  <c r="AT57" i="2" s="1"/>
  <c r="BU57" i="2" s="1"/>
  <c r="BV57" i="2" s="1"/>
  <c r="AX32" i="2"/>
  <c r="AT32" i="2" s="1"/>
  <c r="BU32" i="2" s="1"/>
  <c r="BV32" i="2" s="1"/>
  <c r="AX23" i="2"/>
  <c r="AT23" i="2" s="1"/>
  <c r="BU23" i="2" s="1"/>
  <c r="BV23" i="2" s="1"/>
  <c r="AX45" i="2"/>
  <c r="AT45" i="2" s="1"/>
  <c r="BU45" i="2" s="1"/>
  <c r="BV45" i="2" s="1"/>
  <c r="AX25" i="2"/>
  <c r="AT25" i="2" s="1"/>
  <c r="BU25" i="2" s="1"/>
  <c r="BV25" i="2" s="1"/>
  <c r="AX35" i="2"/>
  <c r="AT35" i="2" s="1"/>
  <c r="BU35" i="2" s="1"/>
  <c r="BV35" i="2" s="1"/>
  <c r="R13" i="2"/>
  <c r="AH13" i="2"/>
  <c r="AH15" i="2"/>
  <c r="AH19" i="2"/>
  <c r="AH20" i="2"/>
  <c r="R21" i="2"/>
  <c r="AH21" i="2"/>
  <c r="AH22" i="2"/>
  <c r="AH25" i="2"/>
  <c r="AH26" i="2"/>
  <c r="R27" i="2"/>
  <c r="AH27" i="2"/>
  <c r="R30" i="2"/>
  <c r="V30" i="2"/>
  <c r="AH30" i="2"/>
  <c r="R31" i="2"/>
  <c r="AH31" i="2"/>
  <c r="AH34" i="2"/>
  <c r="R36" i="2"/>
  <c r="AH36" i="2"/>
  <c r="AH37" i="2"/>
  <c r="AH38" i="2"/>
  <c r="AH39" i="2"/>
  <c r="R40" i="2"/>
  <c r="AH40" i="2"/>
  <c r="AH41" i="2"/>
  <c r="AH42" i="2"/>
  <c r="AH43" i="2"/>
  <c r="AH44" i="2"/>
  <c r="AH46" i="2"/>
  <c r="AH47" i="2"/>
  <c r="R48" i="2"/>
  <c r="AH48" i="2"/>
  <c r="R49" i="2"/>
  <c r="AH49" i="2"/>
  <c r="AH50" i="2"/>
  <c r="AH54" i="2"/>
  <c r="R55" i="2"/>
  <c r="AH55" i="2"/>
  <c r="AH56" i="2"/>
  <c r="AH58" i="2"/>
  <c r="AH59" i="2"/>
  <c r="AD44" i="2"/>
  <c r="Z44" i="2"/>
  <c r="AD37" i="2"/>
  <c r="Z37" i="2"/>
  <c r="AD32" i="2"/>
  <c r="Z32" i="2"/>
  <c r="AD53" i="2"/>
  <c r="Z53" i="2"/>
  <c r="AD42" i="2"/>
  <c r="Z42" i="2"/>
  <c r="AD45" i="2"/>
  <c r="Z45" i="2"/>
  <c r="AD52" i="2"/>
  <c r="Z52" i="2"/>
  <c r="AD35" i="2"/>
  <c r="Z35" i="2"/>
  <c r="AD17" i="2"/>
  <c r="Z17" i="2"/>
  <c r="AD24" i="2"/>
  <c r="Z24" i="2"/>
  <c r="AD28" i="2"/>
  <c r="Z28" i="2"/>
  <c r="AD14" i="2"/>
  <c r="Z14" i="2"/>
  <c r="AD51" i="2"/>
  <c r="Z51" i="2"/>
  <c r="AD12" i="2"/>
  <c r="Z12" i="2"/>
  <c r="AD25" i="2"/>
  <c r="Z25" i="2"/>
  <c r="AD33" i="2"/>
  <c r="Z33" i="2"/>
  <c r="BE11" i="2"/>
  <c r="BF11" i="2" s="1"/>
  <c r="BI11" i="2"/>
  <c r="BJ11" i="2" s="1"/>
  <c r="BE30" i="2"/>
  <c r="BF30" i="2" s="1"/>
  <c r="BI30" i="2"/>
  <c r="BJ30" i="2" s="1"/>
  <c r="BE36" i="2"/>
  <c r="BF36" i="2" s="1"/>
  <c r="BI36" i="2"/>
  <c r="BJ36" i="2" s="1"/>
  <c r="BE38" i="2"/>
  <c r="BF38" i="2" s="1"/>
  <c r="BI38" i="2"/>
  <c r="BJ38" i="2" s="1"/>
  <c r="BE40" i="2"/>
  <c r="BF40" i="2" s="1"/>
  <c r="BI40" i="2"/>
  <c r="BJ40" i="2" s="1"/>
  <c r="BE43" i="2"/>
  <c r="BF43" i="2" s="1"/>
  <c r="BI43" i="2"/>
  <c r="BE50" i="2"/>
  <c r="BF50" i="2" s="1"/>
  <c r="BI50" i="2"/>
  <c r="BJ50" i="2" s="1"/>
  <c r="BE54" i="2"/>
  <c r="BI54" i="2"/>
  <c r="BJ54" i="2" s="1"/>
  <c r="BE55" i="2"/>
  <c r="BF55" i="2" s="1"/>
  <c r="BI55" i="2"/>
  <c r="BJ55" i="2" s="1"/>
  <c r="U51" i="2"/>
  <c r="V51" i="2" s="1"/>
  <c r="U44" i="2"/>
  <c r="V44" i="2" s="1"/>
  <c r="BN11" i="2"/>
  <c r="U33" i="2"/>
  <c r="V33" i="2" s="1"/>
  <c r="U28" i="2"/>
  <c r="V28" i="2" s="1"/>
  <c r="U37" i="2"/>
  <c r="V37" i="2" s="1"/>
  <c r="U24" i="2"/>
  <c r="V24" i="2" s="1"/>
  <c r="U12" i="2"/>
  <c r="V12" i="2" s="1"/>
  <c r="U17" i="2"/>
  <c r="V17" i="2" s="1"/>
  <c r="AO11" i="2"/>
  <c r="AP11" i="2" s="1"/>
  <c r="AK11" i="2"/>
  <c r="AL11" i="2" s="1"/>
  <c r="U53" i="2"/>
  <c r="V53" i="2" s="1"/>
  <c r="U52" i="2"/>
  <c r="V52" i="2" s="1"/>
  <c r="U45" i="2"/>
  <c r="V45" i="2" s="1"/>
  <c r="U42" i="2"/>
  <c r="V42" i="2" s="1"/>
  <c r="U35" i="2"/>
  <c r="V35" i="2" s="1"/>
  <c r="U32" i="2"/>
  <c r="V32" i="2" s="1"/>
  <c r="U25" i="2"/>
  <c r="V25" i="2" s="1"/>
  <c r="U14" i="2"/>
  <c r="V14" i="2" s="1"/>
  <c r="BF34" i="2"/>
  <c r="BJ34" i="2"/>
  <c r="BF58" i="2"/>
  <c r="BJ58" i="2"/>
  <c r="BF49" i="2"/>
  <c r="BJ49" i="2"/>
  <c r="BF46" i="2"/>
  <c r="BJ46" i="2"/>
  <c r="BN46" i="2"/>
  <c r="AX46" i="2"/>
  <c r="BF13" i="2"/>
  <c r="BJ13" i="2"/>
  <c r="BN13" i="2"/>
  <c r="AX13" i="2"/>
  <c r="AT13" i="2"/>
  <c r="BF41" i="2"/>
  <c r="BJ41" i="2"/>
  <c r="BN41" i="2"/>
  <c r="AX41" i="2"/>
  <c r="AT41" i="2"/>
  <c r="AT46" i="2"/>
  <c r="BN34" i="2"/>
  <c r="AX34" i="2"/>
  <c r="BN49" i="2"/>
  <c r="AX49" i="2"/>
  <c r="CH15" i="2"/>
  <c r="BF15" i="2"/>
  <c r="BJ15" i="2"/>
  <c r="BN15" i="2"/>
  <c r="AX15" i="2"/>
  <c r="AT49" i="2"/>
  <c r="BV56" i="2"/>
  <c r="BF56" i="2"/>
  <c r="BJ56" i="2"/>
  <c r="BN56" i="2"/>
  <c r="AX56" i="2"/>
  <c r="BF29" i="2"/>
  <c r="BJ29" i="2"/>
  <c r="BN29" i="2"/>
  <c r="AX29" i="2"/>
  <c r="AT29" i="2"/>
  <c r="AD56" i="2"/>
  <c r="AT34" i="2"/>
  <c r="CL56" i="2"/>
  <c r="CG56" i="2"/>
  <c r="CH56" i="2" s="1"/>
  <c r="BY56" i="2"/>
  <c r="BZ56" i="2" s="1"/>
  <c r="AO15" i="2"/>
  <c r="AP15" i="2" s="1"/>
  <c r="AK15" i="2"/>
  <c r="AL15" i="2" s="1"/>
  <c r="AO49" i="2"/>
  <c r="AP49" i="2" s="1"/>
  <c r="AK49" i="2"/>
  <c r="AL49" i="2" s="1"/>
  <c r="CH26" i="2"/>
  <c r="BF26" i="2"/>
  <c r="BJ26" i="2"/>
  <c r="AT56" i="2"/>
  <c r="BN58" i="2"/>
  <c r="AX58" i="2"/>
  <c r="AT58" i="2"/>
  <c r="AT15" i="2"/>
  <c r="BN26" i="2"/>
  <c r="CG26" i="2"/>
  <c r="BY26" i="2"/>
  <c r="BZ26" i="2" s="1"/>
  <c r="AX26" i="2"/>
  <c r="AT26" i="2"/>
  <c r="AD41" i="2"/>
  <c r="Z41" i="2"/>
  <c r="U41" i="2"/>
  <c r="V41" i="2" s="1"/>
  <c r="CC34" i="2"/>
  <c r="CD34" i="2" s="1"/>
  <c r="CG41" i="2"/>
  <c r="CH41" i="2" s="1"/>
  <c r="BY41" i="2"/>
  <c r="BZ41" i="2" s="1"/>
  <c r="CC49" i="2"/>
  <c r="CD49" i="2" s="1"/>
  <c r="AD26" i="2"/>
  <c r="Z26" i="2"/>
  <c r="U26" i="2"/>
  <c r="V26" i="2" s="1"/>
  <c r="AD49" i="2"/>
  <c r="Z49" i="2"/>
  <c r="U49" i="2"/>
  <c r="V49" i="2" s="1"/>
  <c r="BU34" i="2"/>
  <c r="BV34" i="2" s="1"/>
  <c r="AO56" i="2"/>
  <c r="AP56" i="2" s="1"/>
  <c r="BU41" i="2"/>
  <c r="BV41" i="2" s="1"/>
  <c r="AO26" i="2"/>
  <c r="AP26" i="2" s="1"/>
  <c r="CC13" i="2"/>
  <c r="CD13" i="2" s="1"/>
  <c r="CK29" i="2"/>
  <c r="CL29" i="2" s="1"/>
  <c r="AD34" i="2"/>
  <c r="Z34" i="2"/>
  <c r="U34" i="2"/>
  <c r="V34" i="2" s="1"/>
  <c r="AO58" i="2"/>
  <c r="AP58" i="2" s="1"/>
  <c r="BU58" i="2"/>
  <c r="BV58" i="2" s="1"/>
  <c r="AK56" i="2"/>
  <c r="AL56" i="2" s="1"/>
  <c r="BU26" i="2"/>
  <c r="BV26" i="2" s="1"/>
  <c r="AO13" i="2"/>
  <c r="AP13" i="2" s="1"/>
  <c r="CC29" i="2"/>
  <c r="CD29" i="2" s="1"/>
  <c r="BU13" i="2"/>
  <c r="BV13" i="2" s="1"/>
  <c r="AD15" i="2"/>
  <c r="Z15" i="2"/>
  <c r="U15" i="2"/>
  <c r="V15" i="2" s="1"/>
  <c r="AO41" i="2"/>
  <c r="AP41" i="2" s="1"/>
  <c r="AK41" i="2"/>
  <c r="AL41" i="2" s="1"/>
  <c r="CK58" i="2"/>
  <c r="CL58" i="2" s="1"/>
  <c r="AD46" i="2"/>
  <c r="Z46" i="2"/>
  <c r="U46" i="2"/>
  <c r="V46" i="2" s="1"/>
  <c r="AO46" i="2"/>
  <c r="AP46" i="2" s="1"/>
  <c r="AK46" i="2"/>
  <c r="AL46" i="2" s="1"/>
  <c r="CC58" i="2"/>
  <c r="CD58" i="2" s="1"/>
  <c r="AD58" i="2"/>
  <c r="Z58" i="2"/>
  <c r="U58" i="2"/>
  <c r="V58" i="2" s="1"/>
  <c r="AO29" i="2"/>
  <c r="AP29" i="2" s="1"/>
  <c r="AK29" i="2"/>
  <c r="AL29" i="2" s="1"/>
  <c r="CK49" i="2"/>
  <c r="CL49" i="2" s="1"/>
  <c r="CG49" i="2"/>
  <c r="CH49" i="2" s="1"/>
  <c r="AK13" i="2"/>
  <c r="AL13" i="2" s="1"/>
  <c r="CG13" i="2"/>
  <c r="CH13" i="2" s="1"/>
  <c r="BY13" i="2"/>
  <c r="BZ13" i="2" s="1"/>
  <c r="CK46" i="2"/>
  <c r="CL46" i="2" s="1"/>
  <c r="BU49" i="2"/>
  <c r="BV49" i="2" s="1"/>
  <c r="CC15" i="2"/>
  <c r="CD15" i="2" s="1"/>
  <c r="AD13" i="2"/>
  <c r="Z13" i="2"/>
  <c r="U13" i="2"/>
  <c r="V13" i="2" s="1"/>
  <c r="CG34" i="2"/>
  <c r="CH34" i="2" s="1"/>
  <c r="BY34" i="2"/>
  <c r="BZ34" i="2" s="1"/>
  <c r="CK34" i="2"/>
  <c r="CL34" i="2" s="1"/>
  <c r="CG58" i="2"/>
  <c r="CH58" i="2" s="1"/>
  <c r="BY58" i="2"/>
  <c r="BZ58" i="2" s="1"/>
  <c r="CK56" i="2"/>
  <c r="BU29" i="2"/>
  <c r="BV29" i="2" s="1"/>
  <c r="BU46" i="2"/>
  <c r="BV46" i="2" s="1"/>
  <c r="Z56" i="2"/>
  <c r="U56" i="2"/>
  <c r="V56" i="2" s="1"/>
  <c r="CC26" i="2"/>
  <c r="CD26" i="2" s="1"/>
  <c r="BY15" i="2"/>
  <c r="BZ15" i="2" s="1"/>
  <c r="AK26" i="2"/>
  <c r="AL26" i="2" s="1"/>
  <c r="BU56" i="2"/>
  <c r="CC46" i="2"/>
  <c r="CD46" i="2" s="1"/>
  <c r="CC56" i="2"/>
  <c r="CD56" i="2" s="1"/>
  <c r="BU15" i="2"/>
  <c r="BV15" i="2" s="1"/>
  <c r="AK58" i="2"/>
  <c r="AL58" i="2" s="1"/>
  <c r="CG29" i="2"/>
  <c r="CH29" i="2" s="1"/>
  <c r="BY29" i="2"/>
  <c r="BZ29" i="2" s="1"/>
  <c r="CC41" i="2"/>
  <c r="CD41" i="2" s="1"/>
  <c r="BY49" i="2"/>
  <c r="BZ49" i="2" s="1"/>
  <c r="CG46" i="2"/>
  <c r="CH46" i="2" s="1"/>
  <c r="BY46" i="2"/>
  <c r="BZ46" i="2" s="1"/>
  <c r="CK41" i="2"/>
  <c r="CL41" i="2" s="1"/>
  <c r="CK26" i="2"/>
  <c r="CL26" i="2" s="1"/>
  <c r="BF59" i="2"/>
  <c r="BJ59" i="2"/>
  <c r="BF16" i="2"/>
  <c r="BJ16" i="2"/>
  <c r="BF48" i="2"/>
  <c r="BJ48" i="2"/>
  <c r="BN59" i="2"/>
  <c r="BN50" i="2"/>
  <c r="BF54" i="2"/>
  <c r="BN54" i="2"/>
  <c r="BF21" i="2"/>
  <c r="BJ21" i="2"/>
  <c r="BN21" i="2"/>
  <c r="BN16" i="2"/>
  <c r="AD20" i="2"/>
  <c r="AD16" i="2"/>
  <c r="Z16" i="2"/>
  <c r="AD18" i="2"/>
  <c r="Z18" i="2"/>
  <c r="BN30" i="2"/>
  <c r="BN48" i="2"/>
  <c r="BJ43" i="2"/>
  <c r="BN43" i="2"/>
  <c r="BN38" i="2"/>
  <c r="AX21" i="2"/>
  <c r="AT21" i="2"/>
  <c r="BF22" i="2"/>
  <c r="BJ22" i="2"/>
  <c r="BN36" i="2"/>
  <c r="AX48" i="2"/>
  <c r="AX43" i="2"/>
  <c r="AT43" i="2"/>
  <c r="BF18" i="2"/>
  <c r="BJ18" i="2"/>
  <c r="BN18" i="2"/>
  <c r="AX18" i="2"/>
  <c r="AT18" i="2"/>
  <c r="BF31" i="2"/>
  <c r="BJ31" i="2"/>
  <c r="BN31" i="2"/>
  <c r="AX31" i="2"/>
  <c r="BF39" i="2"/>
  <c r="BJ39" i="2"/>
  <c r="BN39" i="2"/>
  <c r="AX39" i="2"/>
  <c r="BF47" i="2"/>
  <c r="BJ47" i="2"/>
  <c r="BN47" i="2"/>
  <c r="AX47" i="2"/>
  <c r="AX38" i="2"/>
  <c r="AT38" i="2"/>
  <c r="AX54" i="2"/>
  <c r="AT54" i="2"/>
  <c r="BN22" i="2"/>
  <c r="AO21" i="2"/>
  <c r="AP21" i="2" s="1"/>
  <c r="AK21" i="2"/>
  <c r="AL21" i="2" s="1"/>
  <c r="AO18" i="2"/>
  <c r="AP18" i="2" s="1"/>
  <c r="AK18" i="2"/>
  <c r="AL18" i="2" s="1"/>
  <c r="BV19" i="2"/>
  <c r="CH19" i="2"/>
  <c r="BF19" i="2"/>
  <c r="BJ19" i="2"/>
  <c r="BN19" i="2"/>
  <c r="AX19" i="2"/>
  <c r="AT19" i="2"/>
  <c r="BF20" i="2"/>
  <c r="BJ20" i="2"/>
  <c r="BN20" i="2"/>
  <c r="AX20" i="2"/>
  <c r="AT20" i="2"/>
  <c r="AD21" i="2"/>
  <c r="Z21" i="2"/>
  <c r="U21" i="2"/>
  <c r="V21" i="2" s="1"/>
  <c r="AT31" i="2"/>
  <c r="AT47" i="2"/>
  <c r="CC20" i="2"/>
  <c r="CD20" i="2" s="1"/>
  <c r="CK21" i="2"/>
  <c r="CL21" i="2" s="1"/>
  <c r="AT48" i="2"/>
  <c r="BF27" i="2"/>
  <c r="BJ27" i="2"/>
  <c r="BN27" i="2"/>
  <c r="AX27" i="2"/>
  <c r="AT27" i="2"/>
  <c r="BN55" i="2"/>
  <c r="AX55" i="2"/>
  <c r="AT55" i="2"/>
  <c r="AX59" i="2"/>
  <c r="AT59" i="2"/>
  <c r="AX36" i="2"/>
  <c r="AT36" i="2"/>
  <c r="AX30" i="2"/>
  <c r="AT30" i="2"/>
  <c r="AX11" i="2"/>
  <c r="AO38" i="2"/>
  <c r="AP38" i="2" s="1"/>
  <c r="AX50" i="2"/>
  <c r="AT11" i="2"/>
  <c r="CC21" i="2"/>
  <c r="CD21" i="2" s="1"/>
  <c r="AT50" i="2"/>
  <c r="AX22" i="2"/>
  <c r="AO39" i="2"/>
  <c r="AP39" i="2" s="1"/>
  <c r="AK39" i="2"/>
  <c r="AL39" i="2" s="1"/>
  <c r="AD39" i="2"/>
  <c r="Z39" i="2"/>
  <c r="CG21" i="2"/>
  <c r="CH21" i="2" s="1"/>
  <c r="BY21" i="2"/>
  <c r="BZ21" i="2" s="1"/>
  <c r="BU21" i="2"/>
  <c r="BV21" i="2" s="1"/>
  <c r="AT39" i="2"/>
  <c r="AX16" i="2"/>
  <c r="AT16" i="2"/>
  <c r="AT22" i="2"/>
  <c r="CC22" i="2"/>
  <c r="CD22" i="2" s="1"/>
  <c r="BU50" i="2"/>
  <c r="BV50" i="2" s="1"/>
  <c r="CC19" i="2"/>
  <c r="CD19" i="2" s="1"/>
  <c r="U16" i="2"/>
  <c r="V16" i="2" s="1"/>
  <c r="CC47" i="2"/>
  <c r="CD47" i="2" s="1"/>
  <c r="BU47" i="2"/>
  <c r="BV47" i="2" s="1"/>
  <c r="AO22" i="2"/>
  <c r="AP22" i="2" s="1"/>
  <c r="U39" i="2"/>
  <c r="V39" i="2" s="1"/>
  <c r="CG31" i="2"/>
  <c r="CH31" i="2" s="1"/>
  <c r="BY31" i="2"/>
  <c r="BZ31" i="2" s="1"/>
  <c r="CK48" i="2"/>
  <c r="CL48" i="2" s="1"/>
  <c r="AO59" i="2"/>
  <c r="AP59" i="2" s="1"/>
  <c r="AK59" i="2"/>
  <c r="AL59" i="2" s="1"/>
  <c r="BU18" i="2"/>
  <c r="BV18" i="2" s="1"/>
  <c r="CG54" i="2"/>
  <c r="CH54" i="2" s="1"/>
  <c r="BY54" i="2"/>
  <c r="BZ54" i="2" s="1"/>
  <c r="BU20" i="2"/>
  <c r="BV20" i="2" s="1"/>
  <c r="AD55" i="2"/>
  <c r="Z55" i="2"/>
  <c r="U55" i="2"/>
  <c r="V55" i="2" s="1"/>
  <c r="AO47" i="2"/>
  <c r="AP47" i="2" s="1"/>
  <c r="AK47" i="2"/>
  <c r="AL47" i="2" s="1"/>
  <c r="CG11" i="2"/>
  <c r="CH11" i="2" s="1"/>
  <c r="BY11" i="2"/>
  <c r="BZ11" i="2" s="1"/>
  <c r="CK59" i="2"/>
  <c r="CL59" i="2" s="1"/>
  <c r="AD40" i="2"/>
  <c r="Z40" i="2"/>
  <c r="U40" i="2"/>
  <c r="V40" i="2" s="1"/>
  <c r="CK22" i="2"/>
  <c r="CL22" i="2" s="1"/>
  <c r="CC40" i="2"/>
  <c r="CD40" i="2" s="1"/>
  <c r="BU55" i="2"/>
  <c r="BV55" i="2" s="1"/>
  <c r="AO16" i="2"/>
  <c r="AP16" i="2" s="1"/>
  <c r="AK16" i="2"/>
  <c r="AL16" i="2" s="1"/>
  <c r="AD43" i="2"/>
  <c r="Z43" i="2"/>
  <c r="U43" i="2"/>
  <c r="V43" i="2" s="1"/>
  <c r="CK47" i="2"/>
  <c r="CL47" i="2" s="1"/>
  <c r="CK18" i="2"/>
  <c r="CL18" i="2" s="1"/>
  <c r="AO40" i="2"/>
  <c r="AP40" i="2" s="1"/>
  <c r="AO27" i="2"/>
  <c r="AP27" i="2" s="1"/>
  <c r="AK27" i="2"/>
  <c r="AL27" i="2" s="1"/>
  <c r="BU38" i="2"/>
  <c r="BV38" i="2" s="1"/>
  <c r="BU31" i="2"/>
  <c r="BV31" i="2" s="1"/>
  <c r="CC27" i="2"/>
  <c r="CD27" i="2" s="1"/>
  <c r="BU59" i="2"/>
  <c r="BV59" i="2" s="1"/>
  <c r="CG36" i="2"/>
  <c r="CH36" i="2" s="1"/>
  <c r="CK36" i="2"/>
  <c r="CL36" i="2" s="1"/>
  <c r="CG47" i="2"/>
  <c r="CH47" i="2" s="1"/>
  <c r="BY47" i="2"/>
  <c r="BZ47" i="2" s="1"/>
  <c r="CK40" i="2"/>
  <c r="CL40" i="2" s="1"/>
  <c r="CC30" i="2"/>
  <c r="CD30" i="2" s="1"/>
  <c r="BU19" i="2"/>
  <c r="AO55" i="2"/>
  <c r="AP55" i="2" s="1"/>
  <c r="AD31" i="2"/>
  <c r="Z31" i="2"/>
  <c r="U31" i="2"/>
  <c r="V31" i="2" s="1"/>
  <c r="CK16" i="2"/>
  <c r="CL16" i="2" s="1"/>
  <c r="BU43" i="2"/>
  <c r="BV43" i="2" s="1"/>
  <c r="BU11" i="2"/>
  <c r="BV11" i="2" s="1"/>
  <c r="U18" i="2"/>
  <c r="V18" i="2" s="1"/>
  <c r="CK20" i="2"/>
  <c r="CL20" i="2" s="1"/>
  <c r="CG40" i="2"/>
  <c r="CH40" i="2" s="1"/>
  <c r="BY40" i="2"/>
  <c r="BZ40" i="2" s="1"/>
  <c r="AD47" i="2"/>
  <c r="Z47" i="2"/>
  <c r="U47" i="2"/>
  <c r="V47" i="2" s="1"/>
  <c r="AD54" i="2"/>
  <c r="Z54" i="2"/>
  <c r="U54" i="2"/>
  <c r="V54" i="2" s="1"/>
  <c r="BU48" i="2"/>
  <c r="BV48" i="2" s="1"/>
  <c r="AD30" i="2"/>
  <c r="Z30" i="2"/>
  <c r="AK22" i="2"/>
  <c r="AL22" i="2" s="1"/>
  <c r="CG19" i="2"/>
  <c r="CK19" i="2"/>
  <c r="CL19" i="2" s="1"/>
  <c r="AO50" i="2"/>
  <c r="AP50" i="2" s="1"/>
  <c r="CG55" i="2"/>
  <c r="CH55" i="2" s="1"/>
  <c r="CK55" i="2"/>
  <c r="CL55" i="2" s="1"/>
  <c r="AO31" i="2"/>
  <c r="AP31" i="2" s="1"/>
  <c r="CK43" i="2"/>
  <c r="CL43" i="2" s="1"/>
  <c r="BU27" i="2"/>
  <c r="BV27" i="2" s="1"/>
  <c r="AO48" i="2"/>
  <c r="AP48" i="2" s="1"/>
  <c r="AK48" i="2"/>
  <c r="AL48" i="2" s="1"/>
  <c r="AD38" i="2"/>
  <c r="Z38" i="2"/>
  <c r="U38" i="2"/>
  <c r="V38" i="2" s="1"/>
  <c r="CC36" i="2"/>
  <c r="CD36" i="2" s="1"/>
  <c r="Z20" i="2"/>
  <c r="U20" i="2"/>
  <c r="V20" i="2" s="1"/>
  <c r="AD36" i="2"/>
  <c r="Z36" i="2"/>
  <c r="BY55" i="2"/>
  <c r="BZ55" i="2" s="1"/>
  <c r="AD22" i="2"/>
  <c r="Z22" i="2"/>
  <c r="U22" i="2"/>
  <c r="V22" i="2" s="1"/>
  <c r="AD50" i="2"/>
  <c r="Z50" i="2"/>
  <c r="AO30" i="2"/>
  <c r="AP30" i="2" s="1"/>
  <c r="AK30" i="2"/>
  <c r="AL30" i="2" s="1"/>
  <c r="CG38" i="2"/>
  <c r="CH38" i="2" s="1"/>
  <c r="BY38" i="2"/>
  <c r="BZ38" i="2" s="1"/>
  <c r="BU22" i="2"/>
  <c r="BV22" i="2" s="1"/>
  <c r="BU36" i="2"/>
  <c r="BV36" i="2" s="1"/>
  <c r="CG59" i="2"/>
  <c r="CH59" i="2" s="1"/>
  <c r="BY59" i="2"/>
  <c r="BZ59" i="2" s="1"/>
  <c r="AO20" i="2"/>
  <c r="AP20" i="2" s="1"/>
  <c r="AK20" i="2"/>
  <c r="AL20" i="2" s="1"/>
  <c r="CK39" i="2"/>
  <c r="CL39" i="2" s="1"/>
  <c r="CG39" i="2"/>
  <c r="CH39" i="2" s="1"/>
  <c r="CG43" i="2"/>
  <c r="CH43" i="2" s="1"/>
  <c r="BY43" i="2"/>
  <c r="BZ43" i="2" s="1"/>
  <c r="BU30" i="2"/>
  <c r="BV30" i="2" s="1"/>
  <c r="BY36" i="2"/>
  <c r="BZ36" i="2" s="1"/>
  <c r="BU16" i="2"/>
  <c r="BV16" i="2" s="1"/>
  <c r="CD43" i="2"/>
  <c r="CC43" i="2"/>
  <c r="CG50" i="2"/>
  <c r="CH50" i="2" s="1"/>
  <c r="BY50" i="2"/>
  <c r="BZ50" i="2" s="1"/>
  <c r="CG27" i="2"/>
  <c r="CH27" i="2" s="1"/>
  <c r="BY27" i="2"/>
  <c r="BZ27" i="2" s="1"/>
  <c r="AD27" i="2"/>
  <c r="Z27" i="2"/>
  <c r="AD48" i="2"/>
  <c r="Z48" i="2"/>
  <c r="BU54" i="2"/>
  <c r="BV54" i="2" s="1"/>
  <c r="BY39" i="2"/>
  <c r="BZ39" i="2" s="1"/>
  <c r="CC55" i="2"/>
  <c r="CD55" i="2" s="1"/>
  <c r="CG22" i="2"/>
  <c r="CH22" i="2" s="1"/>
  <c r="BY22" i="2"/>
  <c r="BZ22" i="2" s="1"/>
  <c r="AK38" i="2"/>
  <c r="AL38" i="2" s="1"/>
  <c r="U36" i="2"/>
  <c r="V36" i="2" s="1"/>
  <c r="CG18" i="2"/>
  <c r="CH18" i="2" s="1"/>
  <c r="BY18" i="2"/>
  <c r="BZ18" i="2" s="1"/>
  <c r="AD19" i="2"/>
  <c r="Z19" i="2"/>
  <c r="U19" i="2"/>
  <c r="V19" i="2" s="1"/>
  <c r="CC18" i="2"/>
  <c r="CD18" i="2" s="1"/>
  <c r="CG20" i="2"/>
  <c r="CH20" i="2" s="1"/>
  <c r="BY20" i="2"/>
  <c r="BZ20" i="2" s="1"/>
  <c r="CK30" i="2"/>
  <c r="CL30" i="2" s="1"/>
  <c r="U50" i="2"/>
  <c r="V50" i="2" s="1"/>
  <c r="U30" i="2"/>
  <c r="AK55" i="2"/>
  <c r="AL55" i="2" s="1"/>
  <c r="CK50" i="2"/>
  <c r="CL50" i="2" s="1"/>
  <c r="U48" i="2"/>
  <c r="V48" i="2" s="1"/>
  <c r="AK40" i="2"/>
  <c r="AL40" i="2" s="1"/>
  <c r="AO19" i="2"/>
  <c r="AP19" i="2" s="1"/>
  <c r="CC48" i="2"/>
  <c r="CD48" i="2" s="1"/>
  <c r="AK31" i="2"/>
  <c r="AL31" i="2" s="1"/>
  <c r="CK54" i="2"/>
  <c r="CL54" i="2" s="1"/>
  <c r="CK11" i="2"/>
  <c r="CL11" i="2" s="1"/>
  <c r="U27" i="2"/>
  <c r="V27" i="2" s="1"/>
  <c r="AD59" i="2"/>
  <c r="Z59" i="2"/>
  <c r="U59" i="2"/>
  <c r="G3" i="2" s="1"/>
  <c r="CK38" i="2"/>
  <c r="CL38" i="2" s="1"/>
  <c r="CG48" i="2"/>
  <c r="CH48" i="2" s="1"/>
  <c r="BY48" i="2"/>
  <c r="BZ48" i="2" s="1"/>
  <c r="CK31" i="2"/>
  <c r="CL31" i="2" s="1"/>
  <c r="CC54" i="2"/>
  <c r="CD54" i="2" s="1"/>
  <c r="CK27" i="2"/>
  <c r="CL27" i="2" s="1"/>
  <c r="BU39" i="2"/>
  <c r="BV39" i="2" s="1"/>
  <c r="AK50" i="2"/>
  <c r="AL50" i="2" s="1"/>
  <c r="CG16" i="2"/>
  <c r="CH16" i="2" s="1"/>
  <c r="BY16" i="2"/>
  <c r="BZ16" i="2" s="1"/>
  <c r="AK19" i="2"/>
  <c r="AL19" i="2" s="1"/>
  <c r="CG30" i="2"/>
  <c r="CH30" i="2" s="1"/>
  <c r="BY30" i="2"/>
  <c r="BZ30" i="2" s="1"/>
  <c r="BY19" i="2"/>
  <c r="BZ19" i="2" s="1"/>
  <c r="N20" i="2"/>
  <c r="BA20" i="2"/>
  <c r="BB20" i="2" s="1"/>
  <c r="N39" i="2"/>
  <c r="BA39" i="2"/>
  <c r="BB39" i="2" s="1"/>
  <c r="N55" i="2"/>
  <c r="BA55" i="2"/>
  <c r="BB55" i="2" s="1"/>
  <c r="N22" i="2"/>
  <c r="BA22" i="2"/>
  <c r="BB22" i="2" s="1"/>
  <c r="N19" i="2"/>
  <c r="BA19" i="2"/>
  <c r="BB19" i="2" s="1"/>
  <c r="N16" i="2"/>
  <c r="BA16" i="2"/>
  <c r="BB16" i="2" s="1"/>
  <c r="N43" i="2"/>
  <c r="BA43" i="2"/>
  <c r="BB43" i="2" s="1"/>
  <c r="N30" i="2"/>
  <c r="BA30" i="2"/>
  <c r="BB30" i="2" s="1"/>
  <c r="N31" i="2"/>
  <c r="BA31" i="2"/>
  <c r="BB31" i="2" s="1"/>
  <c r="N47" i="2"/>
  <c r="BA47" i="2"/>
  <c r="BB47" i="2" s="1"/>
  <c r="N40" i="2"/>
  <c r="BA40" i="2"/>
  <c r="BB40" i="2" s="1"/>
  <c r="N54" i="2"/>
  <c r="BA54" i="2"/>
  <c r="BB54" i="2" s="1"/>
  <c r="N50" i="2"/>
  <c r="BA50" i="2"/>
  <c r="BB50" i="2" s="1"/>
  <c r="J11" i="2"/>
  <c r="N36" i="2"/>
  <c r="BA36" i="2"/>
  <c r="BB36" i="2" s="1"/>
  <c r="N18" i="2"/>
  <c r="BA18" i="2"/>
  <c r="BB18" i="2" s="1"/>
  <c r="N59" i="2"/>
  <c r="BA59" i="2"/>
  <c r="BB59" i="2" s="1"/>
  <c r="N27" i="2"/>
  <c r="BA27" i="2"/>
  <c r="BB27" i="2" s="1"/>
  <c r="N38" i="2"/>
  <c r="BA38" i="2"/>
  <c r="BB38" i="2" s="1"/>
  <c r="N48" i="2"/>
  <c r="BA48" i="2"/>
  <c r="BB48" i="2" s="1"/>
  <c r="N21" i="2"/>
  <c r="BA21" i="2"/>
  <c r="BB21" i="2" s="1"/>
  <c r="N15" i="2"/>
  <c r="BA15" i="2"/>
  <c r="BB15" i="2" s="1"/>
  <c r="N26" i="2"/>
  <c r="BA26" i="2"/>
  <c r="BB26" i="2" s="1"/>
  <c r="N41" i="2"/>
  <c r="BA41" i="2"/>
  <c r="BB41" i="2" s="1"/>
  <c r="N29" i="2"/>
  <c r="BA29" i="2"/>
  <c r="BB29" i="2" s="1"/>
  <c r="N34" i="2"/>
  <c r="BA34" i="2"/>
  <c r="BB34" i="2" s="1"/>
  <c r="N56" i="2"/>
  <c r="BA56" i="2"/>
  <c r="BB56" i="2" s="1"/>
  <c r="N13" i="2"/>
  <c r="BA13" i="2"/>
  <c r="BB13" i="2" s="1"/>
  <c r="N46" i="2"/>
  <c r="BA46" i="2"/>
  <c r="BB46" i="2" s="1"/>
  <c r="N58" i="2"/>
  <c r="BA58" i="2"/>
  <c r="BB58" i="2" s="1"/>
  <c r="N49" i="2"/>
  <c r="BA49" i="2"/>
  <c r="BB49" i="2" s="1"/>
  <c r="N11" i="2"/>
  <c r="N33" i="2"/>
  <c r="BA33" i="2"/>
  <c r="BB33" i="2" s="1"/>
  <c r="N37" i="2"/>
  <c r="BA37" i="2"/>
  <c r="BB37" i="2" s="1"/>
  <c r="N53" i="2"/>
  <c r="BA53" i="2"/>
  <c r="BB53" i="2" s="1"/>
  <c r="BA11" i="2"/>
  <c r="BB11" i="2" s="1"/>
  <c r="N28" i="2"/>
  <c r="BA28" i="2"/>
  <c r="BB28" i="2" s="1"/>
  <c r="N44" i="2"/>
  <c r="BA44" i="2"/>
  <c r="BB44" i="2" s="1"/>
  <c r="BA51" i="2"/>
  <c r="BB51" i="2" s="1"/>
  <c r="N51" i="2"/>
  <c r="BA12" i="2"/>
  <c r="BB12" i="2" s="1"/>
  <c r="N12" i="2"/>
  <c r="BA17" i="2"/>
  <c r="BB17" i="2" s="1"/>
  <c r="N17" i="2"/>
  <c r="BA24" i="2"/>
  <c r="BB24" i="2" s="1"/>
  <c r="N24" i="2"/>
  <c r="BA57" i="2"/>
  <c r="BB57" i="2" s="1"/>
  <c r="N57" i="2"/>
  <c r="BA35" i="2"/>
  <c r="BB35" i="2" s="1"/>
  <c r="N35" i="2"/>
  <c r="BA14" i="2"/>
  <c r="BB14" i="2" s="1"/>
  <c r="N14" i="2"/>
  <c r="BA45" i="2"/>
  <c r="BB45" i="2" s="1"/>
  <c r="N45" i="2"/>
  <c r="BA25" i="2"/>
  <c r="BB25" i="2" s="1"/>
  <c r="N25" i="2"/>
  <c r="BA52" i="2"/>
  <c r="BB52" i="2" s="1"/>
  <c r="N52" i="2"/>
  <c r="BA32" i="2"/>
  <c r="BB32" i="2" s="1"/>
  <c r="N32" i="2"/>
  <c r="BA23" i="2"/>
  <c r="BB23" i="2" s="1"/>
  <c r="N23" i="2"/>
  <c r="BA42" i="2"/>
  <c r="BB42" i="2" s="1"/>
  <c r="N42" i="2"/>
  <c r="CR55" i="2" l="1"/>
  <c r="CR58" i="2"/>
  <c r="R60" i="2"/>
  <c r="B64" i="2" s="1"/>
  <c r="CR48" i="2"/>
  <c r="N60" i="2"/>
  <c r="B63" i="2" s="1"/>
  <c r="CR20" i="2"/>
  <c r="CR56" i="2"/>
  <c r="CR29" i="2"/>
  <c r="CR47" i="2"/>
  <c r="CH60" i="2"/>
  <c r="B81" i="2" s="1"/>
  <c r="CR39" i="2"/>
  <c r="BV60" i="2"/>
  <c r="B78" i="2" s="1"/>
  <c r="BJ60" i="2"/>
  <c r="B75" i="2" s="1"/>
  <c r="BF60" i="2"/>
  <c r="B74" i="2" s="1"/>
  <c r="CR27" i="2"/>
  <c r="CR30" i="2"/>
  <c r="CR22" i="2"/>
  <c r="CR46" i="2"/>
  <c r="CR26" i="2"/>
  <c r="CR18" i="2"/>
  <c r="CR41" i="2"/>
  <c r="CR21" i="2"/>
  <c r="CR19" i="2"/>
  <c r="BB60" i="2"/>
  <c r="B73" i="2" s="1"/>
  <c r="CR49" i="2"/>
  <c r="CR40" i="2"/>
  <c r="AT60" i="2"/>
  <c r="B71" i="2" s="1"/>
  <c r="AH60" i="2"/>
  <c r="B68" i="2" s="1"/>
  <c r="J60" i="2"/>
  <c r="B62" i="2" s="1"/>
  <c r="AX60" i="2"/>
  <c r="B72" i="2" s="1"/>
  <c r="BN60" i="2"/>
  <c r="B76" i="2" s="1"/>
  <c r="Z60" i="2"/>
  <c r="B66" i="2" s="1"/>
  <c r="AD60" i="2"/>
  <c r="B67" i="2" s="1"/>
  <c r="V59" i="2"/>
  <c r="CR59" i="2" s="1"/>
  <c r="CC16" i="2"/>
  <c r="CD16" i="2"/>
  <c r="CR16" i="2"/>
  <c r="CC50" i="2"/>
  <c r="CD50" i="2"/>
  <c r="CR50" i="2"/>
  <c r="AK45" i="2"/>
  <c r="AL45" i="2"/>
  <c r="AO45" i="2"/>
  <c r="AP45" i="2"/>
  <c r="BY45" i="2"/>
  <c r="BZ45" i="2" s="1"/>
  <c r="CC45" i="2"/>
  <c r="CD45" i="2"/>
  <c r="CK45" i="2"/>
  <c r="CL45" i="2"/>
  <c r="AK57" i="2"/>
  <c r="AL57" i="2"/>
  <c r="AO57" i="2"/>
  <c r="AP57" i="2"/>
  <c r="BY57" i="2"/>
  <c r="BZ57" i="2" s="1"/>
  <c r="CC57" i="2"/>
  <c r="CD57" i="2"/>
  <c r="BY53" i="2"/>
  <c r="BZ53" i="2"/>
  <c r="CR53" i="2" s="1"/>
  <c r="CC53" i="2"/>
  <c r="CD53" i="2"/>
  <c r="CK53" i="2"/>
  <c r="CL53" i="2"/>
  <c r="BY51" i="2"/>
  <c r="BZ51" i="2"/>
  <c r="CC51" i="2"/>
  <c r="CD51" i="2" s="1"/>
  <c r="CC59" i="2"/>
  <c r="CD59" i="2"/>
  <c r="AK35" i="2"/>
  <c r="AL35" i="2"/>
  <c r="AO35" i="2"/>
  <c r="AP35" i="2" s="1"/>
  <c r="BY35" i="2"/>
  <c r="BZ35" i="2"/>
  <c r="CC35" i="2"/>
  <c r="CD35" i="2"/>
  <c r="CK35" i="2"/>
  <c r="CL35" i="2" s="1"/>
  <c r="BY33" i="2"/>
  <c r="BZ33" i="2"/>
  <c r="CC33" i="2"/>
  <c r="CD33" i="2" s="1"/>
  <c r="CR33" i="2" s="1"/>
  <c r="AK34" i="2"/>
  <c r="AL34" i="2"/>
  <c r="AO34" i="2"/>
  <c r="AP34" i="2"/>
  <c r="CR34" i="2"/>
  <c r="BY37" i="2"/>
  <c r="BZ37" i="2" s="1"/>
  <c r="CC37" i="2"/>
  <c r="CD37" i="2" s="1"/>
  <c r="BY17" i="2"/>
  <c r="BZ17" i="2"/>
  <c r="CC17" i="2"/>
  <c r="CD17" i="2"/>
  <c r="CR17" i="2"/>
  <c r="AK36" i="2"/>
  <c r="AL36" i="2"/>
  <c r="AO36" i="2"/>
  <c r="AP36" i="2"/>
  <c r="CR36" i="2"/>
  <c r="BY24" i="2"/>
  <c r="BZ24" i="2" s="1"/>
  <c r="CC24" i="2"/>
  <c r="CD24" i="2"/>
  <c r="AK42" i="2"/>
  <c r="AL42" i="2"/>
  <c r="AO42" i="2"/>
  <c r="AP42" i="2"/>
  <c r="BY42" i="2"/>
  <c r="BZ42" i="2" s="1"/>
  <c r="CC42" i="2"/>
  <c r="CD42" i="2"/>
  <c r="CK42" i="2"/>
  <c r="CL42" i="2" s="1"/>
  <c r="CK15" i="2"/>
  <c r="CL15" i="2"/>
  <c r="CR15" i="2"/>
  <c r="BY44" i="2"/>
  <c r="BZ44" i="2"/>
  <c r="CC44" i="2"/>
  <c r="CD44" i="2"/>
  <c r="CR44" i="2"/>
  <c r="AK14" i="2"/>
  <c r="AL14" i="2"/>
  <c r="AO14" i="2"/>
  <c r="AP14" i="2"/>
  <c r="BY14" i="2"/>
  <c r="BZ14" i="2" s="1"/>
  <c r="CC14" i="2"/>
  <c r="CD14" i="2"/>
  <c r="CK14" i="2"/>
  <c r="CL14" i="2"/>
  <c r="AK23" i="2"/>
  <c r="AL23" i="2" s="1"/>
  <c r="CR23" i="2" s="1"/>
  <c r="AK25" i="2"/>
  <c r="AL25" i="2"/>
  <c r="AK32" i="2"/>
  <c r="AL32" i="2" s="1"/>
  <c r="AK43" i="2"/>
  <c r="AL43" i="2"/>
  <c r="AK54" i="2"/>
  <c r="AL54" i="2"/>
  <c r="BY28" i="2"/>
  <c r="BZ28" i="2"/>
  <c r="CC28" i="2"/>
  <c r="CD28" i="2"/>
  <c r="CK28" i="2"/>
  <c r="CL28" i="2"/>
  <c r="CR28" i="2"/>
  <c r="AO23" i="2"/>
  <c r="AP23" i="2"/>
  <c r="BY23" i="2"/>
  <c r="BZ23" i="2"/>
  <c r="CC23" i="2"/>
  <c r="CD23" i="2" s="1"/>
  <c r="AO25" i="2"/>
  <c r="AP25" i="2"/>
  <c r="AO32" i="2"/>
  <c r="AP32" i="2"/>
  <c r="AO43" i="2"/>
  <c r="AP43" i="2" s="1"/>
  <c r="AO54" i="2"/>
  <c r="AP54" i="2"/>
  <c r="CC52" i="2"/>
  <c r="CD52" i="2"/>
  <c r="CK52" i="2"/>
  <c r="CL52" i="2"/>
  <c r="CK13" i="2"/>
  <c r="CL13" i="2"/>
  <c r="CR13" i="2"/>
  <c r="BY12" i="2"/>
  <c r="BZ12" i="2"/>
  <c r="BY25" i="2"/>
  <c r="BZ25" i="2"/>
  <c r="BY32" i="2"/>
  <c r="BZ32" i="2"/>
  <c r="CC12" i="2"/>
  <c r="CD12" i="2" s="1"/>
  <c r="CC25" i="2"/>
  <c r="CD25" i="2"/>
  <c r="CC32" i="2"/>
  <c r="CD32" i="2" s="1"/>
  <c r="CC38" i="2"/>
  <c r="CD38" i="2" s="1"/>
  <c r="CR38" i="2" s="1"/>
  <c r="CC31" i="2"/>
  <c r="CD31" i="2" s="1"/>
  <c r="CC11" i="2"/>
  <c r="CD11" i="2"/>
  <c r="CR11" i="2"/>
  <c r="CR37" i="2" l="1"/>
  <c r="CR42" i="2"/>
  <c r="CL60" i="2"/>
  <c r="B82" i="2" s="1"/>
  <c r="CR52" i="2"/>
  <c r="CR45" i="2"/>
  <c r="CR24" i="2"/>
  <c r="V60" i="2"/>
  <c r="B65" i="2" s="1"/>
  <c r="AP60" i="2"/>
  <c r="B70" i="2" s="1"/>
  <c r="AL60" i="2"/>
  <c r="B69" i="2" s="1"/>
  <c r="CR54" i="2"/>
  <c r="CR32" i="2"/>
  <c r="CR25" i="2"/>
  <c r="CR43" i="2"/>
  <c r="CR57" i="2"/>
  <c r="CR51" i="2"/>
  <c r="CR31" i="2"/>
  <c r="CD60" i="2"/>
  <c r="B80" i="2" s="1"/>
  <c r="BZ60" i="2"/>
  <c r="B79" i="2" s="1"/>
  <c r="CR35" i="2"/>
  <c r="CR14" i="2"/>
  <c r="CR12" i="2"/>
  <c r="CR60" i="2" l="1"/>
  <c r="D10" i="1" s="1"/>
  <c r="D17" i="1" s="1"/>
  <c r="C65" i="2" l="1"/>
  <c r="D38" i="1"/>
  <c r="A35" i="1" s="1"/>
  <c r="C79" i="2"/>
  <c r="C78" i="2"/>
  <c r="C62" i="2"/>
  <c r="C63" i="2"/>
  <c r="C68" i="2"/>
  <c r="C67" i="2"/>
  <c r="C74" i="2"/>
  <c r="C81" i="2"/>
  <c r="C66" i="2"/>
  <c r="A7" i="1"/>
  <c r="C80" i="2"/>
  <c r="C64" i="2"/>
  <c r="C69" i="2"/>
  <c r="C70" i="2"/>
  <c r="C72" i="2"/>
  <c r="C76" i="2"/>
  <c r="C71" i="2"/>
  <c r="C82" i="2"/>
  <c r="C75" i="2"/>
  <c r="C73" i="2"/>
  <c r="C77" i="2"/>
  <c r="D45" i="1" l="1"/>
</calcChain>
</file>

<file path=xl/sharedStrings.xml><?xml version="1.0" encoding="utf-8"?>
<sst xmlns="http://schemas.openxmlformats.org/spreadsheetml/2006/main" count="1887" uniqueCount="446">
  <si>
    <t>PRICE PROPOSAL SUMMARY - DO NOT ALTER OR MANIPULATE THIS TAB IN ANY WAY</t>
  </si>
  <si>
    <t>Project Title</t>
  </si>
  <si>
    <t>APS Single Award</t>
  </si>
  <si>
    <t xml:space="preserve"> Total - T&amp;M</t>
  </si>
  <si>
    <t>Contract Period</t>
  </si>
  <si>
    <t>Period of Performance Start Date</t>
  </si>
  <si>
    <t>Period of Performance End Date</t>
  </si>
  <si>
    <t>Total</t>
  </si>
  <si>
    <t>Base Period</t>
  </si>
  <si>
    <t>Option Period 1</t>
  </si>
  <si>
    <t>Option Period 2</t>
  </si>
  <si>
    <t>Option Period 3</t>
  </si>
  <si>
    <t>Option Period 4</t>
  </si>
  <si>
    <t>Option Period 5</t>
  </si>
  <si>
    <t xml:space="preserve">Option Period 6 (-8 Option) </t>
  </si>
  <si>
    <t>TOTAL CONTRACT LABOR</t>
  </si>
  <si>
    <t xml:space="preserve"> Total - Reimbursable Travel</t>
  </si>
  <si>
    <t>GOVERNMENT PLUG NUMBERS</t>
  </si>
  <si>
    <t>TOTAL CONTRACT TRAVEL</t>
  </si>
  <si>
    <t>TOTAL EVALUATED PRICE</t>
  </si>
  <si>
    <t>TOTAL CONTRACT VALUE</t>
  </si>
  <si>
    <t>Escalation Rate</t>
  </si>
  <si>
    <t>Direct Labor</t>
  </si>
  <si>
    <t>Occupation</t>
  </si>
  <si>
    <t>Offeror Labor Category</t>
  </si>
  <si>
    <t xml:space="preserve">GSA Occupation Level </t>
  </si>
  <si>
    <t>Escalation Applied (Y/N)</t>
  </si>
  <si>
    <t>SCA Exempt  (Y/N)</t>
  </si>
  <si>
    <t>SCA Base Rate</t>
  </si>
  <si>
    <t>SIM HRS
Orlando</t>
  </si>
  <si>
    <t>SIM Rate Orlando</t>
  </si>
  <si>
    <t>SIM Orlando Rate
Burdened</t>
  </si>
  <si>
    <t>SIM Orlando Subtotal</t>
  </si>
  <si>
    <t>SIM HRS
Ft Campbell</t>
  </si>
  <si>
    <t>SIM 
Ft. Campbell 
Rate</t>
  </si>
  <si>
    <t>SIM 
Ft. Campbell Burdened</t>
  </si>
  <si>
    <t>SIM
Ft. Campell Subtotal</t>
  </si>
  <si>
    <t xml:space="preserve">TRADE HRS
Orlando </t>
  </si>
  <si>
    <t>TRADE Orlando Rate</t>
  </si>
  <si>
    <t>TRADE Orlando Rate
Burdened</t>
  </si>
  <si>
    <t>TRADE Orlando
Subtotal</t>
  </si>
  <si>
    <t>TRADE HRS
Germany</t>
  </si>
  <si>
    <t>TRADE Rate
Germany</t>
  </si>
  <si>
    <t>TRADE Rate
Germany
Burdened</t>
  </si>
  <si>
    <t>TRADE
Germany Subtotal</t>
  </si>
  <si>
    <t>TRADE HRS
Ft. Hood</t>
  </si>
  <si>
    <t>TRADE Rate
Ft. Hood</t>
  </si>
  <si>
    <t>TRADE Rate
Ft Hood
Burdened</t>
  </si>
  <si>
    <t>TRADE
Ft. Hood Subtotal</t>
  </si>
  <si>
    <t>TRADE HRS
Ft. Irwin</t>
  </si>
  <si>
    <t>TRADE Rate
Ft. Irwin</t>
  </si>
  <si>
    <t>TRADE Rate
Ft. Irwin
Burdened</t>
  </si>
  <si>
    <t>TRADE
Ft. Irwin Subtotal</t>
  </si>
  <si>
    <t>TRADE HRS
Ft. Polk</t>
  </si>
  <si>
    <t>TRADE Rate
Ft. Polk</t>
  </si>
  <si>
    <t>TRADE Rate
Ft. Polk
Burdened</t>
  </si>
  <si>
    <t>TRADE
Ft. Polk Subtotal</t>
  </si>
  <si>
    <t xml:space="preserve">IPO HRS
Orlando </t>
  </si>
  <si>
    <t>IPO Orlando  Rate</t>
  </si>
  <si>
    <t>IPO Orlando Rate
Burdened</t>
  </si>
  <si>
    <t>IPO Orlando Subtotal</t>
  </si>
  <si>
    <t>IPO HRS
Ft. Campbell</t>
  </si>
  <si>
    <t>IPO 
Ft. Campbell
Rate</t>
  </si>
  <si>
    <t>IPO Rate
Ft. Campbell
Burdened</t>
  </si>
  <si>
    <t>IPO
Ft. Campbell Subtotal</t>
  </si>
  <si>
    <t xml:space="preserve">TSO HRS
Orlando </t>
  </si>
  <si>
    <t>TSO Rate</t>
  </si>
  <si>
    <t>TSO Rate
Burdened</t>
  </si>
  <si>
    <t>TSO Subtotal</t>
  </si>
  <si>
    <t>TSO HRS
Ft. Bragg</t>
  </si>
  <si>
    <t>TSO Rate
Ft. Bragg</t>
  </si>
  <si>
    <t>TSO Rate
Ft. Bragg
Burdened</t>
  </si>
  <si>
    <t>TSO
Ft. Bragg Subtotal</t>
  </si>
  <si>
    <t>TSO HRS
Ft Drum</t>
  </si>
  <si>
    <t>TSO Rate
Ft. Drum</t>
  </si>
  <si>
    <t>TSO Rate
Ft. Drum
Burdened</t>
  </si>
  <si>
    <t>TSO
Ft. Drum Subtotal</t>
  </si>
  <si>
    <t>TSO HRS
Ft. Rucker</t>
  </si>
  <si>
    <t>TSO Rate 
Ft. Rucker</t>
  </si>
  <si>
    <t>TSO Rate
Ft. Rucker
Burdened</t>
  </si>
  <si>
    <t>TSO
Ft. Rucker Subtotal</t>
  </si>
  <si>
    <t>TSO HRS
Ft. Polk</t>
  </si>
  <si>
    <t>TSO Rate
Ft. Polk</t>
  </si>
  <si>
    <t>TSO Rate
Ft. Polk
Burdened</t>
  </si>
  <si>
    <t>TSO
Ft. Polk Subtotal</t>
  </si>
  <si>
    <t>TSO HRS
Ft. Irwin</t>
  </si>
  <si>
    <t>TSO Rate
Ft. Irwin</t>
  </si>
  <si>
    <t>TSO Rate
Ft. Irwin
Burdened</t>
  </si>
  <si>
    <t>TSO
Ft. Irwin Subtotal</t>
  </si>
  <si>
    <t>TSO HRS
Germany</t>
  </si>
  <si>
    <t>TSO Rate
Germany</t>
  </si>
  <si>
    <t>TSO Rate
Germany
Burdened</t>
  </si>
  <si>
    <t>TSO 
Germany Subtotal</t>
  </si>
  <si>
    <t>TSO HRS
S. Korea</t>
  </si>
  <si>
    <t>TSO Rate
S. Korea</t>
  </si>
  <si>
    <t>TSO Rate
S. Korea
Burdened</t>
  </si>
  <si>
    <t>TSO
S. Korea Subtotal</t>
  </si>
  <si>
    <t>HQ HRS
(Orlando, FL)</t>
  </si>
  <si>
    <t>HQ Rate</t>
  </si>
  <si>
    <t>HQ Rate
Burdened</t>
  </si>
  <si>
    <t>HQ Subtotal</t>
  </si>
  <si>
    <t xml:space="preserve">TSMO HRS
Orlando </t>
  </si>
  <si>
    <t>TSMO Rate</t>
  </si>
  <si>
    <t>TSMO Rate
Burdened</t>
  </si>
  <si>
    <t>TSMO Subtotal</t>
  </si>
  <si>
    <t>TSMO HRS
Huntsville, AL</t>
  </si>
  <si>
    <t>TSMO
Huntsville, AL.
Rate</t>
  </si>
  <si>
    <t xml:space="preserve">Huntsville,
Alabama
Rate (Burdened)
</t>
  </si>
  <si>
    <t>TSO
Huntsville, AL Subtotal</t>
  </si>
  <si>
    <r>
      <rPr>
        <b/>
        <sz val="11"/>
        <color rgb="FF000000"/>
        <rFont val="Calibri"/>
      </rPr>
      <t xml:space="preserve">Agile Administration HRS
</t>
    </r>
    <r>
      <rPr>
        <b/>
        <sz val="11"/>
        <color rgb="FFFF0000"/>
        <rFont val="Calibri"/>
      </rPr>
      <t>(Offeror Defined Location)</t>
    </r>
  </si>
  <si>
    <t>Agile Administration Rate</t>
  </si>
  <si>
    <t>Agile Administration Rate
Burdened</t>
  </si>
  <si>
    <t>Agile Administration Subtotal</t>
  </si>
  <si>
    <t>Fringe 
%</t>
  </si>
  <si>
    <t>Overhead
%</t>
  </si>
  <si>
    <t>G&amp;A
%</t>
  </si>
  <si>
    <t>Profit
%</t>
  </si>
  <si>
    <t>Burden Rate</t>
  </si>
  <si>
    <t xml:space="preserve">Total </t>
  </si>
  <si>
    <t xml:space="preserve">49-9099 Installation, Maintenance, and Repair Workers, All Other </t>
  </si>
  <si>
    <t>Subject Matter Expert (SME)</t>
  </si>
  <si>
    <t>Journeyman (3–10 yrs)</t>
  </si>
  <si>
    <t>27-3042 Technical Writers</t>
  </si>
  <si>
    <t>Senior (&gt;10 yrs)</t>
  </si>
  <si>
    <t>27-3031 Public Relations Specialists**</t>
  </si>
  <si>
    <t>17-3029  Engineering Technologists and Technicians</t>
  </si>
  <si>
    <t>17-2199 Engineers, All Other</t>
  </si>
  <si>
    <t>17-2072 Electronics Engineers, Except Computer</t>
  </si>
  <si>
    <t>Journeyman</t>
  </si>
  <si>
    <t>15-2051 Data Scientists</t>
  </si>
  <si>
    <t>15-1299  Computer Occupations, All Other</t>
  </si>
  <si>
    <t>15-1253 Software Quality Assurance Analysts and Testers</t>
  </si>
  <si>
    <t xml:space="preserve">15-1252 Software Developer </t>
  </si>
  <si>
    <t>15-1244 Network and Computer Systems Administrators</t>
  </si>
  <si>
    <t>15-1242 Database Administrators</t>
  </si>
  <si>
    <t>15-1232 Computer User Support Specialists</t>
  </si>
  <si>
    <t>15-1231 Computer Network Support Specialists</t>
  </si>
  <si>
    <t>15-1212 Information Security Analysts</t>
  </si>
  <si>
    <t>15-1211 Computer Systems Analysts</t>
  </si>
  <si>
    <t>13-2031 - Budget Analyst</t>
  </si>
  <si>
    <t>Journeyman (3-10 yrs)</t>
  </si>
  <si>
    <t>13-1151 Training and Development Specialists</t>
  </si>
  <si>
    <t>13-11199 - Business Operations Specialist</t>
  </si>
  <si>
    <t>Junior (&lt;3 years)</t>
  </si>
  <si>
    <t>13-1111 Management Analysts</t>
  </si>
  <si>
    <t>13-1111  Management Analysts</t>
  </si>
  <si>
    <t>13-1082 Project Management Specialists</t>
  </si>
  <si>
    <t>13-1081 Logisticians</t>
  </si>
  <si>
    <t>13-1081  Logisticians</t>
  </si>
  <si>
    <t xml:space="preserve">13-1051 - Cost Estimator </t>
  </si>
  <si>
    <t>13-1041 Compliance Officers</t>
  </si>
  <si>
    <t>11-9041 Architectural and Engineering Managers</t>
  </si>
  <si>
    <t>11-3021 Computer and Information Systems Managers</t>
  </si>
  <si>
    <t>11-3013 Facility Manager</t>
  </si>
  <si>
    <t>11-1021  General and Operations Manager</t>
  </si>
  <si>
    <t xml:space="preserve"> 49-9071  General Maintenance Worker</t>
  </si>
  <si>
    <t xml:space="preserve"> 33-9099 Protective Service Workers, All Others</t>
  </si>
  <si>
    <t xml:space="preserve"> 11-3071 Transportation, Storage, and Distribution Manager </t>
  </si>
  <si>
    <t>Total Labor Proposal</t>
  </si>
  <si>
    <t>Program Office/Location</t>
  </si>
  <si>
    <t>Subtotal</t>
  </si>
  <si>
    <t>Percent of Effort - BY</t>
  </si>
  <si>
    <t>SIM - Orlando</t>
  </si>
  <si>
    <t>SIM - Ft. Campbell</t>
  </si>
  <si>
    <t>TRADE</t>
  </si>
  <si>
    <t>TRADE - Germany</t>
  </si>
  <si>
    <t>TRADE - Ft. Hood</t>
  </si>
  <si>
    <t>TRADE - Ft. Irwin</t>
  </si>
  <si>
    <t>TRADE - Ft. Polk</t>
  </si>
  <si>
    <t>IPO</t>
  </si>
  <si>
    <t>IPO - Ft. Campbell</t>
  </si>
  <si>
    <t>TSO</t>
  </si>
  <si>
    <t>TSO - Ft. Bragg</t>
  </si>
  <si>
    <t>TSO - Ft. Drum</t>
  </si>
  <si>
    <t>TSO - Ft. Rucker</t>
  </si>
  <si>
    <t>TSO - Ft. Polk</t>
  </si>
  <si>
    <t>TSO - Ft. Irwin</t>
  </si>
  <si>
    <t>TSO - Germany</t>
  </si>
  <si>
    <t>TSO - S. Korea</t>
  </si>
  <si>
    <t>HQ</t>
  </si>
  <si>
    <t>TSMO</t>
  </si>
  <si>
    <t>TSMO - Huntsville, AL</t>
  </si>
  <si>
    <t>Admin</t>
  </si>
  <si>
    <t>SIM Rate</t>
  </si>
  <si>
    <t>SIM Rate
Burdened</t>
  </si>
  <si>
    <t>SIM Subtotal</t>
  </si>
  <si>
    <t>TRADE Rate</t>
  </si>
  <si>
    <t>TRADE Rate
Burdened</t>
  </si>
  <si>
    <t>TRADE
Subtotal</t>
  </si>
  <si>
    <t>IPO HRS
Orlando</t>
  </si>
  <si>
    <t>IPO Rate</t>
  </si>
  <si>
    <t>IPO Rate
Burdened</t>
  </si>
  <si>
    <t>IPO Subtotal</t>
  </si>
  <si>
    <t>TSO HRS
Orlando</t>
  </si>
  <si>
    <t>TSMO HRS
Orlando</t>
  </si>
  <si>
    <t>ADMIN HRS
(Location)</t>
  </si>
  <si>
    <t>ADMIN Rate</t>
  </si>
  <si>
    <t>Admin Rate
Burdened</t>
  </si>
  <si>
    <t>Admin Subtotal</t>
  </si>
  <si>
    <t>Percent of Effort - OY1</t>
  </si>
  <si>
    <t>SIM</t>
  </si>
  <si>
    <t xml:space="preserve">SIM HRS
Orlando </t>
  </si>
  <si>
    <t>TRADE HRS
Orlando</t>
  </si>
  <si>
    <t>Percent of Effort - OY2</t>
  </si>
  <si>
    <t>Percent of Effort - OY3</t>
  </si>
  <si>
    <t>Percent of Effort - OY4</t>
  </si>
  <si>
    <t>Percent of Effort - OY5</t>
  </si>
  <si>
    <t>Option Period 6</t>
  </si>
  <si>
    <t>Percent of Effort - OY6</t>
  </si>
  <si>
    <t>APS - Projected/Initial Labor CLIN structure</t>
  </si>
  <si>
    <t>SLIN</t>
  </si>
  <si>
    <t>CLIN 0001 Mission OPA</t>
  </si>
  <si>
    <t>0001-01</t>
  </si>
  <si>
    <t>CTC-IS  OPA Labor</t>
  </si>
  <si>
    <t>0001-02</t>
  </si>
  <si>
    <t>CTIA  OPA Labor</t>
  </si>
  <si>
    <t>0001-03</t>
  </si>
  <si>
    <t>DRTS OPA Labor</t>
  </si>
  <si>
    <t>0001-04</t>
  </si>
  <si>
    <t>FASIT OPA Labor</t>
  </si>
  <si>
    <t>0001-05</t>
  </si>
  <si>
    <t>HITS OPA Labor</t>
  </si>
  <si>
    <t>0001-06</t>
  </si>
  <si>
    <t>I-MILES OPA Labor</t>
  </si>
  <si>
    <t>0001-07</t>
  </si>
  <si>
    <t>JPMRC OPA Labor</t>
  </si>
  <si>
    <t>0001-08</t>
  </si>
  <si>
    <t>SMS OPA Labor</t>
  </si>
  <si>
    <t>0001-09</t>
  </si>
  <si>
    <t>STE Live OPA Labor</t>
  </si>
  <si>
    <t>0001-10</t>
  </si>
  <si>
    <t>BCTC OPA Labor</t>
  </si>
  <si>
    <t>0001-11</t>
  </si>
  <si>
    <t>CBCSE OPA Labor</t>
  </si>
  <si>
    <t>0001-12</t>
  </si>
  <si>
    <t>JLCCTC OPA Labor</t>
  </si>
  <si>
    <t>0001-13</t>
  </si>
  <si>
    <t>RVCT  OPA Labor</t>
  </si>
  <si>
    <t>0001-14</t>
  </si>
  <si>
    <t>SVT OPA Labor</t>
  </si>
  <si>
    <t>0001-15</t>
  </si>
  <si>
    <t>OSWV OPA Labor</t>
  </si>
  <si>
    <t>0001-16</t>
  </si>
  <si>
    <t>T-IADS OPA Labor</t>
  </si>
  <si>
    <t>CLIN 0002 Mission OMA</t>
  </si>
  <si>
    <t>0002-01</t>
  </si>
  <si>
    <t>TSO OMA Labor</t>
  </si>
  <si>
    <t>0002-02</t>
  </si>
  <si>
    <t>HQ OMA Labor</t>
  </si>
  <si>
    <t>CLIN 0003 Mission RDTE</t>
  </si>
  <si>
    <t>0003-01</t>
  </si>
  <si>
    <t>FASIT RDTE  LABOR</t>
  </si>
  <si>
    <t>0003-02</t>
  </si>
  <si>
    <t>STE Live RDTE LABOR</t>
  </si>
  <si>
    <t>0003-03</t>
  </si>
  <si>
    <t>NGC RDTE Labor</t>
  </si>
  <si>
    <t>0003-04</t>
  </si>
  <si>
    <t>TSS/TMT RDTE Labor</t>
  </si>
  <si>
    <t>0003-05</t>
  </si>
  <si>
    <t>OWT  RDTE Labor</t>
  </si>
  <si>
    <t>0003-06</t>
  </si>
  <si>
    <t>OneSAF  RDTE Labor</t>
  </si>
  <si>
    <t>0003-07</t>
  </si>
  <si>
    <t>IEWTPT  RDTE Labor</t>
  </si>
  <si>
    <t>0003-08</t>
  </si>
  <si>
    <t>UNITE RDTE Labor</t>
  </si>
  <si>
    <t>0003-09</t>
  </si>
  <si>
    <t>PL TSMO RDTE</t>
  </si>
  <si>
    <t>0003-10</t>
  </si>
  <si>
    <t>PL TSMO IMO  RDTE</t>
  </si>
  <si>
    <t xml:space="preserve">CLIN 0004 – PM Trade Customer Funded – RDTE </t>
  </si>
  <si>
    <t>0004-01</t>
  </si>
  <si>
    <t>CPE ST3 PM TRADE PdM LTS (MILES)</t>
  </si>
  <si>
    <t>0004-02</t>
  </si>
  <si>
    <t>CPE ST3 PM TRADE PdM TTS (CMUR)</t>
  </si>
  <si>
    <t>CLIN 0005 - ADA Targets Missile Procurement</t>
  </si>
  <si>
    <t>0005-01</t>
  </si>
  <si>
    <t>ADA TARGETS MSLS LABOR</t>
  </si>
  <si>
    <t>CLIN 0006 - Games for Training Procurement</t>
  </si>
  <si>
    <t>0006-01</t>
  </si>
  <si>
    <t>GFT TBWG OPA Labor</t>
  </si>
  <si>
    <t>CLIN 0007 - FSTS Operations and Maintenance</t>
  </si>
  <si>
    <t>0007-01</t>
  </si>
  <si>
    <t>FSTS Labor</t>
  </si>
  <si>
    <t>CLIN 0008 - SOF AV OMA LABOR</t>
  </si>
  <si>
    <t>0008-01</t>
  </si>
  <si>
    <t>SOF AV OMA Labor</t>
  </si>
  <si>
    <t>0008-02</t>
  </si>
  <si>
    <t>0008-03</t>
  </si>
  <si>
    <t>0008-04</t>
  </si>
  <si>
    <t>CLIN 0009 - SOF AV RDTE Labor</t>
  </si>
  <si>
    <t>0009-01</t>
  </si>
  <si>
    <t>SOF AV RDTE Labor</t>
  </si>
  <si>
    <t>CLIN 0010 – FMS Admin</t>
  </si>
  <si>
    <t>00010-01</t>
  </si>
  <si>
    <t>FMS Admin Pre-LOR Labor</t>
  </si>
  <si>
    <t>00010-02</t>
  </si>
  <si>
    <t>FMS Admin Case Reviews Labor</t>
  </si>
  <si>
    <t>00010-03</t>
  </si>
  <si>
    <t>FMS Admin General Business Labor</t>
  </si>
  <si>
    <t>00010-04</t>
  </si>
  <si>
    <t>FMS Admin Case Closure Labor</t>
  </si>
  <si>
    <t>CLIN 0011 - FMS BPC</t>
  </si>
  <si>
    <t>0011-01</t>
  </si>
  <si>
    <t>BPC 333 Labor</t>
  </si>
  <si>
    <t>0011-02</t>
  </si>
  <si>
    <t>BPC USAI Labor</t>
  </si>
  <si>
    <t>CLIN 0012 - FMS J7 Funding</t>
  </si>
  <si>
    <t>0012-012</t>
  </si>
  <si>
    <t>J7 Labor</t>
  </si>
  <si>
    <t>CLIN 0013 - FMS Case Funded</t>
  </si>
  <si>
    <t>0013-01</t>
  </si>
  <si>
    <t>AE-B-GUA 251 LABOR</t>
  </si>
  <si>
    <t>0013-02</t>
  </si>
  <si>
    <t>AE-B-GUA 252 LABOR</t>
  </si>
  <si>
    <t>0013-03</t>
  </si>
  <si>
    <t>AE-B-ZAP 028 LABOR</t>
  </si>
  <si>
    <t>0013-04</t>
  </si>
  <si>
    <t>AL-B-UBU 007 LABOR</t>
  </si>
  <si>
    <t>0013-05</t>
  </si>
  <si>
    <t>AT-B-ULT 006 LABOR</t>
  </si>
  <si>
    <t>0013-06</t>
  </si>
  <si>
    <t>AT-B-ULV 153 LABOR</t>
  </si>
  <si>
    <t>0013-07</t>
  </si>
  <si>
    <t>AT-B-UMI 168 LABOR</t>
  </si>
  <si>
    <t>0013-08</t>
  </si>
  <si>
    <t>AT-B-UOG 008 LABOR</t>
  </si>
  <si>
    <t>0013-09</t>
  </si>
  <si>
    <t>AT-B-UOV 006 LABOR</t>
  </si>
  <si>
    <t>0013-10</t>
  </si>
  <si>
    <t>AU-B-VCS 137 LABOR</t>
  </si>
  <si>
    <t>0013-11</t>
  </si>
  <si>
    <t>BK-B-UNF 003 LABOR</t>
  </si>
  <si>
    <t>0013-12</t>
  </si>
  <si>
    <t>BK-B-UNG 002 LABOR</t>
  </si>
  <si>
    <t>0013-13</t>
  </si>
  <si>
    <t>CO-B-VYL 003 LABOR</t>
  </si>
  <si>
    <t>0013-14</t>
  </si>
  <si>
    <t>CO-B-VJL 003 LABOR</t>
  </si>
  <si>
    <t>0013-15</t>
  </si>
  <si>
    <t>EG-B-VHD 012 LABOR</t>
  </si>
  <si>
    <t>0013-16</t>
  </si>
  <si>
    <t>EG-B-VQL 004 LABOR</t>
  </si>
  <si>
    <t>0013-17</t>
  </si>
  <si>
    <t>EG-B-VRC 003 LABOR</t>
  </si>
  <si>
    <t>0013-18</t>
  </si>
  <si>
    <t>GG-B-UDJ 004 LABOR</t>
  </si>
  <si>
    <t>0013-19</t>
  </si>
  <si>
    <t>GG-B-UEE 003 LABOR</t>
  </si>
  <si>
    <t>0013-20</t>
  </si>
  <si>
    <t>GY-B-XBT 165 LABOR</t>
  </si>
  <si>
    <t>0013-21</t>
  </si>
  <si>
    <t>ID-B-UAL 207 LABOR</t>
  </si>
  <si>
    <t>0013-22</t>
  </si>
  <si>
    <t>IQ-B-ZDH 004 LABOR</t>
  </si>
  <si>
    <t>0013-23</t>
  </si>
  <si>
    <t>K5-B-ZAB 004 LABOR</t>
  </si>
  <si>
    <t>0013-24</t>
  </si>
  <si>
    <t>KS-B-ZFQ 059 LABOR</t>
  </si>
  <si>
    <t>0013-25</t>
  </si>
  <si>
    <t>KS-B-ZJG 142 LABOR</t>
  </si>
  <si>
    <t>0013-26</t>
  </si>
  <si>
    <t>KU-B-UMK 014 LABOR</t>
  </si>
  <si>
    <t>0013-27</t>
  </si>
  <si>
    <t>KU-B-UMN 018 LABOR</t>
  </si>
  <si>
    <t>0013-28</t>
  </si>
  <si>
    <t>LE-B-WBF 004 LABOR</t>
  </si>
  <si>
    <t>0013-29</t>
  </si>
  <si>
    <t>LE-B-WCI 011 LABOR</t>
  </si>
  <si>
    <t>0013-30</t>
  </si>
  <si>
    <t>LH-B-UEA 007 LABOR</t>
  </si>
  <si>
    <t>0013-31</t>
  </si>
  <si>
    <t>MD-B-UCI 003 LABOR</t>
  </si>
  <si>
    <t>0013-32</t>
  </si>
  <si>
    <t>MK-B-UCR 008 LABOR</t>
  </si>
  <si>
    <t>0013-33</t>
  </si>
  <si>
    <t>MO-B-UTJ 021 LABOR</t>
  </si>
  <si>
    <t>0013-34</t>
  </si>
  <si>
    <t>MO-B-UTN 194 LABOR</t>
  </si>
  <si>
    <t>0013-35</t>
  </si>
  <si>
    <t>MO-B-UTN 297 LABOR</t>
  </si>
  <si>
    <t>0013-36</t>
  </si>
  <si>
    <t>NE-B-WJS 007 LABOR</t>
  </si>
  <si>
    <t>0013-37</t>
  </si>
  <si>
    <t>NE-B-WKV 003 LABOR</t>
  </si>
  <si>
    <t>0013-38</t>
  </si>
  <si>
    <t>NE-B-WKX 003 LABOR</t>
  </si>
  <si>
    <t>0013-39</t>
  </si>
  <si>
    <t>NE-B-WKY 005 LABOR</t>
  </si>
  <si>
    <t>0013-40</t>
  </si>
  <si>
    <t>NE-B-YBX 012 LABOR</t>
  </si>
  <si>
    <t>0013-41</t>
  </si>
  <si>
    <t>PL-B-UDU 006 LABOR</t>
  </si>
  <si>
    <t>0013-42</t>
  </si>
  <si>
    <t>PL-B-UEH 247 LABOR</t>
  </si>
  <si>
    <t>0013-43</t>
  </si>
  <si>
    <t>PL-B-UDT 145 LABOR</t>
  </si>
  <si>
    <t>0013-44</t>
  </si>
  <si>
    <t>PL-B-UEC 122 LABOR</t>
  </si>
  <si>
    <t>0013-45</t>
  </si>
  <si>
    <t>QA-B-WYX 356 LABOR</t>
  </si>
  <si>
    <t>0013-46</t>
  </si>
  <si>
    <t>RO-B-UGI 086 LABOR</t>
  </si>
  <si>
    <t>0013-47</t>
  </si>
  <si>
    <t>RO-B-UGR 002 LABOR</t>
  </si>
  <si>
    <t>0013-48</t>
  </si>
  <si>
    <t>RO-B-UGW 003 LABOR</t>
  </si>
  <si>
    <t>0013-49</t>
  </si>
  <si>
    <t>SR-B-ZAD 191 LABOR</t>
  </si>
  <si>
    <t>0013-50</t>
  </si>
  <si>
    <t>SR-B-ZAG 216 LABOR</t>
  </si>
  <si>
    <t>0013-51</t>
  </si>
  <si>
    <t>SR-B-ZAN 087 LABOR</t>
  </si>
  <si>
    <t>0013-52</t>
  </si>
  <si>
    <t>SW-B-WBU 007 LABOR</t>
  </si>
  <si>
    <t>0013-53</t>
  </si>
  <si>
    <t>TW-B-ZBT 031 LABOR</t>
  </si>
  <si>
    <t>0013-54</t>
  </si>
  <si>
    <t>TW-B-ZCT 089 LABOR</t>
  </si>
  <si>
    <t>0013-55</t>
  </si>
  <si>
    <t>TW-B-ZCL 008 LABOR</t>
  </si>
  <si>
    <t>0013-56</t>
  </si>
  <si>
    <t>TW-B-ZCL 004 LABOR</t>
  </si>
  <si>
    <t>0013-57</t>
  </si>
  <si>
    <t>TW-B-ZDY 002 LABOR</t>
  </si>
  <si>
    <t>0013-58</t>
  </si>
  <si>
    <t>TW-B-ZDZ 004 LABOR</t>
  </si>
  <si>
    <t>0013-59</t>
  </si>
  <si>
    <t>TW-B-ZFF 102 LABOR</t>
  </si>
  <si>
    <t>0013-60</t>
  </si>
  <si>
    <t>UK-B-WSO 210 LABOR</t>
  </si>
  <si>
    <t>0013-61</t>
  </si>
  <si>
    <t>UK-B-WTJ 134 LABOR</t>
  </si>
  <si>
    <t>CLIN 0014 T-REX</t>
  </si>
  <si>
    <t>0014-01</t>
  </si>
  <si>
    <t>TReX Labor- iMFDS</t>
  </si>
  <si>
    <t>0014-02</t>
  </si>
  <si>
    <t>TReX Labor-EWGIR</t>
  </si>
  <si>
    <t>CLIN 0015 T-REX (2)</t>
  </si>
  <si>
    <t>0015-01</t>
  </si>
  <si>
    <t>TReX Labor-Collab Defense</t>
  </si>
  <si>
    <t>CLIN 0016 T-REX OUSD Customer Labor</t>
  </si>
  <si>
    <t>0016-01</t>
  </si>
  <si>
    <t>TReX Labor- Guard</t>
  </si>
  <si>
    <t>0016-02</t>
  </si>
  <si>
    <t>TReX Labor-RAWTEC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</si>
</sst>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_-"/>
    <numFmt numFmtId="165" formatCode="&quot;$&quot;#,##0.00"/>
  </numFmts>
  <fonts count="32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i/>
      <sz val="16"/>
      <color rgb="FFFFFFFF"/>
      <name val="Calibri"/>
      <family val="2"/>
    </font>
    <font>
      <sz val="11"/>
      <name val="Calibri"/>
      <family val="2"/>
    </font>
    <font>
      <b/>
      <sz val="20"/>
      <color rgb="FF1A4480"/>
      <name val="Calibri"/>
      <family val="2"/>
    </font>
    <font>
      <b/>
      <sz val="28"/>
      <color rgb="FF1A4480"/>
      <name val="Calibri"/>
      <family val="2"/>
    </font>
    <font>
      <b/>
      <sz val="36"/>
      <color rgb="FF4F97D1"/>
      <name val="Calibri"/>
      <family val="2"/>
    </font>
    <font>
      <b/>
      <sz val="20"/>
      <color rgb="FF305396"/>
      <name val="Calibri"/>
      <family val="2"/>
    </font>
    <font>
      <sz val="20"/>
      <color rgb="FF305396"/>
      <name val="Calibri"/>
      <family val="2"/>
    </font>
    <font>
      <b/>
      <sz val="48"/>
      <color rgb="FF4F97D1"/>
      <name val="Calibri"/>
      <family val="2"/>
    </font>
    <font>
      <b/>
      <sz val="48"/>
      <color rgb="FF1A4480"/>
      <name val="Calibri"/>
      <family val="2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1"/>
      <color rgb="FF1A4480"/>
      <name val="Calibri"/>
      <family val="2"/>
    </font>
    <font>
      <sz val="11"/>
      <color rgb="FF002060"/>
      <name val="Arial"/>
      <family val="2"/>
    </font>
    <font>
      <b/>
      <sz val="11"/>
      <color rgb="FF002060"/>
      <name val="Arial"/>
      <family val="2"/>
    </font>
    <font>
      <b/>
      <sz val="18"/>
      <color rgb="FF00206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305396"/>
      <name val="Calibri"/>
      <family val="2"/>
    </font>
    <font>
      <b/>
      <sz val="28"/>
      <color rgb="FF4F97D1"/>
      <name val="Calibri"/>
      <family val="2"/>
    </font>
    <font>
      <sz val="28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0000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666666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0" fontId="1" fillId="2" borderId="1">
      <alignment horizontal="left" vertical="center"/>
    </xf>
    <xf numFmtId="0" fontId="2" fillId="2" borderId="1">
      <alignment horizontal="left" vertical="center"/>
    </xf>
    <xf numFmtId="0" fontId="3" fillId="0" borderId="1">
      <alignment horizontal="right" vertical="center"/>
    </xf>
    <xf numFmtId="0" fontId="4" fillId="0" borderId="1">
      <alignment horizontal="left" vertical="center"/>
    </xf>
    <xf numFmtId="0" fontId="5" fillId="0" borderId="2"/>
    <xf numFmtId="0" fontId="6" fillId="0" borderId="1">
      <alignment horizontal="left" vertical="center"/>
    </xf>
    <xf numFmtId="0" fontId="7" fillId="0" borderId="1"/>
    <xf numFmtId="0" fontId="8" fillId="0" borderId="1"/>
    <xf numFmtId="0" fontId="9" fillId="0" borderId="1">
      <alignment horizontal="right" vertical="center"/>
    </xf>
    <xf numFmtId="0" fontId="10" fillId="0" borderId="1">
      <alignment horizontal="center" vertical="center"/>
    </xf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40">
    <xf numFmtId="0" fontId="0" fillId="0" borderId="0" xfId="0"/>
    <xf numFmtId="0" fontId="13" fillId="0" borderId="0" xfId="0" applyFont="1"/>
    <xf numFmtId="0" fontId="6" fillId="0" borderId="9" xfId="6" applyBorder="1">
      <alignment horizontal="left" vertical="center"/>
    </xf>
    <xf numFmtId="164" fontId="9" fillId="0" borderId="11" xfId="9" applyNumberFormat="1" applyBorder="1">
      <alignment horizontal="right" vertical="center"/>
    </xf>
    <xf numFmtId="14" fontId="10" fillId="0" borderId="3" xfId="10" applyNumberFormat="1" applyBorder="1">
      <alignment horizontal="center" vertical="center"/>
    </xf>
    <xf numFmtId="0" fontId="6" fillId="0" borderId="7" xfId="6" applyBorder="1">
      <alignment horizontal="left" vertical="center"/>
    </xf>
    <xf numFmtId="164" fontId="9" fillId="0" borderId="8" xfId="9" applyNumberFormat="1" applyBorder="1">
      <alignment horizontal="right" vertical="center"/>
    </xf>
    <xf numFmtId="0" fontId="6" fillId="0" borderId="12" xfId="6" applyBorder="1">
      <alignment horizontal="left" vertical="center"/>
    </xf>
    <xf numFmtId="164" fontId="9" fillId="0" borderId="14" xfId="9" applyNumberFormat="1" applyBorder="1">
      <alignment horizontal="right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0" fillId="0" borderId="15" xfId="0" applyBorder="1"/>
    <xf numFmtId="164" fontId="9" fillId="7" borderId="8" xfId="9" applyNumberFormat="1" applyFill="1" applyBorder="1">
      <alignment horizontal="right" vertical="center"/>
    </xf>
    <xf numFmtId="164" fontId="9" fillId="7" borderId="14" xfId="9" applyNumberFormat="1" applyFill="1" applyBorder="1">
      <alignment horizontal="right" vertical="center"/>
    </xf>
    <xf numFmtId="164" fontId="9" fillId="8" borderId="11" xfId="9" applyNumberFormat="1" applyFill="1" applyBorder="1">
      <alignment horizontal="right" vertical="center"/>
    </xf>
    <xf numFmtId="0" fontId="6" fillId="8" borderId="19" xfId="6" applyFill="1" applyBorder="1">
      <alignment horizontal="left" vertical="center"/>
    </xf>
    <xf numFmtId="0" fontId="14" fillId="0" borderId="0" xfId="0" applyFont="1"/>
    <xf numFmtId="0" fontId="15" fillId="2" borderId="1" xfId="1" applyFont="1">
      <alignment horizontal="left" vertical="center"/>
    </xf>
    <xf numFmtId="0" fontId="15" fillId="5" borderId="1" xfId="1" applyFont="1" applyFill="1">
      <alignment horizontal="left" vertical="center"/>
    </xf>
    <xf numFmtId="0" fontId="16" fillId="0" borderId="1" xfId="6" applyFont="1">
      <alignment horizontal="left" vertical="center"/>
    </xf>
    <xf numFmtId="0" fontId="17" fillId="0" borderId="1" xfId="10" applyFont="1">
      <alignment horizontal="center" vertical="center"/>
    </xf>
    <xf numFmtId="10" fontId="17" fillId="0" borderId="1" xfId="10" applyNumberFormat="1" applyFont="1">
      <alignment horizontal="center" vertical="center"/>
    </xf>
    <xf numFmtId="164" fontId="16" fillId="0" borderId="1" xfId="9" applyNumberFormat="1" applyFont="1">
      <alignment horizontal="right" vertical="center"/>
    </xf>
    <xf numFmtId="0" fontId="18" fillId="2" borderId="1" xfId="7" applyFont="1" applyFill="1"/>
    <xf numFmtId="164" fontId="15" fillId="2" borderId="1" xfId="3" applyNumberFormat="1" applyFont="1" applyFill="1">
      <alignment horizontal="right" vertical="center"/>
    </xf>
    <xf numFmtId="0" fontId="14" fillId="2" borderId="0" xfId="0" applyFont="1" applyFill="1"/>
    <xf numFmtId="0" fontId="14" fillId="3" borderId="0" xfId="0" applyFont="1" applyFill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7" xfId="0" applyFont="1" applyBorder="1" applyAlignment="1">
      <alignment wrapText="1"/>
    </xf>
    <xf numFmtId="0" fontId="13" fillId="0" borderId="3" xfId="0" applyFont="1" applyBorder="1" applyAlignment="1">
      <alignment horizontal="center"/>
    </xf>
    <xf numFmtId="0" fontId="19" fillId="6" borderId="3" xfId="0" applyFont="1" applyFill="1" applyBorder="1" applyAlignment="1">
      <alignment horizontal="center" vertical="center"/>
    </xf>
    <xf numFmtId="0" fontId="20" fillId="6" borderId="3" xfId="6" applyFont="1" applyFill="1" applyBorder="1" applyAlignment="1">
      <alignment horizontal="center" vertical="center"/>
    </xf>
    <xf numFmtId="10" fontId="20" fillId="6" borderId="3" xfId="6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/>
    </xf>
    <xf numFmtId="0" fontId="17" fillId="0" borderId="3" xfId="0" applyFont="1" applyBorder="1" applyAlignment="1">
      <alignment horizontal="center" wrapText="1"/>
    </xf>
    <xf numFmtId="17" fontId="13" fillId="0" borderId="7" xfId="0" applyNumberFormat="1" applyFont="1" applyBorder="1" applyAlignment="1">
      <alignment wrapText="1"/>
    </xf>
    <xf numFmtId="0" fontId="13" fillId="0" borderId="7" xfId="0" applyFont="1" applyBorder="1" applyAlignment="1">
      <alignment horizontal="left" wrapText="1"/>
    </xf>
    <xf numFmtId="0" fontId="20" fillId="6" borderId="13" xfId="6" applyFont="1" applyFill="1" applyBorder="1" applyAlignment="1">
      <alignment horizontal="center" vertical="center"/>
    </xf>
    <xf numFmtId="0" fontId="13" fillId="0" borderId="12" xfId="0" applyFont="1" applyBorder="1" applyAlignment="1">
      <alignment horizontal="left" wrapText="1"/>
    </xf>
    <xf numFmtId="0" fontId="13" fillId="0" borderId="13" xfId="0" applyFont="1" applyBorder="1" applyAlignment="1">
      <alignment horizontal="center"/>
    </xf>
    <xf numFmtId="0" fontId="19" fillId="6" borderId="13" xfId="0" applyFont="1" applyFill="1" applyBorder="1" applyAlignment="1">
      <alignment horizontal="center" vertical="center"/>
    </xf>
    <xf numFmtId="0" fontId="20" fillId="6" borderId="22" xfId="6" applyFont="1" applyFill="1" applyBorder="1" applyAlignment="1">
      <alignment horizontal="center" vertical="center"/>
    </xf>
    <xf numFmtId="10" fontId="20" fillId="6" borderId="13" xfId="6" applyNumberFormat="1" applyFont="1" applyFill="1" applyBorder="1" applyAlignment="1">
      <alignment horizontal="center" vertical="center"/>
    </xf>
    <xf numFmtId="0" fontId="14" fillId="0" borderId="1" xfId="0" applyFont="1" applyBorder="1"/>
    <xf numFmtId="165" fontId="13" fillId="4" borderId="28" xfId="0" applyNumberFormat="1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wrapText="1"/>
    </xf>
    <xf numFmtId="0" fontId="19" fillId="0" borderId="3" xfId="0" applyFont="1" applyBorder="1" applyAlignment="1">
      <alignment horizontal="center"/>
    </xf>
    <xf numFmtId="0" fontId="20" fillId="0" borderId="3" xfId="6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/>
    <xf numFmtId="0" fontId="19" fillId="0" borderId="3" xfId="0" applyFont="1" applyBorder="1" applyAlignment="1">
      <alignment horizontal="center" vertical="center"/>
    </xf>
    <xf numFmtId="0" fontId="13" fillId="6" borderId="3" xfId="0" applyFont="1" applyFill="1" applyBorder="1"/>
    <xf numFmtId="0" fontId="19" fillId="0" borderId="3" xfId="6" applyFont="1" applyBorder="1" applyAlignment="1">
      <alignment horizontal="center" vertical="center"/>
    </xf>
    <xf numFmtId="17" fontId="13" fillId="6" borderId="3" xfId="0" applyNumberFormat="1" applyFont="1" applyFill="1" applyBorder="1" applyAlignment="1">
      <alignment wrapText="1"/>
    </xf>
    <xf numFmtId="0" fontId="13" fillId="6" borderId="3" xfId="0" applyFont="1" applyFill="1" applyBorder="1" applyAlignment="1">
      <alignment horizontal="left" wrapText="1"/>
    </xf>
    <xf numFmtId="0" fontId="13" fillId="6" borderId="13" xfId="0" applyFont="1" applyFill="1" applyBorder="1" applyAlignment="1">
      <alignment horizontal="left" wrapText="1"/>
    </xf>
    <xf numFmtId="0" fontId="19" fillId="0" borderId="13" xfId="0" applyFont="1" applyBorder="1" applyAlignment="1">
      <alignment horizontal="center"/>
    </xf>
    <xf numFmtId="0" fontId="20" fillId="0" borderId="13" xfId="6" applyFont="1" applyBorder="1" applyAlignment="1">
      <alignment horizontal="center" vertical="center"/>
    </xf>
    <xf numFmtId="10" fontId="13" fillId="0" borderId="13" xfId="0" applyNumberFormat="1" applyFont="1" applyBorder="1" applyAlignment="1">
      <alignment horizontal="center" vertical="center"/>
    </xf>
    <xf numFmtId="0" fontId="13" fillId="0" borderId="25" xfId="0" applyFont="1" applyBorder="1" applyAlignment="1">
      <alignment wrapText="1"/>
    </xf>
    <xf numFmtId="0" fontId="13" fillId="6" borderId="22" xfId="0" applyFont="1" applyFill="1" applyBorder="1" applyAlignment="1">
      <alignment wrapText="1"/>
    </xf>
    <xf numFmtId="0" fontId="13" fillId="0" borderId="22" xfId="0" applyFont="1" applyBorder="1" applyAlignment="1">
      <alignment horizontal="center"/>
    </xf>
    <xf numFmtId="0" fontId="19" fillId="6" borderId="22" xfId="0" applyFont="1" applyFill="1" applyBorder="1" applyAlignment="1">
      <alignment horizontal="center" vertical="center"/>
    </xf>
    <xf numFmtId="0" fontId="19" fillId="0" borderId="22" xfId="0" applyFont="1" applyBorder="1" applyAlignment="1">
      <alignment horizontal="center"/>
    </xf>
    <xf numFmtId="0" fontId="20" fillId="0" borderId="22" xfId="6" applyFont="1" applyBorder="1" applyAlignment="1">
      <alignment horizontal="center" vertical="center"/>
    </xf>
    <xf numFmtId="10" fontId="20" fillId="6" borderId="22" xfId="6" applyNumberFormat="1" applyFont="1" applyFill="1" applyBorder="1" applyAlignment="1">
      <alignment horizontal="center" vertical="center"/>
    </xf>
    <xf numFmtId="10" fontId="13" fillId="0" borderId="22" xfId="0" applyNumberFormat="1" applyFont="1" applyBorder="1" applyAlignment="1">
      <alignment horizontal="center" vertical="center"/>
    </xf>
    <xf numFmtId="0" fontId="15" fillId="5" borderId="19" xfId="2" applyFont="1" applyFill="1" applyBorder="1" applyAlignment="1">
      <alignment horizontal="center" vertical="center"/>
    </xf>
    <xf numFmtId="0" fontId="15" fillId="5" borderId="18" xfId="2" applyFont="1" applyFill="1" applyBorder="1" applyAlignment="1">
      <alignment horizontal="center" vertical="center"/>
    </xf>
    <xf numFmtId="0" fontId="15" fillId="4" borderId="18" xfId="2" applyFont="1" applyFill="1" applyBorder="1" applyAlignment="1">
      <alignment horizontal="center" vertical="center" wrapText="1"/>
    </xf>
    <xf numFmtId="0" fontId="15" fillId="5" borderId="18" xfId="2" applyFont="1" applyFill="1" applyBorder="1" applyAlignment="1">
      <alignment horizontal="center" vertical="center" wrapText="1"/>
    </xf>
    <xf numFmtId="0" fontId="15" fillId="11" borderId="18" xfId="2" applyFont="1" applyFill="1" applyBorder="1" applyAlignment="1">
      <alignment horizontal="center" vertical="center" wrapText="1"/>
    </xf>
    <xf numFmtId="0" fontId="15" fillId="0" borderId="18" xfId="2" applyFont="1" applyFill="1" applyBorder="1" applyAlignment="1">
      <alignment horizontal="center" vertical="center"/>
    </xf>
    <xf numFmtId="0" fontId="15" fillId="0" borderId="18" xfId="2" applyFont="1" applyFill="1" applyBorder="1" applyAlignment="1">
      <alignment horizontal="center" vertical="center" wrapText="1"/>
    </xf>
    <xf numFmtId="0" fontId="15" fillId="10" borderId="24" xfId="2" applyFont="1" applyFill="1" applyBorder="1" applyAlignment="1">
      <alignment horizontal="center" vertical="center"/>
    </xf>
    <xf numFmtId="165" fontId="20" fillId="10" borderId="21" xfId="0" applyNumberFormat="1" applyFont="1" applyFill="1" applyBorder="1" applyAlignment="1">
      <alignment horizontal="center" vertical="center"/>
    </xf>
    <xf numFmtId="44" fontId="14" fillId="11" borderId="27" xfId="11" applyFont="1" applyFill="1" applyBorder="1"/>
    <xf numFmtId="44" fontId="20" fillId="11" borderId="22" xfId="11" applyFont="1" applyFill="1" applyBorder="1" applyAlignment="1">
      <alignment horizontal="center" vertical="center"/>
    </xf>
    <xf numFmtId="44" fontId="20" fillId="0" borderId="22" xfId="11" applyFont="1" applyBorder="1" applyAlignment="1">
      <alignment horizontal="center" vertical="center"/>
    </xf>
    <xf numFmtId="44" fontId="20" fillId="0" borderId="3" xfId="11" applyFont="1" applyBorder="1" applyAlignment="1">
      <alignment horizontal="center" vertical="center"/>
    </xf>
    <xf numFmtId="44" fontId="20" fillId="0" borderId="13" xfId="11" applyFont="1" applyBorder="1" applyAlignment="1">
      <alignment horizontal="center" vertical="center"/>
    </xf>
    <xf numFmtId="44" fontId="20" fillId="6" borderId="22" xfId="11" applyFont="1" applyFill="1" applyBorder="1" applyAlignment="1">
      <alignment horizontal="center" vertical="center"/>
    </xf>
    <xf numFmtId="44" fontId="20" fillId="6" borderId="3" xfId="11" applyFont="1" applyFill="1" applyBorder="1" applyAlignment="1">
      <alignment horizontal="center" vertical="center"/>
    </xf>
    <xf numFmtId="44" fontId="20" fillId="6" borderId="13" xfId="11" applyFont="1" applyFill="1" applyBorder="1" applyAlignment="1">
      <alignment horizontal="center" vertical="center"/>
    </xf>
    <xf numFmtId="44" fontId="16" fillId="6" borderId="22" xfId="11" applyFont="1" applyFill="1" applyBorder="1" applyAlignment="1">
      <alignment horizontal="center" vertical="center"/>
    </xf>
    <xf numFmtId="44" fontId="16" fillId="6" borderId="3" xfId="11" applyFont="1" applyFill="1" applyBorder="1" applyAlignment="1">
      <alignment horizontal="center" vertical="center"/>
    </xf>
    <xf numFmtId="44" fontId="16" fillId="6" borderId="13" xfId="11" applyFont="1" applyFill="1" applyBorder="1" applyAlignment="1">
      <alignment horizontal="center" vertical="center"/>
    </xf>
    <xf numFmtId="44" fontId="19" fillId="6" borderId="3" xfId="11" applyFont="1" applyFill="1" applyBorder="1" applyAlignment="1">
      <alignment horizontal="center" vertical="center"/>
    </xf>
    <xf numFmtId="0" fontId="0" fillId="0" borderId="3" xfId="0" applyBorder="1"/>
    <xf numFmtId="0" fontId="14" fillId="0" borderId="3" xfId="0" applyFont="1" applyBorder="1"/>
    <xf numFmtId="0" fontId="0" fillId="0" borderId="22" xfId="0" applyBorder="1"/>
    <xf numFmtId="0" fontId="21" fillId="9" borderId="23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21" fillId="9" borderId="23" xfId="0" applyFont="1" applyFill="1" applyBorder="1" applyAlignment="1">
      <alignment horizontal="center" vertical="center"/>
    </xf>
    <xf numFmtId="0" fontId="22" fillId="9" borderId="23" xfId="0" applyFont="1" applyFill="1" applyBorder="1" applyAlignment="1">
      <alignment horizontal="center" vertical="center"/>
    </xf>
    <xf numFmtId="44" fontId="14" fillId="0" borderId="22" xfId="0" applyNumberFormat="1" applyFont="1" applyBorder="1"/>
    <xf numFmtId="44" fontId="0" fillId="0" borderId="3" xfId="0" applyNumberFormat="1" applyBorder="1"/>
    <xf numFmtId="44" fontId="14" fillId="0" borderId="3" xfId="0" applyNumberFormat="1" applyFont="1" applyBorder="1"/>
    <xf numFmtId="10" fontId="14" fillId="0" borderId="22" xfId="12" applyNumberFormat="1" applyFont="1" applyBorder="1"/>
    <xf numFmtId="0" fontId="18" fillId="0" borderId="1" xfId="6" applyFont="1">
      <alignment horizontal="left" vertical="center"/>
    </xf>
    <xf numFmtId="14" fontId="23" fillId="0" borderId="1" xfId="10" applyNumberFormat="1" applyFont="1">
      <alignment horizontal="center" vertical="center"/>
    </xf>
    <xf numFmtId="10" fontId="23" fillId="0" borderId="1" xfId="10" applyNumberFormat="1" applyFont="1">
      <alignment horizontal="center" vertical="center"/>
    </xf>
    <xf numFmtId="0" fontId="14" fillId="0" borderId="22" xfId="12" applyNumberFormat="1" applyFont="1" applyBorder="1"/>
    <xf numFmtId="44" fontId="14" fillId="0" borderId="22" xfId="12" applyNumberFormat="1" applyFont="1" applyBorder="1"/>
    <xf numFmtId="165" fontId="13" fillId="4" borderId="11" xfId="0" applyNumberFormat="1" applyFont="1" applyFill="1" applyBorder="1" applyAlignment="1">
      <alignment horizontal="center" vertical="center"/>
    </xf>
    <xf numFmtId="0" fontId="15" fillId="5" borderId="18" xfId="2" applyFont="1" applyFill="1" applyBorder="1" applyAlignment="1">
      <alignment horizontal="center" vertical="top" wrapText="1"/>
    </xf>
    <xf numFmtId="0" fontId="26" fillId="5" borderId="18" xfId="2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8" fillId="12" borderId="3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3" xfId="0" applyBorder="1"/>
    <xf numFmtId="0" fontId="30" fillId="0" borderId="3" xfId="0" applyFont="1" applyBorder="1"/>
    <xf numFmtId="0" fontId="30" fillId="0" borderId="3" xfId="0" applyFont="1" applyBorder="1" applyAlignment="1">
      <alignment horizontal="left" vertical="center" wrapText="1"/>
    </xf>
    <xf numFmtId="0" fontId="0" fillId="0" borderId="0" xfId="0"/>
    <xf numFmtId="0" fontId="31" fillId="5" borderId="18" xfId="2" applyFont="1" applyFill="1" applyBorder="1" applyAlignment="1">
      <alignment horizontal="center" vertical="center" wrapText="1"/>
    </xf>
    <xf numFmtId="0" fontId="26" fillId="5" borderId="18" xfId="2" applyFont="1" applyFill="1" applyBorder="1" applyAlignment="1">
      <alignment horizontal="center" vertical="center"/>
    </xf>
    <xf numFmtId="14" fontId="10" fillId="0" borderId="13" xfId="10" applyNumberFormat="1" applyBorder="1">
      <alignment horizontal="center" vertical="center"/>
    </xf>
    <xf numFmtId="14" fontId="10" fillId="0" borderId="10" xfId="10" applyNumberFormat="1" applyBorder="1">
      <alignment horizontal="center" vertical="center"/>
    </xf>
    <xf numFmtId="14" fontId="10" fillId="8" borderId="17" xfId="10" applyNumberFormat="1" applyFill="1" applyBorder="1">
      <alignment horizontal="center" vertical="center"/>
    </xf>
    <xf numFmtId="14" fontId="10" fillId="8" borderId="18" xfId="10" applyNumberFormat="1" applyFill="1" applyBorder="1">
      <alignment horizontal="center" vertical="center"/>
    </xf>
    <xf numFmtId="14" fontId="17" fillId="0" borderId="1" xfId="10" applyNumberFormat="1" applyFont="1">
      <alignment horizontal="center" vertical="center"/>
    </xf>
    <xf numFmtId="164" fontId="12" fillId="0" borderId="2" xfId="0" applyNumberFormat="1" applyFont="1" applyBorder="1" applyAlignment="1">
      <alignment horizontal="left" vertical="center"/>
    </xf>
    <xf numFmtId="0" fontId="1" fillId="2" borderId="16" xfId="1" applyBorder="1" applyAlignment="1">
      <alignment horizontal="center" vertical="center"/>
    </xf>
    <xf numFmtId="0" fontId="1" fillId="2" borderId="1" xfId="1" applyAlignment="1">
      <alignment horizontal="center" vertical="center"/>
    </xf>
    <xf numFmtId="0" fontId="11" fillId="4" borderId="0" xfId="0" applyFont="1" applyFill="1" applyAlignment="1">
      <alignment horizontal="center"/>
    </xf>
    <xf numFmtId="165" fontId="13" fillId="4" borderId="9" xfId="0" applyNumberFormat="1" applyFont="1" applyFill="1" applyBorder="1" applyAlignment="1">
      <alignment horizontal="center" vertical="center"/>
    </xf>
    <xf numFmtId="165" fontId="13" fillId="4" borderId="20" xfId="0" applyNumberFormat="1" applyFont="1" applyFill="1" applyBorder="1" applyAlignment="1">
      <alignment horizontal="center" vertical="center"/>
    </xf>
    <xf numFmtId="165" fontId="13" fillId="4" borderId="32" xfId="0" applyNumberFormat="1" applyFont="1" applyFill="1" applyBorder="1" applyAlignment="1">
      <alignment horizontal="center" vertical="center"/>
    </xf>
    <xf numFmtId="165" fontId="13" fillId="4" borderId="31" xfId="0" applyNumberFormat="1" applyFont="1" applyFill="1" applyBorder="1" applyAlignment="1">
      <alignment horizontal="center" vertical="center"/>
    </xf>
    <xf numFmtId="165" fontId="13" fillId="4" borderId="29" xfId="0" applyNumberFormat="1" applyFont="1" applyFill="1" applyBorder="1" applyAlignment="1">
      <alignment horizontal="center" vertical="center"/>
    </xf>
    <xf numFmtId="165" fontId="13" fillId="4" borderId="26" xfId="0" applyNumberFormat="1" applyFont="1" applyFill="1" applyBorder="1" applyAlignment="1">
      <alignment horizontal="center" vertical="center"/>
    </xf>
    <xf numFmtId="165" fontId="13" fillId="4" borderId="30" xfId="0" applyNumberFormat="1" applyFont="1" applyFill="1" applyBorder="1" applyAlignment="1">
      <alignment horizontal="center" vertical="center"/>
    </xf>
    <xf numFmtId="0" fontId="1" fillId="2" borderId="1" xfId="1" applyAlignment="1">
      <alignment horizontal="left" vertical="center"/>
    </xf>
    <xf numFmtId="0" fontId="0" fillId="0" borderId="0" xfId="0" applyAlignment="1"/>
    <xf numFmtId="0" fontId="6" fillId="0" borderId="2" xfId="6" applyBorder="1" applyAlignment="1">
      <alignment horizontal="left" vertical="center"/>
    </xf>
    <xf numFmtId="0" fontId="0" fillId="0" borderId="2" xfId="0" applyBorder="1" applyAlignment="1"/>
    <xf numFmtId="0" fontId="24" fillId="0" borderId="1" xfId="8" applyFont="1" applyAlignment="1"/>
    <xf numFmtId="0" fontId="25" fillId="0" borderId="0" xfId="0" applyFont="1" applyAlignment="1"/>
  </cellXfs>
  <cellStyles count="13">
    <cellStyle name="black_heading" xfId="1" xr:uid="{00000000-0005-0000-0000-000001000000}"/>
    <cellStyle name="black_heading_sm" xfId="2" xr:uid="{00000000-0005-0000-0000-000002000000}"/>
    <cellStyle name="border_bottom" xfId="5" xr:uid="{00000000-0005-0000-0000-000005000000}"/>
    <cellStyle name="Currency" xfId="11" builtinId="4"/>
    <cellStyle name="dark_blue_heading" xfId="7" xr:uid="{00000000-0005-0000-0000-000008000000}"/>
    <cellStyle name="font_blue_align_center" xfId="10" xr:uid="{00000000-0005-0000-0000-00000B000000}"/>
    <cellStyle name="font_blue_align_right" xfId="9" xr:uid="{00000000-0005-0000-0000-00000A000000}"/>
    <cellStyle name="font_blue_bold" xfId="6" xr:uid="{00000000-0005-0000-0000-000006000000}"/>
    <cellStyle name="lite_blue_heading" xfId="8" xr:uid="{00000000-0005-0000-0000-000009000000}"/>
    <cellStyle name="Normal" xfId="0" builtinId="0"/>
    <cellStyle name="Percent" xfId="12" builtinId="5"/>
    <cellStyle name="total_heading" xfId="3" xr:uid="{00000000-0005-0000-0000-000003000000}"/>
    <cellStyle name="white_heading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'Proposal Summary'!$D$37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A7-4A18-AA80-E0717B8317D2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A7-4A18-AA80-E0717B8317D2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A7-4A18-AA80-E0717B8317D2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A7-4A18-AA80-E0717B8317D2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A7-4A18-AA80-E0717B8317D2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A7-4A18-AA80-E0717B8317D2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A7-4A18-AA80-E0717B8317D2}"/>
              </c:ext>
            </c:extLst>
          </c:dPt>
          <c:cat>
            <c:multiLvlStrRef>
              <c:f>'Proposal Summary'!$A$38:$C$44</c:f>
              <c:multiLvlStrCache>
                <c:ptCount val="7"/>
                <c:lvl>
                  <c:pt idx="0">
                    <c:v>8/14/2027</c:v>
                  </c:pt>
                  <c:pt idx="1">
                    <c:v>8/14/2028</c:v>
                  </c:pt>
                  <c:pt idx="2">
                    <c:v>8/14/2029</c:v>
                  </c:pt>
                  <c:pt idx="3">
                    <c:v>8/14/2030</c:v>
                  </c:pt>
                  <c:pt idx="4">
                    <c:v>8/14/2031</c:v>
                  </c:pt>
                  <c:pt idx="5">
                    <c:v>2/14/2032</c:v>
                  </c:pt>
                  <c:pt idx="6">
                    <c:v>8/14/2032</c:v>
                  </c:pt>
                </c:lvl>
                <c:lvl>
                  <c:pt idx="0">
                    <c:v>2/15/2027</c:v>
                  </c:pt>
                  <c:pt idx="1">
                    <c:v>8/15/2027</c:v>
                  </c:pt>
                  <c:pt idx="2">
                    <c:v>8/15/2028</c:v>
                  </c:pt>
                  <c:pt idx="3">
                    <c:v>8/15/2029</c:v>
                  </c:pt>
                  <c:pt idx="4">
                    <c:v>8/15/2030</c:v>
                  </c:pt>
                  <c:pt idx="5">
                    <c:v>8/15/2031</c:v>
                  </c:pt>
                  <c:pt idx="6">
                    <c:v>2/15/2032</c:v>
                  </c:pt>
                </c:lvl>
                <c:lvl>
                  <c:pt idx="0">
                    <c:v>Base Period</c:v>
                  </c:pt>
                  <c:pt idx="1">
                    <c:v>Option Period 1</c:v>
                  </c:pt>
                  <c:pt idx="2">
                    <c:v>Option Period 2</c:v>
                  </c:pt>
                  <c:pt idx="3">
                    <c:v>Option Period 3</c:v>
                  </c:pt>
                  <c:pt idx="4">
                    <c:v>Option Period 4</c:v>
                  </c:pt>
                  <c:pt idx="5">
                    <c:v>Option Period 5</c:v>
                  </c:pt>
                  <c:pt idx="6">
                    <c:v>Option Period 6 (-8 Option) </c:v>
                  </c:pt>
                </c:lvl>
              </c:multiLvlStrCache>
            </c:multiLvlStrRef>
          </c:cat>
          <c:val>
            <c:numRef>
              <c:f>'Proposal Summary'!$D$38:$D$44</c:f>
              <c:numCache>
                <c:formatCode>"$"#,##0.00_-</c:formatCode>
                <c:ptCount val="7"/>
                <c:pt idx="0">
                  <c:v>1500000</c:v>
                </c:pt>
                <c:pt idx="1">
                  <c:v>3000000</c:v>
                </c:pt>
                <c:pt idx="2">
                  <c:v>3000000</c:v>
                </c:pt>
                <c:pt idx="3">
                  <c:v>3000000</c:v>
                </c:pt>
                <c:pt idx="4">
                  <c:v>3000000</c:v>
                </c:pt>
                <c:pt idx="5">
                  <c:v>1500000</c:v>
                </c:pt>
                <c:pt idx="6">
                  <c:v>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A-4FB0-AE17-28EA82B46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0533244245862841E-3"/>
          <c:y val="0.84398276270576933"/>
          <c:w val="0.97170156847471323"/>
          <c:h val="0.155256233918293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39686</xdr:colOff>
      <xdr:row>47</xdr:row>
      <xdr:rowOff>1</xdr:rowOff>
    </xdr:from>
    <xdr:to>
      <xdr:col>4</xdr:col>
      <xdr:colOff>0</xdr:colOff>
      <xdr:row>81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BD431C-4A35-5092-B4D9-B05A7474A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"/>
  <sheetViews>
    <sheetView tabSelected="1" topLeftCell="A14" zoomScale="60" zoomScaleNormal="60" workbookViewId="0">
      <selection activeCell="E24" sqref="E23:G30"/>
    </sheetView>
  </sheetViews>
  <sheetFormatPr defaultRowHeight="15"/>
  <cols>
    <col min="1" max="1" width="49" bestFit="1" customWidth="1"/>
    <col min="2" max="2" width="50.140625" bestFit="1" customWidth="1"/>
    <col min="3" max="3" width="48.7109375" bestFit="1" customWidth="1"/>
    <col min="4" max="4" width="33.28515625" customWidth="1"/>
    <col min="5" max="5" width="28.28515625" bestFit="1" customWidth="1"/>
  </cols>
  <sheetData>
    <row r="1" spans="1:18" ht="61.5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spans="1:18" ht="23.25">
      <c r="A2" s="134" t="s">
        <v>1</v>
      </c>
      <c r="B2" s="13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</row>
    <row r="3" spans="1:18" ht="26.25">
      <c r="A3" s="136" t="s">
        <v>2</v>
      </c>
      <c r="B3" s="137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</row>
    <row r="6" spans="1:18" ht="23.25">
      <c r="A6" s="134" t="s">
        <v>3</v>
      </c>
      <c r="B6" s="13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</row>
    <row r="7" spans="1:18" ht="61.5">
      <c r="A7" s="123">
        <f>SUM(D10:D16)</f>
        <v>0</v>
      </c>
      <c r="B7" s="137"/>
      <c r="C7" s="12"/>
      <c r="D7" s="12"/>
      <c r="E7" s="12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</row>
    <row r="8" spans="1:18" ht="15.75" thickBot="1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</row>
    <row r="9" spans="1:18" ht="23.25">
      <c r="A9" s="9" t="s">
        <v>4</v>
      </c>
      <c r="B9" s="10" t="s">
        <v>5</v>
      </c>
      <c r="C9" s="10" t="s">
        <v>6</v>
      </c>
      <c r="D9" s="11" t="s">
        <v>7</v>
      </c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</row>
    <row r="10" spans="1:18" ht="26.25">
      <c r="A10" s="5" t="s">
        <v>8</v>
      </c>
      <c r="B10" s="4">
        <v>46433</v>
      </c>
      <c r="C10" s="4">
        <v>46613</v>
      </c>
      <c r="D10" s="6">
        <f>'Base Period'!CR60</f>
        <v>0</v>
      </c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</row>
    <row r="11" spans="1:18" ht="26.25">
      <c r="A11" s="5" t="s">
        <v>9</v>
      </c>
      <c r="B11" s="4">
        <v>46614</v>
      </c>
      <c r="C11" s="4">
        <v>46979</v>
      </c>
      <c r="D11" s="6">
        <f>'Option Period 1'!CR60</f>
        <v>0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</row>
    <row r="12" spans="1:18" ht="26.25">
      <c r="A12" s="5" t="s">
        <v>10</v>
      </c>
      <c r="B12" s="4">
        <v>46980</v>
      </c>
      <c r="C12" s="4">
        <v>47344</v>
      </c>
      <c r="D12" s="6">
        <f>'Option Period 2'!CR60</f>
        <v>0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</row>
    <row r="13" spans="1:18" ht="26.25">
      <c r="A13" s="5" t="s">
        <v>11</v>
      </c>
      <c r="B13" s="4">
        <v>47345</v>
      </c>
      <c r="C13" s="4">
        <v>47709</v>
      </c>
      <c r="D13" s="6">
        <f>'Option Period 3'!CR60</f>
        <v>0</v>
      </c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</row>
    <row r="14" spans="1:18" ht="26.25">
      <c r="A14" s="5" t="s">
        <v>12</v>
      </c>
      <c r="B14" s="4">
        <v>47710</v>
      </c>
      <c r="C14" s="4">
        <v>48074</v>
      </c>
      <c r="D14" s="6">
        <f>'Option Period 4'!CR60</f>
        <v>0</v>
      </c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</row>
    <row r="15" spans="1:18" ht="26.25">
      <c r="A15" s="5" t="s">
        <v>13</v>
      </c>
      <c r="B15" s="4">
        <v>48075</v>
      </c>
      <c r="C15" s="4">
        <v>48258</v>
      </c>
      <c r="D15" s="6">
        <f>'Option Period 5'!CR60</f>
        <v>0</v>
      </c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</row>
    <row r="16" spans="1:18" ht="27" thickBot="1">
      <c r="A16" s="7" t="s">
        <v>14</v>
      </c>
      <c r="B16" s="118">
        <v>48259</v>
      </c>
      <c r="C16" s="118">
        <v>48440</v>
      </c>
      <c r="D16" s="8">
        <f>'Option Period 6'!CR60</f>
        <v>0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</row>
    <row r="17" spans="1:7" ht="27" thickBot="1">
      <c r="A17" s="2" t="s">
        <v>15</v>
      </c>
      <c r="B17" s="119">
        <v>46433</v>
      </c>
      <c r="C17" s="119">
        <v>48440</v>
      </c>
      <c r="D17" s="3">
        <f>SUM(D10:D16)</f>
        <v>0</v>
      </c>
      <c r="E17" s="115"/>
      <c r="F17" s="115"/>
      <c r="G17" s="115"/>
    </row>
    <row r="20" spans="1:7" ht="23.25">
      <c r="A20" s="134" t="s">
        <v>16</v>
      </c>
      <c r="B20" s="135"/>
      <c r="C20" s="115"/>
      <c r="D20" s="115"/>
      <c r="E20" s="115"/>
      <c r="F20" s="115"/>
      <c r="G20" s="115"/>
    </row>
    <row r="21" spans="1:7" ht="61.5">
      <c r="A21" s="123">
        <f>SUM(D24:D30)</f>
        <v>16500000</v>
      </c>
      <c r="B21" s="137"/>
      <c r="C21" s="12"/>
      <c r="D21" s="12"/>
      <c r="E21" s="115"/>
      <c r="F21" s="115"/>
      <c r="G21" s="115"/>
    </row>
    <row r="22" spans="1:7" ht="15.75" thickBot="1">
      <c r="A22" s="115"/>
      <c r="B22" s="115"/>
      <c r="C22" s="115"/>
      <c r="D22" s="115"/>
      <c r="E22" s="115"/>
      <c r="F22" s="115"/>
      <c r="G22" s="115"/>
    </row>
    <row r="23" spans="1:7" ht="23.25">
      <c r="A23" s="9" t="s">
        <v>4</v>
      </c>
      <c r="B23" s="10" t="s">
        <v>5</v>
      </c>
      <c r="C23" s="10" t="s">
        <v>6</v>
      </c>
      <c r="D23" s="11" t="s">
        <v>7</v>
      </c>
      <c r="E23" s="124" t="s">
        <v>17</v>
      </c>
      <c r="F23" s="125"/>
      <c r="G23" s="125"/>
    </row>
    <row r="24" spans="1:7" ht="26.25">
      <c r="A24" s="5" t="s">
        <v>8</v>
      </c>
      <c r="B24" s="4">
        <v>46433</v>
      </c>
      <c r="C24" s="4">
        <v>46613</v>
      </c>
      <c r="D24" s="13">
        <v>1500000</v>
      </c>
      <c r="E24" s="124"/>
      <c r="F24" s="125"/>
      <c r="G24" s="125"/>
    </row>
    <row r="25" spans="1:7" ht="26.25">
      <c r="A25" s="5" t="s">
        <v>9</v>
      </c>
      <c r="B25" s="4">
        <v>46614</v>
      </c>
      <c r="C25" s="4">
        <v>46979</v>
      </c>
      <c r="D25" s="13">
        <v>3000000</v>
      </c>
      <c r="E25" s="124"/>
      <c r="F25" s="125"/>
      <c r="G25" s="125"/>
    </row>
    <row r="26" spans="1:7" ht="26.25">
      <c r="A26" s="5" t="s">
        <v>10</v>
      </c>
      <c r="B26" s="4">
        <v>46980</v>
      </c>
      <c r="C26" s="4">
        <v>47344</v>
      </c>
      <c r="D26" s="13">
        <v>3000000</v>
      </c>
      <c r="E26" s="124"/>
      <c r="F26" s="125"/>
      <c r="G26" s="125"/>
    </row>
    <row r="27" spans="1:7" ht="26.25">
      <c r="A27" s="5" t="s">
        <v>11</v>
      </c>
      <c r="B27" s="4">
        <v>47345</v>
      </c>
      <c r="C27" s="4">
        <v>47709</v>
      </c>
      <c r="D27" s="13">
        <v>3000000</v>
      </c>
      <c r="E27" s="124"/>
      <c r="F27" s="125"/>
      <c r="G27" s="125"/>
    </row>
    <row r="28" spans="1:7" ht="26.25">
      <c r="A28" s="5" t="s">
        <v>12</v>
      </c>
      <c r="B28" s="4">
        <v>47710</v>
      </c>
      <c r="C28" s="4">
        <v>48074</v>
      </c>
      <c r="D28" s="13">
        <v>3000000</v>
      </c>
      <c r="E28" s="124"/>
      <c r="F28" s="125"/>
      <c r="G28" s="125"/>
    </row>
    <row r="29" spans="1:7" ht="26.25">
      <c r="A29" s="5" t="s">
        <v>13</v>
      </c>
      <c r="B29" s="4">
        <v>48075</v>
      </c>
      <c r="C29" s="4">
        <v>48258</v>
      </c>
      <c r="D29" s="13">
        <v>1500000</v>
      </c>
      <c r="E29" s="124"/>
      <c r="F29" s="125"/>
      <c r="G29" s="125"/>
    </row>
    <row r="30" spans="1:7" ht="27" thickBot="1">
      <c r="A30" s="7" t="s">
        <v>14</v>
      </c>
      <c r="B30" s="118">
        <v>48259</v>
      </c>
      <c r="C30" s="118">
        <v>48440</v>
      </c>
      <c r="D30" s="14">
        <v>1500000</v>
      </c>
      <c r="E30" s="124"/>
      <c r="F30" s="125"/>
      <c r="G30" s="125"/>
    </row>
    <row r="31" spans="1:7" ht="27" thickBot="1">
      <c r="A31" s="2" t="s">
        <v>18</v>
      </c>
      <c r="B31" s="119">
        <v>46433</v>
      </c>
      <c r="C31" s="119">
        <v>48440</v>
      </c>
      <c r="D31" s="3">
        <f>SUM(D24:D30)</f>
        <v>16500000</v>
      </c>
      <c r="E31" s="115"/>
      <c r="F31" s="115"/>
      <c r="G31" s="115"/>
    </row>
    <row r="34" spans="1:4" ht="23.25">
      <c r="A34" s="134" t="s">
        <v>19</v>
      </c>
      <c r="B34" s="135"/>
      <c r="C34" s="115"/>
      <c r="D34" s="115"/>
    </row>
    <row r="35" spans="1:4" ht="61.5">
      <c r="A35" s="123">
        <f>SUM(D38:D44)</f>
        <v>16500000</v>
      </c>
      <c r="B35" s="137"/>
      <c r="C35" s="12"/>
      <c r="D35" s="12"/>
    </row>
    <row r="36" spans="1:4" ht="15.75" thickBot="1">
      <c r="A36" s="115"/>
      <c r="B36" s="115"/>
      <c r="C36" s="115"/>
      <c r="D36" s="115"/>
    </row>
    <row r="37" spans="1:4" ht="23.25">
      <c r="A37" s="9" t="s">
        <v>4</v>
      </c>
      <c r="B37" s="10" t="s">
        <v>5</v>
      </c>
      <c r="C37" s="10" t="s">
        <v>6</v>
      </c>
      <c r="D37" s="11" t="s">
        <v>7</v>
      </c>
    </row>
    <row r="38" spans="1:4" ht="26.25">
      <c r="A38" s="5" t="s">
        <v>8</v>
      </c>
      <c r="B38" s="4">
        <v>46433</v>
      </c>
      <c r="C38" s="4">
        <v>46613</v>
      </c>
      <c r="D38" s="6">
        <f>D10+D24</f>
        <v>1500000</v>
      </c>
    </row>
    <row r="39" spans="1:4" ht="26.25">
      <c r="A39" s="5" t="s">
        <v>9</v>
      </c>
      <c r="B39" s="4">
        <v>46614</v>
      </c>
      <c r="C39" s="4">
        <v>46979</v>
      </c>
      <c r="D39" s="6">
        <f t="shared" ref="D39:D44" si="0">D11+D25</f>
        <v>3000000</v>
      </c>
    </row>
    <row r="40" spans="1:4" ht="26.25">
      <c r="A40" s="5" t="s">
        <v>10</v>
      </c>
      <c r="B40" s="4">
        <v>46980</v>
      </c>
      <c r="C40" s="4">
        <v>47344</v>
      </c>
      <c r="D40" s="6">
        <f t="shared" si="0"/>
        <v>3000000</v>
      </c>
    </row>
    <row r="41" spans="1:4" ht="26.25">
      <c r="A41" s="5" t="s">
        <v>11</v>
      </c>
      <c r="B41" s="4">
        <v>47345</v>
      </c>
      <c r="C41" s="4">
        <v>47709</v>
      </c>
      <c r="D41" s="6">
        <f t="shared" si="0"/>
        <v>3000000</v>
      </c>
    </row>
    <row r="42" spans="1:4" ht="26.25">
      <c r="A42" s="5" t="s">
        <v>12</v>
      </c>
      <c r="B42" s="4">
        <v>47710</v>
      </c>
      <c r="C42" s="4">
        <v>48074</v>
      </c>
      <c r="D42" s="6">
        <f t="shared" si="0"/>
        <v>3000000</v>
      </c>
    </row>
    <row r="43" spans="1:4" ht="26.25">
      <c r="A43" s="5" t="s">
        <v>13</v>
      </c>
      <c r="B43" s="4">
        <v>48075</v>
      </c>
      <c r="C43" s="4">
        <v>48258</v>
      </c>
      <c r="D43" s="6">
        <f t="shared" si="0"/>
        <v>1500000</v>
      </c>
    </row>
    <row r="44" spans="1:4" ht="27" thickBot="1">
      <c r="A44" s="7" t="s">
        <v>14</v>
      </c>
      <c r="B44" s="118">
        <v>48259</v>
      </c>
      <c r="C44" s="118">
        <v>48440</v>
      </c>
      <c r="D44" s="8">
        <f t="shared" si="0"/>
        <v>1500000</v>
      </c>
    </row>
    <row r="45" spans="1:4" ht="27" thickBot="1">
      <c r="A45" s="16" t="s">
        <v>20</v>
      </c>
      <c r="B45" s="120">
        <v>46433</v>
      </c>
      <c r="C45" s="121">
        <v>48440</v>
      </c>
      <c r="D45" s="15">
        <f>SUM(D38:D44)</f>
        <v>16500000</v>
      </c>
    </row>
  </sheetData>
  <mergeCells count="10">
    <mergeCell ref="E23:G30"/>
    <mergeCell ref="A1:R1"/>
    <mergeCell ref="A20:B20"/>
    <mergeCell ref="A21:B21"/>
    <mergeCell ref="A34:B34"/>
    <mergeCell ref="A35:B35"/>
    <mergeCell ref="A2:B2"/>
    <mergeCell ref="A7:B7"/>
    <mergeCell ref="A6:B6"/>
    <mergeCell ref="A3:B3"/>
  </mergeCells>
  <pageMargins left="0.25" right="0.25" top="0.75" bottom="0.75" header="0.3" footer="0.3"/>
  <pageSetup paperSize="5" scale="31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S82"/>
  <sheetViews>
    <sheetView zoomScale="60" zoomScaleNormal="60" zoomScaleSheetLayoutView="100" zoomScalePageLayoutView="273" workbookViewId="0">
      <pane xSplit="3" topLeftCell="D1" activePane="topRight" state="frozen"/>
      <selection pane="topRight" activeCell="A14" sqref="A14"/>
      <selection activeCell="A2" sqref="A2"/>
    </sheetView>
  </sheetViews>
  <sheetFormatPr defaultColWidth="9.140625" defaultRowHeight="15"/>
  <cols>
    <col min="1" max="1" width="66.5703125" style="17" bestFit="1" customWidth="1"/>
    <col min="2" max="3" width="31.28515625" style="17" bestFit="1" customWidth="1"/>
    <col min="4" max="4" width="23.140625" style="17" bestFit="1" customWidth="1"/>
    <col min="5" max="5" width="18" style="17" bestFit="1" customWidth="1"/>
    <col min="6" max="6" width="15" style="17" bestFit="1" customWidth="1"/>
    <col min="7" max="7" width="21.140625" style="17" customWidth="1"/>
    <col min="8" max="11" width="20" style="17" customWidth="1"/>
    <col min="12" max="12" width="24.5703125" style="17" customWidth="1"/>
    <col min="13" max="13" width="25.42578125" style="17" customWidth="1"/>
    <col min="14" max="15" width="20" style="17" customWidth="1"/>
    <col min="16" max="34" width="20.28515625" style="17" customWidth="1"/>
    <col min="35" max="35" width="22.140625" style="17" customWidth="1"/>
    <col min="36" max="38" width="20" style="17" customWidth="1"/>
    <col min="39" max="39" width="22.140625" style="17" customWidth="1"/>
    <col min="40" max="40" width="24.5703125" style="17" customWidth="1"/>
    <col min="41" max="41" width="25.42578125" style="17" customWidth="1"/>
    <col min="42" max="42" width="20.5703125" style="17" bestFit="1" customWidth="1"/>
    <col min="43" max="74" width="20" style="17" customWidth="1"/>
    <col min="75" max="75" width="21.5703125" style="17" customWidth="1"/>
    <col min="76" max="78" width="23.28515625" style="17" customWidth="1"/>
    <col min="79" max="82" width="20" style="17" customWidth="1"/>
    <col min="83" max="84" width="26.85546875" style="17" bestFit="1" customWidth="1"/>
    <col min="85" max="86" width="20" style="17" customWidth="1"/>
    <col min="87" max="87" width="27.85546875" style="17" customWidth="1"/>
    <col min="88" max="88" width="34.140625" style="17" bestFit="1" customWidth="1"/>
    <col min="89" max="90" width="21.7109375" style="17" customWidth="1"/>
    <col min="91" max="91" width="22.7109375" style="17" bestFit="1" customWidth="1"/>
    <col min="92" max="93" width="20" style="17" customWidth="1"/>
    <col min="94" max="94" width="24.42578125" style="17" bestFit="1" customWidth="1"/>
    <col min="95" max="95" width="34.140625" style="17" bestFit="1" customWidth="1"/>
    <col min="96" max="96" width="35.42578125" style="17" bestFit="1" customWidth="1"/>
    <col min="97" max="97" width="30.5703125" style="17" bestFit="1" customWidth="1"/>
    <col min="98" max="16384" width="9.140625" style="17"/>
  </cols>
  <sheetData>
    <row r="1" spans="1:97" ht="36">
      <c r="A1" s="138" t="s">
        <v>8</v>
      </c>
      <c r="B1" s="139"/>
    </row>
    <row r="2" spans="1:97">
      <c r="A2" s="18" t="s">
        <v>4</v>
      </c>
      <c r="B2" s="19" t="s">
        <v>5</v>
      </c>
      <c r="C2" s="19" t="s">
        <v>6</v>
      </c>
      <c r="D2" s="19"/>
      <c r="E2" s="19"/>
      <c r="F2" s="19" t="s">
        <v>21</v>
      </c>
      <c r="G2" s="19" t="s">
        <v>7</v>
      </c>
    </row>
    <row r="3" spans="1:97" s="1" customFormat="1">
      <c r="A3" s="20" t="s">
        <v>8</v>
      </c>
      <c r="B3" s="122">
        <v>46433</v>
      </c>
      <c r="C3" s="122">
        <v>46613</v>
      </c>
      <c r="D3" s="21"/>
      <c r="E3" s="21"/>
      <c r="F3" s="22">
        <v>0</v>
      </c>
      <c r="G3" s="23">
        <f>U59</f>
        <v>0</v>
      </c>
    </row>
    <row r="6" spans="1:97">
      <c r="A6" s="24" t="s">
        <v>22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9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9" spans="1:97" ht="15.75" thickBot="1"/>
    <row r="10" spans="1:97" s="29" customFormat="1" ht="60.75" thickBot="1">
      <c r="A10" s="69" t="s">
        <v>23</v>
      </c>
      <c r="B10" s="70" t="s">
        <v>24</v>
      </c>
      <c r="C10" s="70" t="s">
        <v>25</v>
      </c>
      <c r="D10" s="70" t="s">
        <v>26</v>
      </c>
      <c r="E10" s="70" t="s">
        <v>27</v>
      </c>
      <c r="F10" s="70" t="s">
        <v>28</v>
      </c>
      <c r="G10" s="72" t="s">
        <v>29</v>
      </c>
      <c r="H10" s="70" t="s">
        <v>30</v>
      </c>
      <c r="I10" s="72" t="s">
        <v>31</v>
      </c>
      <c r="J10" s="73" t="s">
        <v>32</v>
      </c>
      <c r="K10" s="72" t="s">
        <v>33</v>
      </c>
      <c r="L10" s="72" t="s">
        <v>34</v>
      </c>
      <c r="M10" s="72" t="s">
        <v>35</v>
      </c>
      <c r="N10" s="73" t="s">
        <v>36</v>
      </c>
      <c r="O10" s="72" t="s">
        <v>37</v>
      </c>
      <c r="P10" s="70" t="s">
        <v>38</v>
      </c>
      <c r="Q10" s="72" t="s">
        <v>39</v>
      </c>
      <c r="R10" s="73" t="s">
        <v>40</v>
      </c>
      <c r="S10" s="72" t="s">
        <v>41</v>
      </c>
      <c r="T10" s="72" t="s">
        <v>42</v>
      </c>
      <c r="U10" s="72" t="s">
        <v>43</v>
      </c>
      <c r="V10" s="73" t="s">
        <v>44</v>
      </c>
      <c r="W10" s="72" t="s">
        <v>45</v>
      </c>
      <c r="X10" s="72" t="s">
        <v>46</v>
      </c>
      <c r="Y10" s="72" t="s">
        <v>47</v>
      </c>
      <c r="Z10" s="73" t="s">
        <v>48</v>
      </c>
      <c r="AA10" s="72" t="s">
        <v>49</v>
      </c>
      <c r="AB10" s="72" t="s">
        <v>50</v>
      </c>
      <c r="AC10" s="72" t="s">
        <v>51</v>
      </c>
      <c r="AD10" s="73" t="s">
        <v>52</v>
      </c>
      <c r="AE10" s="72" t="s">
        <v>53</v>
      </c>
      <c r="AF10" s="72" t="s">
        <v>54</v>
      </c>
      <c r="AG10" s="72" t="s">
        <v>55</v>
      </c>
      <c r="AH10" s="73" t="s">
        <v>56</v>
      </c>
      <c r="AI10" s="72" t="s">
        <v>57</v>
      </c>
      <c r="AJ10" s="70" t="s">
        <v>58</v>
      </c>
      <c r="AK10" s="72" t="s">
        <v>59</v>
      </c>
      <c r="AL10" s="73" t="s">
        <v>60</v>
      </c>
      <c r="AM10" s="116" t="s">
        <v>61</v>
      </c>
      <c r="AN10" s="72" t="s">
        <v>62</v>
      </c>
      <c r="AO10" s="72" t="s">
        <v>63</v>
      </c>
      <c r="AP10" s="73" t="s">
        <v>64</v>
      </c>
      <c r="AQ10" s="72" t="s">
        <v>65</v>
      </c>
      <c r="AR10" s="70" t="s">
        <v>66</v>
      </c>
      <c r="AS10" s="72" t="s">
        <v>67</v>
      </c>
      <c r="AT10" s="73" t="s">
        <v>68</v>
      </c>
      <c r="AU10" s="72" t="s">
        <v>69</v>
      </c>
      <c r="AV10" s="72" t="s">
        <v>70</v>
      </c>
      <c r="AW10" s="72" t="s">
        <v>71</v>
      </c>
      <c r="AX10" s="73" t="s">
        <v>72</v>
      </c>
      <c r="AY10" s="72" t="s">
        <v>73</v>
      </c>
      <c r="AZ10" s="72" t="s">
        <v>74</v>
      </c>
      <c r="BA10" s="72" t="s">
        <v>75</v>
      </c>
      <c r="BB10" s="73" t="s">
        <v>76</v>
      </c>
      <c r="BC10" s="72" t="s">
        <v>77</v>
      </c>
      <c r="BD10" s="72" t="s">
        <v>78</v>
      </c>
      <c r="BE10" s="72" t="s">
        <v>79</v>
      </c>
      <c r="BF10" s="73" t="s">
        <v>80</v>
      </c>
      <c r="BG10" s="72" t="s">
        <v>81</v>
      </c>
      <c r="BH10" s="72" t="s">
        <v>82</v>
      </c>
      <c r="BI10" s="72" t="s">
        <v>83</v>
      </c>
      <c r="BJ10" s="73" t="s">
        <v>84</v>
      </c>
      <c r="BK10" s="72" t="s">
        <v>85</v>
      </c>
      <c r="BL10" s="72" t="s">
        <v>86</v>
      </c>
      <c r="BM10" s="72" t="s">
        <v>87</v>
      </c>
      <c r="BN10" s="73" t="s">
        <v>88</v>
      </c>
      <c r="BO10" s="72" t="s">
        <v>89</v>
      </c>
      <c r="BP10" s="72" t="s">
        <v>90</v>
      </c>
      <c r="BQ10" s="72" t="s">
        <v>91</v>
      </c>
      <c r="BR10" s="73" t="s">
        <v>92</v>
      </c>
      <c r="BS10" s="72" t="s">
        <v>93</v>
      </c>
      <c r="BT10" s="72" t="s">
        <v>94</v>
      </c>
      <c r="BU10" s="72" t="s">
        <v>95</v>
      </c>
      <c r="BV10" s="73" t="s">
        <v>96</v>
      </c>
      <c r="BW10" s="72" t="s">
        <v>97</v>
      </c>
      <c r="BX10" s="70" t="s">
        <v>98</v>
      </c>
      <c r="BY10" s="72" t="s">
        <v>99</v>
      </c>
      <c r="BZ10" s="73" t="s">
        <v>100</v>
      </c>
      <c r="CA10" s="108" t="s">
        <v>101</v>
      </c>
      <c r="CB10" s="70" t="s">
        <v>102</v>
      </c>
      <c r="CC10" s="72" t="s">
        <v>103</v>
      </c>
      <c r="CD10" s="73" t="s">
        <v>104</v>
      </c>
      <c r="CE10" s="72" t="s">
        <v>105</v>
      </c>
      <c r="CF10" s="72" t="s">
        <v>106</v>
      </c>
      <c r="CG10" s="72" t="s">
        <v>107</v>
      </c>
      <c r="CH10" s="73" t="s">
        <v>108</v>
      </c>
      <c r="CI10" s="108" t="s">
        <v>109</v>
      </c>
      <c r="CJ10" s="70" t="s">
        <v>110</v>
      </c>
      <c r="CK10" s="72" t="s">
        <v>111</v>
      </c>
      <c r="CL10" s="73" t="s">
        <v>112</v>
      </c>
      <c r="CM10" s="72" t="s">
        <v>113</v>
      </c>
      <c r="CN10" s="72" t="s">
        <v>114</v>
      </c>
      <c r="CO10" s="72" t="s">
        <v>115</v>
      </c>
      <c r="CP10" s="72" t="s">
        <v>116</v>
      </c>
      <c r="CQ10" s="70" t="s">
        <v>117</v>
      </c>
      <c r="CR10" s="76" t="s">
        <v>118</v>
      </c>
      <c r="CS10" s="28"/>
    </row>
    <row r="11" spans="1:97" s="1" customFormat="1">
      <c r="A11" s="61" t="s">
        <v>119</v>
      </c>
      <c r="B11" s="62"/>
      <c r="C11" s="63" t="s">
        <v>120</v>
      </c>
      <c r="D11" s="64"/>
      <c r="E11" s="64"/>
      <c r="F11" s="86"/>
      <c r="G11" s="65"/>
      <c r="H11" s="83"/>
      <c r="I11" s="80">
        <f>H11*CQ11</f>
        <v>0</v>
      </c>
      <c r="J11" s="79">
        <f>G11*I11</f>
        <v>0</v>
      </c>
      <c r="K11" s="66"/>
      <c r="L11" s="83"/>
      <c r="M11" s="80">
        <f t="shared" ref="M11:M26" si="0">L11*CQ11</f>
        <v>0</v>
      </c>
      <c r="N11" s="79">
        <f t="shared" ref="N11:N42" si="1">K11*M11</f>
        <v>0</v>
      </c>
      <c r="O11" s="65"/>
      <c r="P11" s="83"/>
      <c r="Q11" s="80">
        <f t="shared" ref="Q11:Q42" si="2">P11*CQ11</f>
        <v>0</v>
      </c>
      <c r="R11" s="79">
        <f>O11*Q11</f>
        <v>0</v>
      </c>
      <c r="S11" s="66"/>
      <c r="T11" s="83"/>
      <c r="U11" s="80">
        <f t="shared" ref="U11:U42" si="3">T11*CQ11</f>
        <v>0</v>
      </c>
      <c r="V11" s="79">
        <f t="shared" ref="V11:V42" si="4">S11*U11</f>
        <v>0</v>
      </c>
      <c r="W11" s="66"/>
      <c r="X11" s="83"/>
      <c r="Y11" s="80">
        <f>X11*CQ11</f>
        <v>0</v>
      </c>
      <c r="Z11" s="79">
        <f t="shared" ref="Z11:Z42" si="5">W11*Y11</f>
        <v>0</v>
      </c>
      <c r="AA11" s="66"/>
      <c r="AB11" s="83"/>
      <c r="AC11" s="80">
        <f>AB11*CQ11</f>
        <v>0</v>
      </c>
      <c r="AD11" s="79">
        <f t="shared" ref="AD11:AD42" si="6">AA11*AC11</f>
        <v>0</v>
      </c>
      <c r="AE11" s="66"/>
      <c r="AF11" s="83"/>
      <c r="AG11" s="80">
        <f>AF11*CQ11</f>
        <v>0</v>
      </c>
      <c r="AH11" s="79">
        <f t="shared" ref="AH11:AH42" si="7">AE11*AG11</f>
        <v>0</v>
      </c>
      <c r="AI11" s="65"/>
      <c r="AJ11" s="83"/>
      <c r="AK11" s="80">
        <f t="shared" ref="AK11:AK42" si="8">AJ11*CQ11</f>
        <v>0</v>
      </c>
      <c r="AL11" s="79">
        <f t="shared" ref="AL11:AL42" si="9">AI11*AK11</f>
        <v>0</v>
      </c>
      <c r="AM11" s="65"/>
      <c r="AN11" s="83"/>
      <c r="AO11" s="80">
        <f t="shared" ref="AO11:AO42" si="10">AN11*CQ11</f>
        <v>0</v>
      </c>
      <c r="AP11" s="79">
        <f t="shared" ref="AP11:AP42" si="11">AM11*AO11</f>
        <v>0</v>
      </c>
      <c r="AQ11" s="65"/>
      <c r="AR11" s="83"/>
      <c r="AS11" s="80">
        <f t="shared" ref="AS11:AS42" si="12">AR11*CQ11</f>
        <v>0</v>
      </c>
      <c r="AT11" s="79">
        <f t="shared" ref="AT11:AT42" si="13">AQ11*AS11</f>
        <v>0</v>
      </c>
      <c r="AU11" s="66"/>
      <c r="AV11" s="83"/>
      <c r="AW11" s="80">
        <f t="shared" ref="AW11:AW42" si="14">AV11*CQ11</f>
        <v>0</v>
      </c>
      <c r="AX11" s="79">
        <f t="shared" ref="AX11:AX42" si="15">AU11*AW11</f>
        <v>0</v>
      </c>
      <c r="AY11" s="66"/>
      <c r="AZ11" s="83"/>
      <c r="BA11" s="80">
        <f t="shared" ref="BA11:BA42" si="16">AZ11*CQ11</f>
        <v>0</v>
      </c>
      <c r="BB11" s="79">
        <f t="shared" ref="BB11:BB42" si="17">AY11*BA11</f>
        <v>0</v>
      </c>
      <c r="BC11" s="66"/>
      <c r="BD11" s="83"/>
      <c r="BE11" s="80">
        <f t="shared" ref="BE11:BE42" si="18">BD11*CQ11</f>
        <v>0</v>
      </c>
      <c r="BF11" s="79">
        <f t="shared" ref="BF11:BF42" si="19">BC11*BE11</f>
        <v>0</v>
      </c>
      <c r="BG11" s="66"/>
      <c r="BH11" s="83"/>
      <c r="BI11" s="80">
        <f t="shared" ref="BI11:BI42" si="20">BH11*CQ11</f>
        <v>0</v>
      </c>
      <c r="BJ11" s="79">
        <f t="shared" ref="BJ11:BJ42" si="21">BG11*BI11</f>
        <v>0</v>
      </c>
      <c r="BK11" s="66"/>
      <c r="BL11" s="83"/>
      <c r="BM11" s="80">
        <f t="shared" ref="BM11:BM42" si="22">BL11*CQ11</f>
        <v>0</v>
      </c>
      <c r="BN11" s="79">
        <f t="shared" ref="BN11:BN42" si="23">BK11*BM11</f>
        <v>0</v>
      </c>
      <c r="BO11" s="66"/>
      <c r="BP11" s="83"/>
      <c r="BQ11" s="80">
        <f t="shared" ref="BQ11:BQ42" si="24">BP11*CQ11</f>
        <v>0</v>
      </c>
      <c r="BR11" s="79">
        <f t="shared" ref="BR11:BR42" si="25">BO11*BQ11</f>
        <v>0</v>
      </c>
      <c r="BS11" s="66"/>
      <c r="BT11" s="83"/>
      <c r="BU11" s="80">
        <f t="shared" ref="BU11:BU42" si="26">BT11*CQ11</f>
        <v>0</v>
      </c>
      <c r="BV11" s="79">
        <f t="shared" ref="BV11:BV42" si="27">BS11*BU11</f>
        <v>0</v>
      </c>
      <c r="BW11" s="65">
        <v>240</v>
      </c>
      <c r="BX11" s="83"/>
      <c r="BY11" s="80">
        <f t="shared" ref="BY11:BY42" si="28">BX11*CQ11</f>
        <v>0</v>
      </c>
      <c r="BZ11" s="79">
        <f t="shared" ref="BZ11:BZ42" si="29">BW11*BY11</f>
        <v>0</v>
      </c>
      <c r="CA11" s="65"/>
      <c r="CB11" s="83"/>
      <c r="CC11" s="80">
        <f t="shared" ref="CC11:CC42" si="30">CB11*CQ11</f>
        <v>0</v>
      </c>
      <c r="CD11" s="79">
        <f t="shared" ref="CD11:CD42" si="31">CA11*CC11</f>
        <v>0</v>
      </c>
      <c r="CE11" s="66"/>
      <c r="CF11" s="83"/>
      <c r="CG11" s="80">
        <f t="shared" ref="CG11:CG42" si="32">CF11*CQ11</f>
        <v>0</v>
      </c>
      <c r="CH11" s="79">
        <f t="shared" ref="CH11:CH42" si="33">CE11*CG11</f>
        <v>0</v>
      </c>
      <c r="CI11" s="43"/>
      <c r="CJ11" s="83"/>
      <c r="CK11" s="80">
        <f t="shared" ref="CK11:CK42" si="34">CJ11*CQ11</f>
        <v>0</v>
      </c>
      <c r="CL11" s="79">
        <f t="shared" ref="CL11:CL42" si="35">CI11*CK11</f>
        <v>0</v>
      </c>
      <c r="CM11" s="67">
        <v>0.1</v>
      </c>
      <c r="CN11" s="67">
        <v>0.15</v>
      </c>
      <c r="CO11" s="67">
        <v>0.05</v>
      </c>
      <c r="CP11" s="67">
        <v>0.1</v>
      </c>
      <c r="CQ11" s="68">
        <f t="shared" ref="CQ11:CQ42" si="36">(1+CM11)*(1+CN11)*(1+CO11)*(1+CP11)</f>
        <v>1.4610750000000001</v>
      </c>
      <c r="CR11" s="77">
        <f t="shared" ref="CR11:CR42" si="37">J11+N11+R11+V11+Z11+AD11+AH11+AL11+AP11+AT11+AX11+BB11+BF11+BJ11+BN11+BR11+BV11+BZ11+CD11+CH11+CL11</f>
        <v>0</v>
      </c>
      <c r="CS11" s="35"/>
    </row>
    <row r="12" spans="1:97" s="1" customFormat="1">
      <c r="A12" s="30" t="s">
        <v>119</v>
      </c>
      <c r="B12" s="47"/>
      <c r="C12" s="31" t="s">
        <v>121</v>
      </c>
      <c r="D12" s="32"/>
      <c r="E12" s="32"/>
      <c r="F12" s="87"/>
      <c r="G12" s="48"/>
      <c r="H12" s="84"/>
      <c r="I12" s="80">
        <f t="shared" ref="I12:I59" si="38">H12*CQ12</f>
        <v>0</v>
      </c>
      <c r="J12" s="79">
        <f t="shared" ref="J12:J59" si="39">G12*I12</f>
        <v>0</v>
      </c>
      <c r="K12" s="49"/>
      <c r="L12" s="84"/>
      <c r="M12" s="81">
        <f t="shared" si="0"/>
        <v>0</v>
      </c>
      <c r="N12" s="79">
        <f t="shared" si="1"/>
        <v>0</v>
      </c>
      <c r="O12" s="48"/>
      <c r="P12" s="84"/>
      <c r="Q12" s="81">
        <f t="shared" si="2"/>
        <v>0</v>
      </c>
      <c r="R12" s="79">
        <f t="shared" ref="R12:R42" si="40">O12*Q12</f>
        <v>0</v>
      </c>
      <c r="S12" s="49"/>
      <c r="T12" s="84"/>
      <c r="U12" s="81">
        <f t="shared" si="3"/>
        <v>0</v>
      </c>
      <c r="V12" s="79">
        <f t="shared" si="4"/>
        <v>0</v>
      </c>
      <c r="W12" s="49"/>
      <c r="X12" s="84"/>
      <c r="Y12" s="81">
        <f t="shared" ref="Y12:Y59" si="41">X12*CT12</f>
        <v>0</v>
      </c>
      <c r="Z12" s="79">
        <f t="shared" si="5"/>
        <v>0</v>
      </c>
      <c r="AA12" s="49"/>
      <c r="AB12" s="84"/>
      <c r="AC12" s="81">
        <f t="shared" ref="AC12:AC59" si="42">AB12*CW12</f>
        <v>0</v>
      </c>
      <c r="AD12" s="79">
        <f t="shared" si="6"/>
        <v>0</v>
      </c>
      <c r="AE12" s="49"/>
      <c r="AF12" s="84"/>
      <c r="AG12" s="81">
        <f t="shared" ref="AG12:AG59" si="43">AF12*CZ12</f>
        <v>0</v>
      </c>
      <c r="AH12" s="79">
        <f t="shared" si="7"/>
        <v>0</v>
      </c>
      <c r="AI12" s="48"/>
      <c r="AJ12" s="84"/>
      <c r="AK12" s="81">
        <f t="shared" si="8"/>
        <v>0</v>
      </c>
      <c r="AL12" s="79">
        <f t="shared" si="9"/>
        <v>0</v>
      </c>
      <c r="AM12" s="48"/>
      <c r="AN12" s="84"/>
      <c r="AO12" s="81">
        <f t="shared" si="10"/>
        <v>0</v>
      </c>
      <c r="AP12" s="79">
        <f t="shared" si="11"/>
        <v>0</v>
      </c>
      <c r="AQ12" s="48"/>
      <c r="AR12" s="84"/>
      <c r="AS12" s="81">
        <f t="shared" si="12"/>
        <v>0</v>
      </c>
      <c r="AT12" s="79">
        <f t="shared" si="13"/>
        <v>0</v>
      </c>
      <c r="AU12" s="49"/>
      <c r="AV12" s="84"/>
      <c r="AW12" s="81">
        <f t="shared" si="14"/>
        <v>0</v>
      </c>
      <c r="AX12" s="79">
        <f t="shared" si="15"/>
        <v>0</v>
      </c>
      <c r="AY12" s="49"/>
      <c r="AZ12" s="84"/>
      <c r="BA12" s="81">
        <f t="shared" si="16"/>
        <v>0</v>
      </c>
      <c r="BB12" s="79">
        <f t="shared" si="17"/>
        <v>0</v>
      </c>
      <c r="BC12" s="49"/>
      <c r="BD12" s="84"/>
      <c r="BE12" s="81">
        <f t="shared" si="18"/>
        <v>0</v>
      </c>
      <c r="BF12" s="79">
        <f t="shared" si="19"/>
        <v>0</v>
      </c>
      <c r="BG12" s="49"/>
      <c r="BH12" s="84"/>
      <c r="BI12" s="81">
        <f t="shared" si="20"/>
        <v>0</v>
      </c>
      <c r="BJ12" s="79">
        <f t="shared" si="21"/>
        <v>0</v>
      </c>
      <c r="BK12" s="49"/>
      <c r="BL12" s="84"/>
      <c r="BM12" s="81">
        <f t="shared" si="22"/>
        <v>0</v>
      </c>
      <c r="BN12" s="79">
        <f t="shared" si="23"/>
        <v>0</v>
      </c>
      <c r="BO12" s="51"/>
      <c r="BP12" s="84"/>
      <c r="BQ12" s="81">
        <f t="shared" si="24"/>
        <v>0</v>
      </c>
      <c r="BR12" s="79">
        <f t="shared" si="25"/>
        <v>0</v>
      </c>
      <c r="BS12" s="49"/>
      <c r="BT12" s="84"/>
      <c r="BU12" s="81">
        <f t="shared" si="26"/>
        <v>0</v>
      </c>
      <c r="BV12" s="79">
        <f t="shared" si="27"/>
        <v>0</v>
      </c>
      <c r="BW12" s="48">
        <v>240</v>
      </c>
      <c r="BX12" s="84"/>
      <c r="BY12" s="81">
        <f t="shared" si="28"/>
        <v>0</v>
      </c>
      <c r="BZ12" s="79">
        <f t="shared" si="29"/>
        <v>0</v>
      </c>
      <c r="CA12" s="48"/>
      <c r="CB12" s="84"/>
      <c r="CC12" s="81">
        <f t="shared" si="30"/>
        <v>0</v>
      </c>
      <c r="CD12" s="79">
        <f t="shared" si="31"/>
        <v>0</v>
      </c>
      <c r="CE12" s="49"/>
      <c r="CF12" s="84"/>
      <c r="CG12" s="81">
        <f t="shared" si="32"/>
        <v>0</v>
      </c>
      <c r="CH12" s="79">
        <f t="shared" si="33"/>
        <v>0</v>
      </c>
      <c r="CI12" s="33"/>
      <c r="CJ12" s="84"/>
      <c r="CK12" s="81">
        <f t="shared" si="34"/>
        <v>0</v>
      </c>
      <c r="CL12" s="79">
        <f t="shared" si="35"/>
        <v>0</v>
      </c>
      <c r="CM12" s="34"/>
      <c r="CN12" s="34"/>
      <c r="CO12" s="34"/>
      <c r="CP12" s="34"/>
      <c r="CQ12" s="50">
        <f t="shared" si="36"/>
        <v>1</v>
      </c>
      <c r="CR12" s="77">
        <f t="shared" si="37"/>
        <v>0</v>
      </c>
      <c r="CS12" s="35"/>
    </row>
    <row r="13" spans="1:97" s="1" customFormat="1">
      <c r="A13" s="30" t="s">
        <v>122</v>
      </c>
      <c r="B13" s="47"/>
      <c r="C13" s="31" t="s">
        <v>121</v>
      </c>
      <c r="D13" s="32"/>
      <c r="E13" s="32"/>
      <c r="F13" s="87"/>
      <c r="G13" s="48"/>
      <c r="H13" s="84"/>
      <c r="I13" s="80">
        <f t="shared" si="38"/>
        <v>0</v>
      </c>
      <c r="J13" s="79">
        <f t="shared" si="39"/>
        <v>0</v>
      </c>
      <c r="K13" s="49"/>
      <c r="L13" s="84"/>
      <c r="M13" s="81">
        <f t="shared" si="0"/>
        <v>0</v>
      </c>
      <c r="N13" s="79">
        <f t="shared" si="1"/>
        <v>0</v>
      </c>
      <c r="O13" s="48">
        <v>1920</v>
      </c>
      <c r="P13" s="84"/>
      <c r="Q13" s="81">
        <f t="shared" si="2"/>
        <v>0</v>
      </c>
      <c r="R13" s="79">
        <f t="shared" si="40"/>
        <v>0</v>
      </c>
      <c r="S13" s="49"/>
      <c r="T13" s="84"/>
      <c r="U13" s="81">
        <f t="shared" si="3"/>
        <v>0</v>
      </c>
      <c r="V13" s="79">
        <f t="shared" si="4"/>
        <v>0</v>
      </c>
      <c r="W13" s="49"/>
      <c r="X13" s="84"/>
      <c r="Y13" s="81">
        <f t="shared" si="41"/>
        <v>0</v>
      </c>
      <c r="Z13" s="79">
        <f t="shared" si="5"/>
        <v>0</v>
      </c>
      <c r="AA13" s="49"/>
      <c r="AB13" s="84"/>
      <c r="AC13" s="81">
        <f t="shared" si="42"/>
        <v>0</v>
      </c>
      <c r="AD13" s="79">
        <f t="shared" si="6"/>
        <v>0</v>
      </c>
      <c r="AE13" s="49"/>
      <c r="AF13" s="84"/>
      <c r="AG13" s="81">
        <f t="shared" si="43"/>
        <v>0</v>
      </c>
      <c r="AH13" s="79">
        <f t="shared" si="7"/>
        <v>0</v>
      </c>
      <c r="AI13" s="48"/>
      <c r="AJ13" s="84"/>
      <c r="AK13" s="81">
        <f t="shared" si="8"/>
        <v>0</v>
      </c>
      <c r="AL13" s="79">
        <f t="shared" si="9"/>
        <v>0</v>
      </c>
      <c r="AM13" s="48"/>
      <c r="AN13" s="84"/>
      <c r="AO13" s="81">
        <f t="shared" si="10"/>
        <v>0</v>
      </c>
      <c r="AP13" s="79">
        <f t="shared" si="11"/>
        <v>0</v>
      </c>
      <c r="AQ13" s="48"/>
      <c r="AR13" s="84"/>
      <c r="AS13" s="81">
        <f t="shared" si="12"/>
        <v>0</v>
      </c>
      <c r="AT13" s="79">
        <f t="shared" si="13"/>
        <v>0</v>
      </c>
      <c r="AU13" s="49"/>
      <c r="AV13" s="84"/>
      <c r="AW13" s="81">
        <f t="shared" si="14"/>
        <v>0</v>
      </c>
      <c r="AX13" s="79">
        <f t="shared" si="15"/>
        <v>0</v>
      </c>
      <c r="AY13" s="49"/>
      <c r="AZ13" s="84"/>
      <c r="BA13" s="81">
        <f t="shared" si="16"/>
        <v>0</v>
      </c>
      <c r="BB13" s="79">
        <f t="shared" si="17"/>
        <v>0</v>
      </c>
      <c r="BC13" s="49"/>
      <c r="BD13" s="84"/>
      <c r="BE13" s="81">
        <f t="shared" si="18"/>
        <v>0</v>
      </c>
      <c r="BF13" s="79">
        <f t="shared" si="19"/>
        <v>0</v>
      </c>
      <c r="BG13" s="49"/>
      <c r="BH13" s="84"/>
      <c r="BI13" s="81">
        <f t="shared" si="20"/>
        <v>0</v>
      </c>
      <c r="BJ13" s="79">
        <f t="shared" si="21"/>
        <v>0</v>
      </c>
      <c r="BK13" s="49"/>
      <c r="BL13" s="84"/>
      <c r="BM13" s="81">
        <f t="shared" si="22"/>
        <v>0</v>
      </c>
      <c r="BN13" s="79">
        <f t="shared" si="23"/>
        <v>0</v>
      </c>
      <c r="BO13" s="49"/>
      <c r="BP13" s="84"/>
      <c r="BQ13" s="81">
        <f t="shared" si="24"/>
        <v>0</v>
      </c>
      <c r="BR13" s="79">
        <f t="shared" si="25"/>
        <v>0</v>
      </c>
      <c r="BS13" s="49"/>
      <c r="BT13" s="84"/>
      <c r="BU13" s="81">
        <f t="shared" si="26"/>
        <v>0</v>
      </c>
      <c r="BV13" s="79">
        <f t="shared" si="27"/>
        <v>0</v>
      </c>
      <c r="BW13" s="48"/>
      <c r="BX13" s="84"/>
      <c r="BY13" s="81">
        <f t="shared" si="28"/>
        <v>0</v>
      </c>
      <c r="BZ13" s="79">
        <f t="shared" si="29"/>
        <v>0</v>
      </c>
      <c r="CA13" s="48"/>
      <c r="CB13" s="84"/>
      <c r="CC13" s="81">
        <f t="shared" si="30"/>
        <v>0</v>
      </c>
      <c r="CD13" s="79">
        <f t="shared" si="31"/>
        <v>0</v>
      </c>
      <c r="CE13" s="49"/>
      <c r="CF13" s="84"/>
      <c r="CG13" s="81">
        <f t="shared" si="32"/>
        <v>0</v>
      </c>
      <c r="CH13" s="79">
        <f t="shared" si="33"/>
        <v>0</v>
      </c>
      <c r="CI13" s="33"/>
      <c r="CJ13" s="84"/>
      <c r="CK13" s="81">
        <f t="shared" si="34"/>
        <v>0</v>
      </c>
      <c r="CL13" s="79">
        <f t="shared" si="35"/>
        <v>0</v>
      </c>
      <c r="CM13" s="34"/>
      <c r="CN13" s="34"/>
      <c r="CO13" s="34"/>
      <c r="CP13" s="34"/>
      <c r="CQ13" s="50">
        <f t="shared" si="36"/>
        <v>1</v>
      </c>
      <c r="CR13" s="77">
        <f t="shared" si="37"/>
        <v>0</v>
      </c>
      <c r="CS13" s="28"/>
    </row>
    <row r="14" spans="1:97" s="1" customFormat="1">
      <c r="A14" s="30" t="s">
        <v>122</v>
      </c>
      <c r="B14" s="47"/>
      <c r="C14" s="31" t="s">
        <v>123</v>
      </c>
      <c r="D14" s="32"/>
      <c r="E14" s="32"/>
      <c r="F14" s="87"/>
      <c r="G14" s="48"/>
      <c r="H14" s="84"/>
      <c r="I14" s="80">
        <f t="shared" si="38"/>
        <v>0</v>
      </c>
      <c r="J14" s="79">
        <f t="shared" si="39"/>
        <v>0</v>
      </c>
      <c r="K14" s="49"/>
      <c r="L14" s="84"/>
      <c r="M14" s="81">
        <f t="shared" si="0"/>
        <v>0</v>
      </c>
      <c r="N14" s="79">
        <f t="shared" si="1"/>
        <v>0</v>
      </c>
      <c r="O14" s="48">
        <v>960</v>
      </c>
      <c r="P14" s="84"/>
      <c r="Q14" s="81">
        <f t="shared" si="2"/>
        <v>0</v>
      </c>
      <c r="R14" s="79">
        <f t="shared" si="40"/>
        <v>0</v>
      </c>
      <c r="S14" s="49"/>
      <c r="T14" s="84"/>
      <c r="U14" s="81">
        <f t="shared" si="3"/>
        <v>0</v>
      </c>
      <c r="V14" s="79">
        <f t="shared" si="4"/>
        <v>0</v>
      </c>
      <c r="W14" s="49"/>
      <c r="X14" s="84"/>
      <c r="Y14" s="81">
        <f t="shared" si="41"/>
        <v>0</v>
      </c>
      <c r="Z14" s="79">
        <f t="shared" si="5"/>
        <v>0</v>
      </c>
      <c r="AA14" s="49"/>
      <c r="AB14" s="84"/>
      <c r="AC14" s="81">
        <f t="shared" si="42"/>
        <v>0</v>
      </c>
      <c r="AD14" s="79">
        <f t="shared" si="6"/>
        <v>0</v>
      </c>
      <c r="AE14" s="49"/>
      <c r="AF14" s="84"/>
      <c r="AG14" s="81">
        <f t="shared" si="43"/>
        <v>0</v>
      </c>
      <c r="AH14" s="79">
        <f t="shared" si="7"/>
        <v>0</v>
      </c>
      <c r="AI14" s="48"/>
      <c r="AJ14" s="84"/>
      <c r="AK14" s="81">
        <f t="shared" si="8"/>
        <v>0</v>
      </c>
      <c r="AL14" s="79">
        <f t="shared" si="9"/>
        <v>0</v>
      </c>
      <c r="AM14" s="48"/>
      <c r="AN14" s="84"/>
      <c r="AO14" s="81">
        <f t="shared" si="10"/>
        <v>0</v>
      </c>
      <c r="AP14" s="79">
        <f t="shared" si="11"/>
        <v>0</v>
      </c>
      <c r="AQ14" s="48"/>
      <c r="AR14" s="84"/>
      <c r="AS14" s="81">
        <f t="shared" si="12"/>
        <v>0</v>
      </c>
      <c r="AT14" s="79">
        <f t="shared" si="13"/>
        <v>0</v>
      </c>
      <c r="AU14" s="49"/>
      <c r="AV14" s="84"/>
      <c r="AW14" s="81">
        <f t="shared" si="14"/>
        <v>0</v>
      </c>
      <c r="AX14" s="79">
        <f t="shared" si="15"/>
        <v>0</v>
      </c>
      <c r="AY14" s="49"/>
      <c r="AZ14" s="84"/>
      <c r="BA14" s="81">
        <f t="shared" si="16"/>
        <v>0</v>
      </c>
      <c r="BB14" s="79">
        <f t="shared" si="17"/>
        <v>0</v>
      </c>
      <c r="BC14" s="49"/>
      <c r="BD14" s="84"/>
      <c r="BE14" s="81">
        <f t="shared" si="18"/>
        <v>0</v>
      </c>
      <c r="BF14" s="79">
        <f t="shared" si="19"/>
        <v>0</v>
      </c>
      <c r="BG14" s="49"/>
      <c r="BH14" s="84"/>
      <c r="BI14" s="81">
        <f t="shared" si="20"/>
        <v>0</v>
      </c>
      <c r="BJ14" s="79">
        <f t="shared" si="21"/>
        <v>0</v>
      </c>
      <c r="BK14" s="49"/>
      <c r="BL14" s="84"/>
      <c r="BM14" s="81">
        <f t="shared" si="22"/>
        <v>0</v>
      </c>
      <c r="BN14" s="79">
        <f t="shared" si="23"/>
        <v>0</v>
      </c>
      <c r="BO14" s="49"/>
      <c r="BP14" s="84"/>
      <c r="BQ14" s="81">
        <f t="shared" si="24"/>
        <v>0</v>
      </c>
      <c r="BR14" s="79">
        <f t="shared" si="25"/>
        <v>0</v>
      </c>
      <c r="BS14" s="49"/>
      <c r="BT14" s="84"/>
      <c r="BU14" s="81">
        <f t="shared" si="26"/>
        <v>0</v>
      </c>
      <c r="BV14" s="79">
        <f t="shared" si="27"/>
        <v>0</v>
      </c>
      <c r="BW14" s="48"/>
      <c r="BX14" s="84"/>
      <c r="BY14" s="81">
        <f t="shared" si="28"/>
        <v>0</v>
      </c>
      <c r="BZ14" s="79">
        <f t="shared" si="29"/>
        <v>0</v>
      </c>
      <c r="CA14" s="48"/>
      <c r="CB14" s="84"/>
      <c r="CC14" s="81">
        <f t="shared" si="30"/>
        <v>0</v>
      </c>
      <c r="CD14" s="79">
        <f t="shared" si="31"/>
        <v>0</v>
      </c>
      <c r="CE14" s="49"/>
      <c r="CF14" s="84"/>
      <c r="CG14" s="81">
        <f t="shared" si="32"/>
        <v>0</v>
      </c>
      <c r="CH14" s="79">
        <f t="shared" si="33"/>
        <v>0</v>
      </c>
      <c r="CI14" s="33"/>
      <c r="CJ14" s="84"/>
      <c r="CK14" s="81">
        <f t="shared" si="34"/>
        <v>0</v>
      </c>
      <c r="CL14" s="79">
        <f t="shared" si="35"/>
        <v>0</v>
      </c>
      <c r="CM14" s="34"/>
      <c r="CN14" s="34"/>
      <c r="CO14" s="34"/>
      <c r="CP14" s="34"/>
      <c r="CQ14" s="50">
        <f t="shared" si="36"/>
        <v>1</v>
      </c>
      <c r="CR14" s="77">
        <f t="shared" si="37"/>
        <v>0</v>
      </c>
      <c r="CS14" s="28"/>
    </row>
    <row r="15" spans="1:97" s="1" customFormat="1">
      <c r="A15" s="30" t="s">
        <v>124</v>
      </c>
      <c r="B15" s="47"/>
      <c r="C15" s="31" t="s">
        <v>123</v>
      </c>
      <c r="D15" s="32"/>
      <c r="E15" s="32"/>
      <c r="F15" s="87"/>
      <c r="G15" s="48"/>
      <c r="H15" s="84"/>
      <c r="I15" s="80">
        <f t="shared" si="38"/>
        <v>0</v>
      </c>
      <c r="J15" s="79">
        <f t="shared" si="39"/>
        <v>0</v>
      </c>
      <c r="K15" s="49"/>
      <c r="L15" s="84"/>
      <c r="M15" s="81">
        <f t="shared" si="0"/>
        <v>0</v>
      </c>
      <c r="N15" s="79">
        <f t="shared" si="1"/>
        <v>0</v>
      </c>
      <c r="O15" s="48"/>
      <c r="P15" s="84"/>
      <c r="Q15" s="81">
        <f t="shared" si="2"/>
        <v>0</v>
      </c>
      <c r="R15" s="79">
        <f t="shared" si="40"/>
        <v>0</v>
      </c>
      <c r="S15" s="49"/>
      <c r="T15" s="84"/>
      <c r="U15" s="81">
        <f t="shared" si="3"/>
        <v>0</v>
      </c>
      <c r="V15" s="79">
        <f t="shared" si="4"/>
        <v>0</v>
      </c>
      <c r="W15" s="49"/>
      <c r="X15" s="84"/>
      <c r="Y15" s="81">
        <f t="shared" si="41"/>
        <v>0</v>
      </c>
      <c r="Z15" s="79">
        <f t="shared" si="5"/>
        <v>0</v>
      </c>
      <c r="AA15" s="49"/>
      <c r="AB15" s="84"/>
      <c r="AC15" s="81">
        <f t="shared" si="42"/>
        <v>0</v>
      </c>
      <c r="AD15" s="79">
        <f t="shared" si="6"/>
        <v>0</v>
      </c>
      <c r="AE15" s="49"/>
      <c r="AF15" s="84"/>
      <c r="AG15" s="81">
        <f t="shared" si="43"/>
        <v>0</v>
      </c>
      <c r="AH15" s="79">
        <f t="shared" si="7"/>
        <v>0</v>
      </c>
      <c r="AI15" s="48"/>
      <c r="AJ15" s="84"/>
      <c r="AK15" s="81">
        <f t="shared" si="8"/>
        <v>0</v>
      </c>
      <c r="AL15" s="79">
        <f t="shared" si="9"/>
        <v>0</v>
      </c>
      <c r="AM15" s="48"/>
      <c r="AN15" s="84"/>
      <c r="AO15" s="81">
        <f t="shared" si="10"/>
        <v>0</v>
      </c>
      <c r="AP15" s="79">
        <f t="shared" si="11"/>
        <v>0</v>
      </c>
      <c r="AQ15" s="48"/>
      <c r="AR15" s="84"/>
      <c r="AS15" s="81">
        <f t="shared" si="12"/>
        <v>0</v>
      </c>
      <c r="AT15" s="79">
        <f t="shared" si="13"/>
        <v>0</v>
      </c>
      <c r="AU15" s="49"/>
      <c r="AV15" s="84"/>
      <c r="AW15" s="81">
        <f t="shared" si="14"/>
        <v>0</v>
      </c>
      <c r="AX15" s="79">
        <f t="shared" si="15"/>
        <v>0</v>
      </c>
      <c r="AY15" s="49"/>
      <c r="AZ15" s="84"/>
      <c r="BA15" s="81">
        <f t="shared" si="16"/>
        <v>0</v>
      </c>
      <c r="BB15" s="79">
        <f t="shared" si="17"/>
        <v>0</v>
      </c>
      <c r="BC15" s="49"/>
      <c r="BD15" s="84"/>
      <c r="BE15" s="81">
        <f t="shared" si="18"/>
        <v>0</v>
      </c>
      <c r="BF15" s="79">
        <f t="shared" si="19"/>
        <v>0</v>
      </c>
      <c r="BG15" s="49"/>
      <c r="BH15" s="84"/>
      <c r="BI15" s="81">
        <f t="shared" si="20"/>
        <v>0</v>
      </c>
      <c r="BJ15" s="79">
        <f t="shared" si="21"/>
        <v>0</v>
      </c>
      <c r="BK15" s="49"/>
      <c r="BL15" s="84"/>
      <c r="BM15" s="81">
        <f t="shared" si="22"/>
        <v>0</v>
      </c>
      <c r="BN15" s="79">
        <f t="shared" si="23"/>
        <v>0</v>
      </c>
      <c r="BO15" s="49"/>
      <c r="BP15" s="84"/>
      <c r="BQ15" s="81">
        <f t="shared" si="24"/>
        <v>0</v>
      </c>
      <c r="BR15" s="79">
        <f t="shared" si="25"/>
        <v>0</v>
      </c>
      <c r="BS15" s="49"/>
      <c r="BT15" s="84"/>
      <c r="BU15" s="81">
        <f t="shared" si="26"/>
        <v>0</v>
      </c>
      <c r="BV15" s="79">
        <f t="shared" si="27"/>
        <v>0</v>
      </c>
      <c r="BW15" s="48"/>
      <c r="BX15" s="84"/>
      <c r="BY15" s="81">
        <f t="shared" si="28"/>
        <v>0</v>
      </c>
      <c r="BZ15" s="79">
        <f t="shared" si="29"/>
        <v>0</v>
      </c>
      <c r="CA15" s="48"/>
      <c r="CB15" s="84"/>
      <c r="CC15" s="81">
        <f t="shared" si="30"/>
        <v>0</v>
      </c>
      <c r="CD15" s="79">
        <f t="shared" si="31"/>
        <v>0</v>
      </c>
      <c r="CE15" s="49"/>
      <c r="CF15" s="84"/>
      <c r="CG15" s="81">
        <f t="shared" si="32"/>
        <v>0</v>
      </c>
      <c r="CH15" s="79">
        <f t="shared" si="33"/>
        <v>0</v>
      </c>
      <c r="CI15" s="33"/>
      <c r="CJ15" s="84"/>
      <c r="CK15" s="81">
        <f t="shared" si="34"/>
        <v>0</v>
      </c>
      <c r="CL15" s="79">
        <f t="shared" si="35"/>
        <v>0</v>
      </c>
      <c r="CM15" s="34"/>
      <c r="CN15" s="34"/>
      <c r="CO15" s="34"/>
      <c r="CP15" s="34"/>
      <c r="CQ15" s="50">
        <f t="shared" si="36"/>
        <v>1</v>
      </c>
      <c r="CR15" s="77">
        <f t="shared" si="37"/>
        <v>0</v>
      </c>
      <c r="CS15" s="28"/>
    </row>
    <row r="16" spans="1:97" s="1" customFormat="1">
      <c r="A16" s="30" t="s">
        <v>125</v>
      </c>
      <c r="B16" s="47"/>
      <c r="C16" s="31" t="s">
        <v>123</v>
      </c>
      <c r="D16" s="32"/>
      <c r="E16" s="32"/>
      <c r="F16" s="87"/>
      <c r="G16" s="48"/>
      <c r="H16" s="84"/>
      <c r="I16" s="80">
        <f t="shared" si="38"/>
        <v>0</v>
      </c>
      <c r="J16" s="79">
        <f t="shared" si="39"/>
        <v>0</v>
      </c>
      <c r="K16" s="49"/>
      <c r="L16" s="84"/>
      <c r="M16" s="81">
        <f t="shared" si="0"/>
        <v>0</v>
      </c>
      <c r="N16" s="79">
        <f t="shared" si="1"/>
        <v>0</v>
      </c>
      <c r="O16" s="48"/>
      <c r="P16" s="84"/>
      <c r="Q16" s="81">
        <f t="shared" si="2"/>
        <v>0</v>
      </c>
      <c r="R16" s="79">
        <f t="shared" si="40"/>
        <v>0</v>
      </c>
      <c r="S16" s="49"/>
      <c r="T16" s="84"/>
      <c r="U16" s="81">
        <f t="shared" si="3"/>
        <v>0</v>
      </c>
      <c r="V16" s="79">
        <f t="shared" si="4"/>
        <v>0</v>
      </c>
      <c r="W16" s="49"/>
      <c r="X16" s="84"/>
      <c r="Y16" s="81">
        <f t="shared" si="41"/>
        <v>0</v>
      </c>
      <c r="Z16" s="79">
        <f t="shared" si="5"/>
        <v>0</v>
      </c>
      <c r="AA16" s="49"/>
      <c r="AB16" s="84"/>
      <c r="AC16" s="81">
        <f t="shared" si="42"/>
        <v>0</v>
      </c>
      <c r="AD16" s="79">
        <f t="shared" si="6"/>
        <v>0</v>
      </c>
      <c r="AE16" s="49"/>
      <c r="AF16" s="84"/>
      <c r="AG16" s="81">
        <f t="shared" si="43"/>
        <v>0</v>
      </c>
      <c r="AH16" s="79">
        <f t="shared" si="7"/>
        <v>0</v>
      </c>
      <c r="AI16" s="48"/>
      <c r="AJ16" s="84"/>
      <c r="AK16" s="81">
        <f t="shared" si="8"/>
        <v>0</v>
      </c>
      <c r="AL16" s="79">
        <f t="shared" si="9"/>
        <v>0</v>
      </c>
      <c r="AM16" s="48"/>
      <c r="AN16" s="84"/>
      <c r="AO16" s="81">
        <f t="shared" si="10"/>
        <v>0</v>
      </c>
      <c r="AP16" s="79">
        <f t="shared" si="11"/>
        <v>0</v>
      </c>
      <c r="AQ16" s="48"/>
      <c r="AR16" s="84"/>
      <c r="AS16" s="81">
        <f t="shared" si="12"/>
        <v>0</v>
      </c>
      <c r="AT16" s="79">
        <f t="shared" si="13"/>
        <v>0</v>
      </c>
      <c r="AU16" s="49"/>
      <c r="AV16" s="84"/>
      <c r="AW16" s="81">
        <f t="shared" si="14"/>
        <v>0</v>
      </c>
      <c r="AX16" s="79">
        <f t="shared" si="15"/>
        <v>0</v>
      </c>
      <c r="AY16" s="49"/>
      <c r="AZ16" s="84"/>
      <c r="BA16" s="81">
        <f t="shared" si="16"/>
        <v>0</v>
      </c>
      <c r="BB16" s="79">
        <f t="shared" si="17"/>
        <v>0</v>
      </c>
      <c r="BC16" s="49"/>
      <c r="BD16" s="84"/>
      <c r="BE16" s="81">
        <f t="shared" si="18"/>
        <v>0</v>
      </c>
      <c r="BF16" s="79">
        <f t="shared" si="19"/>
        <v>0</v>
      </c>
      <c r="BG16" s="49"/>
      <c r="BH16" s="84"/>
      <c r="BI16" s="81">
        <f t="shared" si="20"/>
        <v>0</v>
      </c>
      <c r="BJ16" s="79">
        <f t="shared" si="21"/>
        <v>0</v>
      </c>
      <c r="BK16" s="49"/>
      <c r="BL16" s="84"/>
      <c r="BM16" s="81">
        <f t="shared" si="22"/>
        <v>0</v>
      </c>
      <c r="BN16" s="79">
        <f t="shared" si="23"/>
        <v>0</v>
      </c>
      <c r="BO16" s="49"/>
      <c r="BP16" s="84"/>
      <c r="BQ16" s="81">
        <f t="shared" si="24"/>
        <v>0</v>
      </c>
      <c r="BR16" s="79">
        <f t="shared" si="25"/>
        <v>0</v>
      </c>
      <c r="BS16" s="49"/>
      <c r="BT16" s="84"/>
      <c r="BU16" s="81">
        <f t="shared" si="26"/>
        <v>0</v>
      </c>
      <c r="BV16" s="79">
        <f t="shared" si="27"/>
        <v>0</v>
      </c>
      <c r="BW16" s="48"/>
      <c r="BX16" s="84"/>
      <c r="BY16" s="81">
        <f t="shared" si="28"/>
        <v>0</v>
      </c>
      <c r="BZ16" s="79">
        <f t="shared" si="29"/>
        <v>0</v>
      </c>
      <c r="CA16" s="48">
        <v>960</v>
      </c>
      <c r="CB16" s="84"/>
      <c r="CC16" s="81">
        <f t="shared" si="30"/>
        <v>0</v>
      </c>
      <c r="CD16" s="79">
        <f t="shared" si="31"/>
        <v>0</v>
      </c>
      <c r="CE16" s="49"/>
      <c r="CF16" s="84"/>
      <c r="CG16" s="81">
        <f t="shared" si="32"/>
        <v>0</v>
      </c>
      <c r="CH16" s="79">
        <f t="shared" si="33"/>
        <v>0</v>
      </c>
      <c r="CI16" s="33"/>
      <c r="CJ16" s="84"/>
      <c r="CK16" s="81">
        <f t="shared" si="34"/>
        <v>0</v>
      </c>
      <c r="CL16" s="79">
        <f t="shared" si="35"/>
        <v>0</v>
      </c>
      <c r="CM16" s="34"/>
      <c r="CN16" s="34"/>
      <c r="CO16" s="34"/>
      <c r="CP16" s="34"/>
      <c r="CQ16" s="50">
        <f t="shared" si="36"/>
        <v>1</v>
      </c>
      <c r="CR16" s="77">
        <f t="shared" si="37"/>
        <v>0</v>
      </c>
      <c r="CS16" s="28"/>
    </row>
    <row r="17" spans="1:97" s="1" customFormat="1">
      <c r="A17" s="30" t="s">
        <v>126</v>
      </c>
      <c r="B17" s="47"/>
      <c r="C17" s="63" t="s">
        <v>120</v>
      </c>
      <c r="D17" s="32"/>
      <c r="E17" s="32"/>
      <c r="F17" s="87"/>
      <c r="G17" s="52">
        <v>960</v>
      </c>
      <c r="H17" s="84"/>
      <c r="I17" s="80">
        <f t="shared" si="38"/>
        <v>0</v>
      </c>
      <c r="J17" s="79">
        <f t="shared" si="39"/>
        <v>0</v>
      </c>
      <c r="K17" s="49"/>
      <c r="L17" s="84"/>
      <c r="M17" s="81">
        <f t="shared" si="0"/>
        <v>0</v>
      </c>
      <c r="N17" s="79">
        <f t="shared" si="1"/>
        <v>0</v>
      </c>
      <c r="O17" s="48"/>
      <c r="P17" s="84"/>
      <c r="Q17" s="81">
        <f t="shared" si="2"/>
        <v>0</v>
      </c>
      <c r="R17" s="79">
        <f t="shared" si="40"/>
        <v>0</v>
      </c>
      <c r="S17" s="49"/>
      <c r="T17" s="84"/>
      <c r="U17" s="81">
        <f t="shared" si="3"/>
        <v>0</v>
      </c>
      <c r="V17" s="79">
        <f t="shared" si="4"/>
        <v>0</v>
      </c>
      <c r="W17" s="49"/>
      <c r="X17" s="84"/>
      <c r="Y17" s="81">
        <f t="shared" si="41"/>
        <v>0</v>
      </c>
      <c r="Z17" s="79">
        <f t="shared" si="5"/>
        <v>0</v>
      </c>
      <c r="AA17" s="49"/>
      <c r="AB17" s="84"/>
      <c r="AC17" s="81">
        <f t="shared" si="42"/>
        <v>0</v>
      </c>
      <c r="AD17" s="79">
        <f t="shared" si="6"/>
        <v>0</v>
      </c>
      <c r="AE17" s="49"/>
      <c r="AF17" s="84"/>
      <c r="AG17" s="81">
        <f t="shared" si="43"/>
        <v>0</v>
      </c>
      <c r="AH17" s="79">
        <f t="shared" si="7"/>
        <v>0</v>
      </c>
      <c r="AI17" s="48"/>
      <c r="AJ17" s="84"/>
      <c r="AK17" s="81">
        <f t="shared" si="8"/>
        <v>0</v>
      </c>
      <c r="AL17" s="79">
        <f t="shared" si="9"/>
        <v>0</v>
      </c>
      <c r="AM17" s="48"/>
      <c r="AN17" s="84"/>
      <c r="AO17" s="81">
        <f t="shared" si="10"/>
        <v>0</v>
      </c>
      <c r="AP17" s="79">
        <f t="shared" si="11"/>
        <v>0</v>
      </c>
      <c r="AQ17" s="48"/>
      <c r="AR17" s="84"/>
      <c r="AS17" s="81">
        <f t="shared" si="12"/>
        <v>0</v>
      </c>
      <c r="AT17" s="79">
        <f t="shared" si="13"/>
        <v>0</v>
      </c>
      <c r="AU17" s="49"/>
      <c r="AV17" s="84"/>
      <c r="AW17" s="81">
        <f t="shared" si="14"/>
        <v>0</v>
      </c>
      <c r="AX17" s="79">
        <f t="shared" si="15"/>
        <v>0</v>
      </c>
      <c r="AY17" s="49"/>
      <c r="AZ17" s="84"/>
      <c r="BA17" s="81">
        <f t="shared" si="16"/>
        <v>0</v>
      </c>
      <c r="BB17" s="79">
        <f t="shared" si="17"/>
        <v>0</v>
      </c>
      <c r="BC17" s="49"/>
      <c r="BD17" s="84"/>
      <c r="BE17" s="81">
        <f t="shared" si="18"/>
        <v>0</v>
      </c>
      <c r="BF17" s="79">
        <f t="shared" si="19"/>
        <v>0</v>
      </c>
      <c r="BG17" s="49"/>
      <c r="BH17" s="84"/>
      <c r="BI17" s="81">
        <f t="shared" si="20"/>
        <v>0</v>
      </c>
      <c r="BJ17" s="79">
        <f t="shared" si="21"/>
        <v>0</v>
      </c>
      <c r="BK17" s="49"/>
      <c r="BL17" s="84"/>
      <c r="BM17" s="81">
        <f t="shared" si="22"/>
        <v>0</v>
      </c>
      <c r="BN17" s="79">
        <f t="shared" si="23"/>
        <v>0</v>
      </c>
      <c r="BO17" s="49"/>
      <c r="BP17" s="84"/>
      <c r="BQ17" s="81">
        <f t="shared" si="24"/>
        <v>0</v>
      </c>
      <c r="BR17" s="79">
        <f t="shared" si="25"/>
        <v>0</v>
      </c>
      <c r="BS17" s="49"/>
      <c r="BT17" s="84"/>
      <c r="BU17" s="81">
        <f t="shared" si="26"/>
        <v>0</v>
      </c>
      <c r="BV17" s="79">
        <f t="shared" si="27"/>
        <v>0</v>
      </c>
      <c r="BW17" s="48"/>
      <c r="BX17" s="84"/>
      <c r="BY17" s="81">
        <f t="shared" si="28"/>
        <v>0</v>
      </c>
      <c r="BZ17" s="79">
        <f t="shared" si="29"/>
        <v>0</v>
      </c>
      <c r="CA17" s="48"/>
      <c r="CB17" s="84"/>
      <c r="CC17" s="81">
        <f t="shared" si="30"/>
        <v>0</v>
      </c>
      <c r="CD17" s="79">
        <f t="shared" si="31"/>
        <v>0</v>
      </c>
      <c r="CE17" s="49"/>
      <c r="CF17" s="84"/>
      <c r="CG17" s="81">
        <f t="shared" si="32"/>
        <v>0</v>
      </c>
      <c r="CH17" s="79">
        <f t="shared" si="33"/>
        <v>0</v>
      </c>
      <c r="CI17" s="33"/>
      <c r="CJ17" s="84"/>
      <c r="CK17" s="81">
        <f t="shared" si="34"/>
        <v>0</v>
      </c>
      <c r="CL17" s="79">
        <f t="shared" si="35"/>
        <v>0</v>
      </c>
      <c r="CM17" s="34"/>
      <c r="CN17" s="34"/>
      <c r="CO17" s="34"/>
      <c r="CP17" s="34"/>
      <c r="CQ17" s="50">
        <f t="shared" si="36"/>
        <v>1</v>
      </c>
      <c r="CR17" s="77">
        <f t="shared" si="37"/>
        <v>0</v>
      </c>
      <c r="CS17" s="28"/>
    </row>
    <row r="18" spans="1:97" s="1" customFormat="1">
      <c r="A18" s="30" t="s">
        <v>126</v>
      </c>
      <c r="B18" s="47"/>
      <c r="C18" s="31" t="s">
        <v>121</v>
      </c>
      <c r="D18" s="32"/>
      <c r="E18" s="32"/>
      <c r="F18" s="87"/>
      <c r="G18" s="48">
        <v>2880</v>
      </c>
      <c r="H18" s="84"/>
      <c r="I18" s="80">
        <f t="shared" si="38"/>
        <v>0</v>
      </c>
      <c r="J18" s="79">
        <f t="shared" si="39"/>
        <v>0</v>
      </c>
      <c r="K18" s="49"/>
      <c r="L18" s="84"/>
      <c r="M18" s="81">
        <f t="shared" si="0"/>
        <v>0</v>
      </c>
      <c r="N18" s="79">
        <f t="shared" si="1"/>
        <v>0</v>
      </c>
      <c r="O18" s="48"/>
      <c r="P18" s="84"/>
      <c r="Q18" s="81">
        <f t="shared" si="2"/>
        <v>0</v>
      </c>
      <c r="R18" s="79">
        <f t="shared" si="40"/>
        <v>0</v>
      </c>
      <c r="S18" s="49"/>
      <c r="T18" s="84"/>
      <c r="U18" s="81">
        <f t="shared" si="3"/>
        <v>0</v>
      </c>
      <c r="V18" s="79">
        <f t="shared" si="4"/>
        <v>0</v>
      </c>
      <c r="W18" s="49"/>
      <c r="X18" s="84"/>
      <c r="Y18" s="81">
        <f t="shared" si="41"/>
        <v>0</v>
      </c>
      <c r="Z18" s="79">
        <f t="shared" si="5"/>
        <v>0</v>
      </c>
      <c r="AA18" s="49"/>
      <c r="AB18" s="84"/>
      <c r="AC18" s="81">
        <f t="shared" si="42"/>
        <v>0</v>
      </c>
      <c r="AD18" s="79">
        <f t="shared" si="6"/>
        <v>0</v>
      </c>
      <c r="AE18" s="49"/>
      <c r="AF18" s="84"/>
      <c r="AG18" s="81">
        <f t="shared" si="43"/>
        <v>0</v>
      </c>
      <c r="AH18" s="79">
        <f t="shared" si="7"/>
        <v>0</v>
      </c>
      <c r="AI18" s="48">
        <v>960</v>
      </c>
      <c r="AJ18" s="84"/>
      <c r="AK18" s="81">
        <f t="shared" si="8"/>
        <v>0</v>
      </c>
      <c r="AL18" s="79">
        <f t="shared" si="9"/>
        <v>0</v>
      </c>
      <c r="AM18" s="48"/>
      <c r="AN18" s="84"/>
      <c r="AO18" s="81">
        <f t="shared" si="10"/>
        <v>0</v>
      </c>
      <c r="AP18" s="79">
        <f t="shared" si="11"/>
        <v>0</v>
      </c>
      <c r="AQ18" s="48"/>
      <c r="AR18" s="84"/>
      <c r="AS18" s="81">
        <f t="shared" si="12"/>
        <v>0</v>
      </c>
      <c r="AT18" s="79">
        <f t="shared" si="13"/>
        <v>0</v>
      </c>
      <c r="AU18" s="49"/>
      <c r="AV18" s="84"/>
      <c r="AW18" s="81">
        <f t="shared" si="14"/>
        <v>0</v>
      </c>
      <c r="AX18" s="79">
        <f t="shared" si="15"/>
        <v>0</v>
      </c>
      <c r="AY18" s="49"/>
      <c r="AZ18" s="84"/>
      <c r="BA18" s="81">
        <f t="shared" si="16"/>
        <v>0</v>
      </c>
      <c r="BB18" s="79">
        <f t="shared" si="17"/>
        <v>0</v>
      </c>
      <c r="BC18" s="49"/>
      <c r="BD18" s="84"/>
      <c r="BE18" s="81">
        <f t="shared" si="18"/>
        <v>0</v>
      </c>
      <c r="BF18" s="79">
        <f t="shared" si="19"/>
        <v>0</v>
      </c>
      <c r="BG18" s="49"/>
      <c r="BH18" s="84"/>
      <c r="BI18" s="81">
        <f t="shared" si="20"/>
        <v>0</v>
      </c>
      <c r="BJ18" s="79">
        <f t="shared" si="21"/>
        <v>0</v>
      </c>
      <c r="BK18" s="49"/>
      <c r="BL18" s="84"/>
      <c r="BM18" s="81">
        <f t="shared" si="22"/>
        <v>0</v>
      </c>
      <c r="BN18" s="79">
        <f t="shared" si="23"/>
        <v>0</v>
      </c>
      <c r="BO18" s="49"/>
      <c r="BP18" s="84"/>
      <c r="BQ18" s="81">
        <f t="shared" si="24"/>
        <v>0</v>
      </c>
      <c r="BR18" s="79">
        <f t="shared" si="25"/>
        <v>0</v>
      </c>
      <c r="BS18" s="49"/>
      <c r="BT18" s="84"/>
      <c r="BU18" s="81">
        <f t="shared" si="26"/>
        <v>0</v>
      </c>
      <c r="BV18" s="79">
        <f t="shared" si="27"/>
        <v>0</v>
      </c>
      <c r="BW18" s="48"/>
      <c r="BX18" s="84"/>
      <c r="BY18" s="81">
        <f t="shared" si="28"/>
        <v>0</v>
      </c>
      <c r="BZ18" s="79">
        <f t="shared" si="29"/>
        <v>0</v>
      </c>
      <c r="CA18" s="48"/>
      <c r="CB18" s="84"/>
      <c r="CC18" s="81">
        <f t="shared" si="30"/>
        <v>0</v>
      </c>
      <c r="CD18" s="79">
        <f t="shared" si="31"/>
        <v>0</v>
      </c>
      <c r="CE18" s="49"/>
      <c r="CF18" s="84"/>
      <c r="CG18" s="81">
        <f t="shared" si="32"/>
        <v>0</v>
      </c>
      <c r="CH18" s="79">
        <f t="shared" si="33"/>
        <v>0</v>
      </c>
      <c r="CI18" s="33"/>
      <c r="CJ18" s="84"/>
      <c r="CK18" s="81">
        <f t="shared" si="34"/>
        <v>0</v>
      </c>
      <c r="CL18" s="79">
        <f t="shared" si="35"/>
        <v>0</v>
      </c>
      <c r="CM18" s="34"/>
      <c r="CN18" s="34"/>
      <c r="CO18" s="34"/>
      <c r="CP18" s="34"/>
      <c r="CQ18" s="50">
        <f t="shared" si="36"/>
        <v>1</v>
      </c>
      <c r="CR18" s="77">
        <f t="shared" si="37"/>
        <v>0</v>
      </c>
      <c r="CS18" s="28"/>
    </row>
    <row r="19" spans="1:97" s="1" customFormat="1">
      <c r="A19" s="30" t="s">
        <v>126</v>
      </c>
      <c r="B19" s="47"/>
      <c r="C19" s="31" t="s">
        <v>123</v>
      </c>
      <c r="D19" s="32"/>
      <c r="E19" s="32"/>
      <c r="F19" s="87"/>
      <c r="G19" s="48">
        <v>10560</v>
      </c>
      <c r="H19" s="84"/>
      <c r="I19" s="80">
        <f t="shared" si="38"/>
        <v>0</v>
      </c>
      <c r="J19" s="79">
        <f t="shared" si="39"/>
        <v>0</v>
      </c>
      <c r="K19" s="49"/>
      <c r="L19" s="84"/>
      <c r="M19" s="81">
        <f t="shared" si="0"/>
        <v>0</v>
      </c>
      <c r="N19" s="79">
        <f t="shared" si="1"/>
        <v>0</v>
      </c>
      <c r="O19" s="48"/>
      <c r="P19" s="84"/>
      <c r="Q19" s="81">
        <f t="shared" si="2"/>
        <v>0</v>
      </c>
      <c r="R19" s="79">
        <f t="shared" si="40"/>
        <v>0</v>
      </c>
      <c r="S19" s="49"/>
      <c r="T19" s="84"/>
      <c r="U19" s="81">
        <f t="shared" si="3"/>
        <v>0</v>
      </c>
      <c r="V19" s="79">
        <f t="shared" si="4"/>
        <v>0</v>
      </c>
      <c r="W19" s="49"/>
      <c r="X19" s="84"/>
      <c r="Y19" s="81">
        <f t="shared" si="41"/>
        <v>0</v>
      </c>
      <c r="Z19" s="79">
        <f t="shared" si="5"/>
        <v>0</v>
      </c>
      <c r="AA19" s="49"/>
      <c r="AB19" s="84"/>
      <c r="AC19" s="81">
        <f t="shared" si="42"/>
        <v>0</v>
      </c>
      <c r="AD19" s="79">
        <f t="shared" si="6"/>
        <v>0</v>
      </c>
      <c r="AE19" s="49"/>
      <c r="AF19" s="84"/>
      <c r="AG19" s="81">
        <f t="shared" si="43"/>
        <v>0</v>
      </c>
      <c r="AH19" s="79">
        <f t="shared" si="7"/>
        <v>0</v>
      </c>
      <c r="AI19" s="48"/>
      <c r="AJ19" s="84"/>
      <c r="AK19" s="81">
        <f t="shared" si="8"/>
        <v>0</v>
      </c>
      <c r="AL19" s="79">
        <f t="shared" si="9"/>
        <v>0</v>
      </c>
      <c r="AM19" s="48"/>
      <c r="AN19" s="84"/>
      <c r="AO19" s="81">
        <f t="shared" si="10"/>
        <v>0</v>
      </c>
      <c r="AP19" s="79">
        <f t="shared" si="11"/>
        <v>0</v>
      </c>
      <c r="AQ19" s="48"/>
      <c r="AR19" s="84"/>
      <c r="AS19" s="81">
        <f t="shared" si="12"/>
        <v>0</v>
      </c>
      <c r="AT19" s="79">
        <f t="shared" si="13"/>
        <v>0</v>
      </c>
      <c r="AU19" s="49"/>
      <c r="AV19" s="84"/>
      <c r="AW19" s="81">
        <f t="shared" si="14"/>
        <v>0</v>
      </c>
      <c r="AX19" s="79">
        <f t="shared" si="15"/>
        <v>0</v>
      </c>
      <c r="AY19" s="49"/>
      <c r="AZ19" s="84"/>
      <c r="BA19" s="81">
        <f t="shared" si="16"/>
        <v>0</v>
      </c>
      <c r="BB19" s="79">
        <f t="shared" si="17"/>
        <v>0</v>
      </c>
      <c r="BC19" s="49"/>
      <c r="BD19" s="84"/>
      <c r="BE19" s="81">
        <f t="shared" si="18"/>
        <v>0</v>
      </c>
      <c r="BF19" s="79">
        <f t="shared" si="19"/>
        <v>0</v>
      </c>
      <c r="BG19" s="49"/>
      <c r="BH19" s="84"/>
      <c r="BI19" s="81">
        <f t="shared" si="20"/>
        <v>0</v>
      </c>
      <c r="BJ19" s="79">
        <f t="shared" si="21"/>
        <v>0</v>
      </c>
      <c r="BK19" s="49"/>
      <c r="BL19" s="84"/>
      <c r="BM19" s="81">
        <f t="shared" si="22"/>
        <v>0</v>
      </c>
      <c r="BN19" s="79">
        <f t="shared" si="23"/>
        <v>0</v>
      </c>
      <c r="BO19" s="49"/>
      <c r="BP19" s="84"/>
      <c r="BQ19" s="81">
        <f t="shared" si="24"/>
        <v>0</v>
      </c>
      <c r="BR19" s="79">
        <f t="shared" si="25"/>
        <v>0</v>
      </c>
      <c r="BS19" s="49"/>
      <c r="BT19" s="84"/>
      <c r="BU19" s="81">
        <f t="shared" si="26"/>
        <v>0</v>
      </c>
      <c r="BV19" s="79">
        <f t="shared" si="27"/>
        <v>0</v>
      </c>
      <c r="BW19" s="48"/>
      <c r="BX19" s="84"/>
      <c r="BY19" s="81">
        <f t="shared" si="28"/>
        <v>0</v>
      </c>
      <c r="BZ19" s="79">
        <f t="shared" si="29"/>
        <v>0</v>
      </c>
      <c r="CA19" s="48"/>
      <c r="CB19" s="84"/>
      <c r="CC19" s="81">
        <f t="shared" si="30"/>
        <v>0</v>
      </c>
      <c r="CD19" s="79">
        <f t="shared" si="31"/>
        <v>0</v>
      </c>
      <c r="CE19" s="49"/>
      <c r="CF19" s="84"/>
      <c r="CG19" s="81">
        <f t="shared" si="32"/>
        <v>0</v>
      </c>
      <c r="CH19" s="79">
        <f t="shared" si="33"/>
        <v>0</v>
      </c>
      <c r="CI19" s="33"/>
      <c r="CJ19" s="84"/>
      <c r="CK19" s="81">
        <f t="shared" si="34"/>
        <v>0</v>
      </c>
      <c r="CL19" s="79">
        <f t="shared" si="35"/>
        <v>0</v>
      </c>
      <c r="CM19" s="34"/>
      <c r="CN19" s="34"/>
      <c r="CO19" s="34"/>
      <c r="CP19" s="53"/>
      <c r="CQ19" s="50">
        <f t="shared" si="36"/>
        <v>1</v>
      </c>
      <c r="CR19" s="77">
        <f t="shared" si="37"/>
        <v>0</v>
      </c>
      <c r="CS19" s="28"/>
    </row>
    <row r="20" spans="1:97" s="1" customFormat="1">
      <c r="A20" s="30" t="s">
        <v>127</v>
      </c>
      <c r="B20" s="47"/>
      <c r="C20" s="31" t="s">
        <v>128</v>
      </c>
      <c r="D20" s="32"/>
      <c r="E20" s="32"/>
      <c r="F20" s="87"/>
      <c r="G20" s="48"/>
      <c r="H20" s="84"/>
      <c r="I20" s="80">
        <f t="shared" si="38"/>
        <v>0</v>
      </c>
      <c r="J20" s="79">
        <f t="shared" si="39"/>
        <v>0</v>
      </c>
      <c r="K20" s="49"/>
      <c r="L20" s="84"/>
      <c r="M20" s="81">
        <f t="shared" si="0"/>
        <v>0</v>
      </c>
      <c r="N20" s="79">
        <f t="shared" si="1"/>
        <v>0</v>
      </c>
      <c r="O20" s="48">
        <v>5760</v>
      </c>
      <c r="P20" s="84"/>
      <c r="Q20" s="81">
        <f t="shared" si="2"/>
        <v>0</v>
      </c>
      <c r="R20" s="79">
        <f t="shared" si="40"/>
        <v>0</v>
      </c>
      <c r="S20" s="49"/>
      <c r="T20" s="84"/>
      <c r="U20" s="81">
        <f t="shared" si="3"/>
        <v>0</v>
      </c>
      <c r="V20" s="79">
        <f t="shared" si="4"/>
        <v>0</v>
      </c>
      <c r="W20" s="49"/>
      <c r="X20" s="84"/>
      <c r="Y20" s="81">
        <f t="shared" si="41"/>
        <v>0</v>
      </c>
      <c r="Z20" s="79">
        <f t="shared" si="5"/>
        <v>0</v>
      </c>
      <c r="AA20" s="49"/>
      <c r="AB20" s="84"/>
      <c r="AC20" s="81">
        <f t="shared" si="42"/>
        <v>0</v>
      </c>
      <c r="AD20" s="79">
        <f t="shared" si="6"/>
        <v>0</v>
      </c>
      <c r="AE20" s="49"/>
      <c r="AF20" s="84"/>
      <c r="AG20" s="81">
        <f t="shared" si="43"/>
        <v>0</v>
      </c>
      <c r="AH20" s="79">
        <f t="shared" si="7"/>
        <v>0</v>
      </c>
      <c r="AI20" s="48"/>
      <c r="AJ20" s="84"/>
      <c r="AK20" s="81">
        <f t="shared" si="8"/>
        <v>0</v>
      </c>
      <c r="AL20" s="79">
        <f t="shared" si="9"/>
        <v>0</v>
      </c>
      <c r="AM20" s="48"/>
      <c r="AN20" s="84"/>
      <c r="AO20" s="81">
        <f t="shared" si="10"/>
        <v>0</v>
      </c>
      <c r="AP20" s="79">
        <f t="shared" si="11"/>
        <v>0</v>
      </c>
      <c r="AQ20" s="48"/>
      <c r="AR20" s="84"/>
      <c r="AS20" s="81">
        <f t="shared" si="12"/>
        <v>0</v>
      </c>
      <c r="AT20" s="79">
        <f t="shared" si="13"/>
        <v>0</v>
      </c>
      <c r="AU20" s="49"/>
      <c r="AV20" s="84"/>
      <c r="AW20" s="81">
        <f t="shared" si="14"/>
        <v>0</v>
      </c>
      <c r="AX20" s="79">
        <f t="shared" si="15"/>
        <v>0</v>
      </c>
      <c r="AY20" s="49"/>
      <c r="AZ20" s="84"/>
      <c r="BA20" s="81">
        <f t="shared" si="16"/>
        <v>0</v>
      </c>
      <c r="BB20" s="79">
        <f t="shared" si="17"/>
        <v>0</v>
      </c>
      <c r="BC20" s="49"/>
      <c r="BD20" s="84"/>
      <c r="BE20" s="81">
        <f t="shared" si="18"/>
        <v>0</v>
      </c>
      <c r="BF20" s="79">
        <f t="shared" si="19"/>
        <v>0</v>
      </c>
      <c r="BG20" s="49"/>
      <c r="BH20" s="84"/>
      <c r="BI20" s="81">
        <f t="shared" si="20"/>
        <v>0</v>
      </c>
      <c r="BJ20" s="79">
        <f t="shared" si="21"/>
        <v>0</v>
      </c>
      <c r="BK20" s="49"/>
      <c r="BL20" s="84"/>
      <c r="BM20" s="81">
        <f t="shared" si="22"/>
        <v>0</v>
      </c>
      <c r="BN20" s="79">
        <f t="shared" si="23"/>
        <v>0</v>
      </c>
      <c r="BO20" s="49"/>
      <c r="BP20" s="84"/>
      <c r="BQ20" s="81">
        <f t="shared" si="24"/>
        <v>0</v>
      </c>
      <c r="BR20" s="79">
        <f t="shared" si="25"/>
        <v>0</v>
      </c>
      <c r="BS20" s="49"/>
      <c r="BT20" s="84"/>
      <c r="BU20" s="81">
        <f t="shared" si="26"/>
        <v>0</v>
      </c>
      <c r="BV20" s="79">
        <f t="shared" si="27"/>
        <v>0</v>
      </c>
      <c r="BW20" s="48"/>
      <c r="BX20" s="84"/>
      <c r="BY20" s="81">
        <f t="shared" si="28"/>
        <v>0</v>
      </c>
      <c r="BZ20" s="79">
        <f t="shared" si="29"/>
        <v>0</v>
      </c>
      <c r="CA20" s="48"/>
      <c r="CB20" s="84"/>
      <c r="CC20" s="81">
        <f t="shared" si="30"/>
        <v>0</v>
      </c>
      <c r="CD20" s="79">
        <f t="shared" si="31"/>
        <v>0</v>
      </c>
      <c r="CE20" s="49"/>
      <c r="CF20" s="84"/>
      <c r="CG20" s="81">
        <f t="shared" si="32"/>
        <v>0</v>
      </c>
      <c r="CH20" s="79">
        <f t="shared" si="33"/>
        <v>0</v>
      </c>
      <c r="CI20" s="33"/>
      <c r="CJ20" s="84"/>
      <c r="CK20" s="81">
        <f t="shared" si="34"/>
        <v>0</v>
      </c>
      <c r="CL20" s="79">
        <f t="shared" si="35"/>
        <v>0</v>
      </c>
      <c r="CM20" s="34"/>
      <c r="CN20" s="34"/>
      <c r="CO20" s="34"/>
      <c r="CP20" s="34"/>
      <c r="CQ20" s="50">
        <f t="shared" si="36"/>
        <v>1</v>
      </c>
      <c r="CR20" s="77">
        <f t="shared" si="37"/>
        <v>0</v>
      </c>
      <c r="CS20" s="28"/>
    </row>
    <row r="21" spans="1:97" s="1" customFormat="1">
      <c r="A21" s="30" t="s">
        <v>127</v>
      </c>
      <c r="B21" s="47"/>
      <c r="C21" s="31" t="s">
        <v>123</v>
      </c>
      <c r="D21" s="32"/>
      <c r="E21" s="32"/>
      <c r="F21" s="87"/>
      <c r="G21" s="48"/>
      <c r="H21" s="84"/>
      <c r="I21" s="80">
        <f t="shared" si="38"/>
        <v>0</v>
      </c>
      <c r="J21" s="79">
        <f t="shared" si="39"/>
        <v>0</v>
      </c>
      <c r="K21" s="49"/>
      <c r="L21" s="84"/>
      <c r="M21" s="81">
        <f t="shared" si="0"/>
        <v>0</v>
      </c>
      <c r="N21" s="79">
        <f t="shared" si="1"/>
        <v>0</v>
      </c>
      <c r="O21" s="48"/>
      <c r="P21" s="84"/>
      <c r="Q21" s="81">
        <f t="shared" si="2"/>
        <v>0</v>
      </c>
      <c r="R21" s="79">
        <f t="shared" si="40"/>
        <v>0</v>
      </c>
      <c r="S21" s="49"/>
      <c r="T21" s="84"/>
      <c r="U21" s="81">
        <f t="shared" si="3"/>
        <v>0</v>
      </c>
      <c r="V21" s="79">
        <f t="shared" si="4"/>
        <v>0</v>
      </c>
      <c r="W21" s="49"/>
      <c r="X21" s="84"/>
      <c r="Y21" s="81">
        <f t="shared" si="41"/>
        <v>0</v>
      </c>
      <c r="Z21" s="79">
        <f t="shared" si="5"/>
        <v>0</v>
      </c>
      <c r="AA21" s="49"/>
      <c r="AB21" s="84"/>
      <c r="AC21" s="81">
        <f t="shared" si="42"/>
        <v>0</v>
      </c>
      <c r="AD21" s="79">
        <f t="shared" si="6"/>
        <v>0</v>
      </c>
      <c r="AE21" s="49"/>
      <c r="AF21" s="84"/>
      <c r="AG21" s="81">
        <f t="shared" si="43"/>
        <v>0</v>
      </c>
      <c r="AH21" s="79">
        <f t="shared" si="7"/>
        <v>0</v>
      </c>
      <c r="AI21" s="48"/>
      <c r="AJ21" s="84"/>
      <c r="AK21" s="81">
        <f t="shared" si="8"/>
        <v>0</v>
      </c>
      <c r="AL21" s="79">
        <f t="shared" si="9"/>
        <v>0</v>
      </c>
      <c r="AM21" s="48"/>
      <c r="AN21" s="84"/>
      <c r="AO21" s="81">
        <f t="shared" si="10"/>
        <v>0</v>
      </c>
      <c r="AP21" s="79">
        <f t="shared" si="11"/>
        <v>0</v>
      </c>
      <c r="AQ21" s="48"/>
      <c r="AR21" s="84"/>
      <c r="AS21" s="81">
        <f t="shared" si="12"/>
        <v>0</v>
      </c>
      <c r="AT21" s="79">
        <f t="shared" si="13"/>
        <v>0</v>
      </c>
      <c r="AU21" s="49"/>
      <c r="AV21" s="84"/>
      <c r="AW21" s="81">
        <f t="shared" si="14"/>
        <v>0</v>
      </c>
      <c r="AX21" s="79">
        <f t="shared" si="15"/>
        <v>0</v>
      </c>
      <c r="AY21" s="49"/>
      <c r="AZ21" s="84"/>
      <c r="BA21" s="81">
        <f t="shared" si="16"/>
        <v>0</v>
      </c>
      <c r="BB21" s="79">
        <f t="shared" si="17"/>
        <v>0</v>
      </c>
      <c r="BC21" s="49"/>
      <c r="BD21" s="84"/>
      <c r="BE21" s="81">
        <f t="shared" si="18"/>
        <v>0</v>
      </c>
      <c r="BF21" s="79">
        <f t="shared" si="19"/>
        <v>0</v>
      </c>
      <c r="BG21" s="49"/>
      <c r="BH21" s="84"/>
      <c r="BI21" s="81">
        <f t="shared" si="20"/>
        <v>0</v>
      </c>
      <c r="BJ21" s="79">
        <f t="shared" si="21"/>
        <v>0</v>
      </c>
      <c r="BK21" s="49"/>
      <c r="BL21" s="84"/>
      <c r="BM21" s="81">
        <f t="shared" si="22"/>
        <v>0</v>
      </c>
      <c r="BN21" s="79">
        <f t="shared" si="23"/>
        <v>0</v>
      </c>
      <c r="BO21" s="49"/>
      <c r="BP21" s="84"/>
      <c r="BQ21" s="81">
        <f t="shared" si="24"/>
        <v>0</v>
      </c>
      <c r="BR21" s="79">
        <f t="shared" si="25"/>
        <v>0</v>
      </c>
      <c r="BS21" s="49"/>
      <c r="BT21" s="84"/>
      <c r="BU21" s="81">
        <f t="shared" si="26"/>
        <v>0</v>
      </c>
      <c r="BV21" s="79">
        <f t="shared" si="27"/>
        <v>0</v>
      </c>
      <c r="BW21" s="48"/>
      <c r="BX21" s="84"/>
      <c r="BY21" s="81">
        <f t="shared" si="28"/>
        <v>0</v>
      </c>
      <c r="BZ21" s="79">
        <f t="shared" si="29"/>
        <v>0</v>
      </c>
      <c r="CA21" s="48"/>
      <c r="CB21" s="84"/>
      <c r="CC21" s="81">
        <f t="shared" si="30"/>
        <v>0</v>
      </c>
      <c r="CD21" s="79">
        <f t="shared" si="31"/>
        <v>0</v>
      </c>
      <c r="CE21" s="49"/>
      <c r="CF21" s="84"/>
      <c r="CG21" s="81">
        <f t="shared" si="32"/>
        <v>0</v>
      </c>
      <c r="CH21" s="79">
        <f t="shared" si="33"/>
        <v>0</v>
      </c>
      <c r="CI21" s="33"/>
      <c r="CJ21" s="84"/>
      <c r="CK21" s="81">
        <f t="shared" si="34"/>
        <v>0</v>
      </c>
      <c r="CL21" s="79">
        <f t="shared" si="35"/>
        <v>0</v>
      </c>
      <c r="CM21" s="34"/>
      <c r="CN21" s="34"/>
      <c r="CO21" s="34"/>
      <c r="CP21" s="34"/>
      <c r="CQ21" s="50">
        <f t="shared" si="36"/>
        <v>1</v>
      </c>
      <c r="CR21" s="77">
        <f t="shared" si="37"/>
        <v>0</v>
      </c>
      <c r="CS21" s="28"/>
    </row>
    <row r="22" spans="1:97" s="1" customFormat="1">
      <c r="A22" s="30" t="s">
        <v>129</v>
      </c>
      <c r="B22" s="47"/>
      <c r="C22" s="31" t="s">
        <v>123</v>
      </c>
      <c r="D22" s="32"/>
      <c r="E22" s="32"/>
      <c r="F22" s="87"/>
      <c r="G22" s="48"/>
      <c r="H22" s="84"/>
      <c r="I22" s="80">
        <f t="shared" si="38"/>
        <v>0</v>
      </c>
      <c r="J22" s="79">
        <f t="shared" si="39"/>
        <v>0</v>
      </c>
      <c r="K22" s="49"/>
      <c r="L22" s="84"/>
      <c r="M22" s="81">
        <f t="shared" si="0"/>
        <v>0</v>
      </c>
      <c r="N22" s="79">
        <f t="shared" si="1"/>
        <v>0</v>
      </c>
      <c r="O22" s="48"/>
      <c r="P22" s="84"/>
      <c r="Q22" s="81">
        <f t="shared" si="2"/>
        <v>0</v>
      </c>
      <c r="R22" s="79">
        <f t="shared" si="40"/>
        <v>0</v>
      </c>
      <c r="S22" s="49"/>
      <c r="T22" s="84"/>
      <c r="U22" s="81">
        <f t="shared" si="3"/>
        <v>0</v>
      </c>
      <c r="V22" s="79">
        <f t="shared" si="4"/>
        <v>0</v>
      </c>
      <c r="W22" s="49"/>
      <c r="X22" s="84"/>
      <c r="Y22" s="81">
        <f t="shared" si="41"/>
        <v>0</v>
      </c>
      <c r="Z22" s="79">
        <f t="shared" si="5"/>
        <v>0</v>
      </c>
      <c r="AA22" s="49"/>
      <c r="AB22" s="84"/>
      <c r="AC22" s="81">
        <f t="shared" si="42"/>
        <v>0</v>
      </c>
      <c r="AD22" s="79">
        <f t="shared" si="6"/>
        <v>0</v>
      </c>
      <c r="AE22" s="49"/>
      <c r="AF22" s="84"/>
      <c r="AG22" s="81">
        <f t="shared" si="43"/>
        <v>0</v>
      </c>
      <c r="AH22" s="79">
        <f t="shared" si="7"/>
        <v>0</v>
      </c>
      <c r="AI22" s="48">
        <v>960</v>
      </c>
      <c r="AJ22" s="84"/>
      <c r="AK22" s="81">
        <f t="shared" si="8"/>
        <v>0</v>
      </c>
      <c r="AL22" s="79">
        <f t="shared" si="9"/>
        <v>0</v>
      </c>
      <c r="AM22" s="48"/>
      <c r="AN22" s="84"/>
      <c r="AO22" s="81">
        <f t="shared" si="10"/>
        <v>0</v>
      </c>
      <c r="AP22" s="79">
        <f t="shared" si="11"/>
        <v>0</v>
      </c>
      <c r="AQ22" s="48"/>
      <c r="AR22" s="84"/>
      <c r="AS22" s="81">
        <f t="shared" si="12"/>
        <v>0</v>
      </c>
      <c r="AT22" s="79">
        <f t="shared" si="13"/>
        <v>0</v>
      </c>
      <c r="AU22" s="49"/>
      <c r="AV22" s="84"/>
      <c r="AW22" s="81">
        <f t="shared" si="14"/>
        <v>0</v>
      </c>
      <c r="AX22" s="79">
        <f t="shared" si="15"/>
        <v>0</v>
      </c>
      <c r="AY22" s="49"/>
      <c r="AZ22" s="84"/>
      <c r="BA22" s="81">
        <f t="shared" si="16"/>
        <v>0</v>
      </c>
      <c r="BB22" s="79">
        <f t="shared" si="17"/>
        <v>0</v>
      </c>
      <c r="BC22" s="49"/>
      <c r="BD22" s="84"/>
      <c r="BE22" s="81">
        <f t="shared" si="18"/>
        <v>0</v>
      </c>
      <c r="BF22" s="79">
        <f t="shared" si="19"/>
        <v>0</v>
      </c>
      <c r="BG22" s="49"/>
      <c r="BH22" s="84"/>
      <c r="BI22" s="81">
        <f t="shared" si="20"/>
        <v>0</v>
      </c>
      <c r="BJ22" s="79">
        <f t="shared" si="21"/>
        <v>0</v>
      </c>
      <c r="BK22" s="49"/>
      <c r="BL22" s="84"/>
      <c r="BM22" s="81">
        <f t="shared" si="22"/>
        <v>0</v>
      </c>
      <c r="BN22" s="79">
        <f t="shared" si="23"/>
        <v>0</v>
      </c>
      <c r="BO22" s="49"/>
      <c r="BP22" s="84"/>
      <c r="BQ22" s="81">
        <f t="shared" si="24"/>
        <v>0</v>
      </c>
      <c r="BR22" s="79">
        <f t="shared" si="25"/>
        <v>0</v>
      </c>
      <c r="BS22" s="49"/>
      <c r="BT22" s="84"/>
      <c r="BU22" s="81">
        <f t="shared" si="26"/>
        <v>0</v>
      </c>
      <c r="BV22" s="79">
        <f t="shared" si="27"/>
        <v>0</v>
      </c>
      <c r="BW22" s="48"/>
      <c r="BX22" s="84"/>
      <c r="BY22" s="81">
        <f t="shared" si="28"/>
        <v>0</v>
      </c>
      <c r="BZ22" s="79">
        <f t="shared" si="29"/>
        <v>0</v>
      </c>
      <c r="CA22" s="48"/>
      <c r="CB22" s="84"/>
      <c r="CC22" s="81">
        <f t="shared" si="30"/>
        <v>0</v>
      </c>
      <c r="CD22" s="79">
        <f t="shared" si="31"/>
        <v>0</v>
      </c>
      <c r="CE22" s="49"/>
      <c r="CF22" s="84"/>
      <c r="CG22" s="81">
        <f t="shared" si="32"/>
        <v>0</v>
      </c>
      <c r="CH22" s="79">
        <f t="shared" si="33"/>
        <v>0</v>
      </c>
      <c r="CI22" s="33"/>
      <c r="CJ22" s="84"/>
      <c r="CK22" s="81">
        <f t="shared" si="34"/>
        <v>0</v>
      </c>
      <c r="CL22" s="79">
        <f t="shared" si="35"/>
        <v>0</v>
      </c>
      <c r="CM22" s="34"/>
      <c r="CN22" s="34"/>
      <c r="CO22" s="34"/>
      <c r="CP22" s="34"/>
      <c r="CQ22" s="50">
        <f t="shared" si="36"/>
        <v>1</v>
      </c>
      <c r="CR22" s="77">
        <f t="shared" si="37"/>
        <v>0</v>
      </c>
      <c r="CS22" s="28"/>
    </row>
    <row r="23" spans="1:97" s="1" customFormat="1">
      <c r="A23" s="30" t="s">
        <v>130</v>
      </c>
      <c r="B23" s="47"/>
      <c r="C23" s="31" t="s">
        <v>123</v>
      </c>
      <c r="D23" s="32"/>
      <c r="E23" s="32"/>
      <c r="F23" s="87"/>
      <c r="G23" s="48"/>
      <c r="H23" s="84"/>
      <c r="I23" s="80">
        <f t="shared" si="38"/>
        <v>0</v>
      </c>
      <c r="J23" s="79">
        <f t="shared" si="39"/>
        <v>0</v>
      </c>
      <c r="K23" s="48">
        <v>960</v>
      </c>
      <c r="L23" s="84"/>
      <c r="M23" s="81">
        <f t="shared" si="0"/>
        <v>0</v>
      </c>
      <c r="N23" s="79">
        <f t="shared" si="1"/>
        <v>0</v>
      </c>
      <c r="O23" s="48"/>
      <c r="P23" s="84"/>
      <c r="Q23" s="81">
        <f t="shared" si="2"/>
        <v>0</v>
      </c>
      <c r="R23" s="79">
        <f t="shared" si="40"/>
        <v>0</v>
      </c>
      <c r="S23" s="49"/>
      <c r="T23" s="84"/>
      <c r="U23" s="81">
        <f t="shared" si="3"/>
        <v>0</v>
      </c>
      <c r="V23" s="79">
        <f t="shared" si="4"/>
        <v>0</v>
      </c>
      <c r="W23" s="49"/>
      <c r="X23" s="84"/>
      <c r="Y23" s="81">
        <f t="shared" si="41"/>
        <v>0</v>
      </c>
      <c r="Z23" s="79">
        <f t="shared" si="5"/>
        <v>0</v>
      </c>
      <c r="AA23" s="49"/>
      <c r="AB23" s="84"/>
      <c r="AC23" s="81">
        <f t="shared" si="42"/>
        <v>0</v>
      </c>
      <c r="AD23" s="79">
        <f t="shared" si="6"/>
        <v>0</v>
      </c>
      <c r="AE23" s="49"/>
      <c r="AF23" s="84"/>
      <c r="AG23" s="81">
        <f t="shared" si="43"/>
        <v>0</v>
      </c>
      <c r="AH23" s="79">
        <f t="shared" si="7"/>
        <v>0</v>
      </c>
      <c r="AI23" s="48"/>
      <c r="AJ23" s="84"/>
      <c r="AK23" s="81">
        <f t="shared" si="8"/>
        <v>0</v>
      </c>
      <c r="AL23" s="79">
        <f t="shared" si="9"/>
        <v>0</v>
      </c>
      <c r="AM23" s="48"/>
      <c r="AN23" s="84"/>
      <c r="AO23" s="81">
        <f t="shared" si="10"/>
        <v>0</v>
      </c>
      <c r="AP23" s="79">
        <f t="shared" si="11"/>
        <v>0</v>
      </c>
      <c r="AQ23" s="48"/>
      <c r="AR23" s="84"/>
      <c r="AS23" s="81">
        <f t="shared" si="12"/>
        <v>0</v>
      </c>
      <c r="AT23" s="79">
        <f t="shared" si="13"/>
        <v>0</v>
      </c>
      <c r="AU23" s="49"/>
      <c r="AV23" s="84"/>
      <c r="AW23" s="81">
        <f t="shared" si="14"/>
        <v>0</v>
      </c>
      <c r="AX23" s="79">
        <f t="shared" si="15"/>
        <v>0</v>
      </c>
      <c r="AY23" s="49"/>
      <c r="AZ23" s="84"/>
      <c r="BA23" s="81">
        <f t="shared" si="16"/>
        <v>0</v>
      </c>
      <c r="BB23" s="79">
        <f t="shared" si="17"/>
        <v>0</v>
      </c>
      <c r="BC23" s="49"/>
      <c r="BD23" s="84"/>
      <c r="BE23" s="81">
        <f t="shared" si="18"/>
        <v>0</v>
      </c>
      <c r="BF23" s="79">
        <f t="shared" si="19"/>
        <v>0</v>
      </c>
      <c r="BG23" s="49"/>
      <c r="BH23" s="84"/>
      <c r="BI23" s="81">
        <f t="shared" si="20"/>
        <v>0</v>
      </c>
      <c r="BJ23" s="79">
        <f t="shared" si="21"/>
        <v>0</v>
      </c>
      <c r="BK23" s="49"/>
      <c r="BL23" s="84"/>
      <c r="BM23" s="81">
        <f t="shared" si="22"/>
        <v>0</v>
      </c>
      <c r="BN23" s="79">
        <f t="shared" si="23"/>
        <v>0</v>
      </c>
      <c r="BO23" s="49"/>
      <c r="BP23" s="84"/>
      <c r="BQ23" s="81">
        <f t="shared" si="24"/>
        <v>0</v>
      </c>
      <c r="BR23" s="79">
        <f t="shared" si="25"/>
        <v>0</v>
      </c>
      <c r="BS23" s="49"/>
      <c r="BT23" s="84"/>
      <c r="BU23" s="81">
        <f t="shared" si="26"/>
        <v>0</v>
      </c>
      <c r="BV23" s="79">
        <f t="shared" si="27"/>
        <v>0</v>
      </c>
      <c r="BW23" s="48"/>
      <c r="BX23" s="84"/>
      <c r="BY23" s="81">
        <f t="shared" si="28"/>
        <v>0</v>
      </c>
      <c r="BZ23" s="79">
        <f t="shared" si="29"/>
        <v>0</v>
      </c>
      <c r="CA23" s="48"/>
      <c r="CB23" s="84"/>
      <c r="CC23" s="81">
        <f t="shared" si="30"/>
        <v>0</v>
      </c>
      <c r="CD23" s="79">
        <f t="shared" si="31"/>
        <v>0</v>
      </c>
      <c r="CE23" s="49"/>
      <c r="CF23" s="84"/>
      <c r="CG23" s="81">
        <f t="shared" si="32"/>
        <v>0</v>
      </c>
      <c r="CH23" s="79">
        <f t="shared" si="33"/>
        <v>0</v>
      </c>
      <c r="CI23" s="33"/>
      <c r="CJ23" s="84"/>
      <c r="CK23" s="81">
        <f t="shared" si="34"/>
        <v>0</v>
      </c>
      <c r="CL23" s="79">
        <f t="shared" si="35"/>
        <v>0</v>
      </c>
      <c r="CM23" s="34"/>
      <c r="CN23" s="34"/>
      <c r="CO23" s="34"/>
      <c r="CP23" s="34"/>
      <c r="CQ23" s="50">
        <f t="shared" si="36"/>
        <v>1</v>
      </c>
      <c r="CR23" s="77">
        <f t="shared" si="37"/>
        <v>0</v>
      </c>
      <c r="CS23" s="28"/>
    </row>
    <row r="24" spans="1:97" s="1" customFormat="1">
      <c r="A24" s="30" t="s">
        <v>131</v>
      </c>
      <c r="B24" s="47"/>
      <c r="C24" s="31" t="s">
        <v>121</v>
      </c>
      <c r="D24" s="32"/>
      <c r="E24" s="32"/>
      <c r="F24" s="87"/>
      <c r="G24" s="48"/>
      <c r="H24" s="84"/>
      <c r="I24" s="80">
        <f t="shared" si="38"/>
        <v>0</v>
      </c>
      <c r="J24" s="79">
        <f t="shared" si="39"/>
        <v>0</v>
      </c>
      <c r="K24" s="49"/>
      <c r="L24" s="84"/>
      <c r="M24" s="81">
        <f t="shared" si="0"/>
        <v>0</v>
      </c>
      <c r="N24" s="79">
        <f t="shared" si="1"/>
        <v>0</v>
      </c>
      <c r="O24" s="48">
        <v>960</v>
      </c>
      <c r="P24" s="84"/>
      <c r="Q24" s="81">
        <f t="shared" si="2"/>
        <v>0</v>
      </c>
      <c r="R24" s="79">
        <f t="shared" si="40"/>
        <v>0</v>
      </c>
      <c r="S24" s="49"/>
      <c r="T24" s="84"/>
      <c r="U24" s="81">
        <f t="shared" si="3"/>
        <v>0</v>
      </c>
      <c r="V24" s="79">
        <f t="shared" si="4"/>
        <v>0</v>
      </c>
      <c r="W24" s="49"/>
      <c r="X24" s="84"/>
      <c r="Y24" s="81">
        <f t="shared" si="41"/>
        <v>0</v>
      </c>
      <c r="Z24" s="79">
        <f t="shared" si="5"/>
        <v>0</v>
      </c>
      <c r="AA24" s="49"/>
      <c r="AB24" s="84"/>
      <c r="AC24" s="81">
        <f t="shared" si="42"/>
        <v>0</v>
      </c>
      <c r="AD24" s="79">
        <f t="shared" si="6"/>
        <v>0</v>
      </c>
      <c r="AE24" s="49"/>
      <c r="AF24" s="84"/>
      <c r="AG24" s="81">
        <f t="shared" si="43"/>
        <v>0</v>
      </c>
      <c r="AH24" s="79">
        <f t="shared" si="7"/>
        <v>0</v>
      </c>
      <c r="AI24" s="48"/>
      <c r="AJ24" s="84"/>
      <c r="AK24" s="81">
        <f t="shared" si="8"/>
        <v>0</v>
      </c>
      <c r="AL24" s="79">
        <f t="shared" si="9"/>
        <v>0</v>
      </c>
      <c r="AM24" s="48"/>
      <c r="AN24" s="84"/>
      <c r="AO24" s="81">
        <f t="shared" si="10"/>
        <v>0</v>
      </c>
      <c r="AP24" s="79">
        <f t="shared" si="11"/>
        <v>0</v>
      </c>
      <c r="AQ24" s="48"/>
      <c r="AR24" s="84"/>
      <c r="AS24" s="81">
        <f t="shared" si="12"/>
        <v>0</v>
      </c>
      <c r="AT24" s="79">
        <f t="shared" si="13"/>
        <v>0</v>
      </c>
      <c r="AU24" s="49"/>
      <c r="AV24" s="84"/>
      <c r="AW24" s="81">
        <f t="shared" si="14"/>
        <v>0</v>
      </c>
      <c r="AX24" s="79">
        <f t="shared" si="15"/>
        <v>0</v>
      </c>
      <c r="AY24" s="49"/>
      <c r="AZ24" s="84"/>
      <c r="BA24" s="81">
        <f t="shared" si="16"/>
        <v>0</v>
      </c>
      <c r="BB24" s="79">
        <f t="shared" si="17"/>
        <v>0</v>
      </c>
      <c r="BC24" s="49"/>
      <c r="BD24" s="84"/>
      <c r="BE24" s="81">
        <f t="shared" si="18"/>
        <v>0</v>
      </c>
      <c r="BF24" s="79">
        <f t="shared" si="19"/>
        <v>0</v>
      </c>
      <c r="BG24" s="49"/>
      <c r="BH24" s="84"/>
      <c r="BI24" s="81">
        <f t="shared" si="20"/>
        <v>0</v>
      </c>
      <c r="BJ24" s="79">
        <f t="shared" si="21"/>
        <v>0</v>
      </c>
      <c r="BK24" s="49"/>
      <c r="BL24" s="84"/>
      <c r="BM24" s="81">
        <f t="shared" si="22"/>
        <v>0</v>
      </c>
      <c r="BN24" s="79">
        <f t="shared" si="23"/>
        <v>0</v>
      </c>
      <c r="BO24" s="49"/>
      <c r="BP24" s="84"/>
      <c r="BQ24" s="81">
        <f t="shared" si="24"/>
        <v>0</v>
      </c>
      <c r="BR24" s="79">
        <f t="shared" si="25"/>
        <v>0</v>
      </c>
      <c r="BS24" s="49"/>
      <c r="BT24" s="84"/>
      <c r="BU24" s="81">
        <f t="shared" si="26"/>
        <v>0</v>
      </c>
      <c r="BV24" s="79">
        <f t="shared" si="27"/>
        <v>0</v>
      </c>
      <c r="BW24" s="48"/>
      <c r="BX24" s="84"/>
      <c r="BY24" s="81">
        <f t="shared" si="28"/>
        <v>0</v>
      </c>
      <c r="BZ24" s="79">
        <f t="shared" si="29"/>
        <v>0</v>
      </c>
      <c r="CA24" s="48"/>
      <c r="CB24" s="84"/>
      <c r="CC24" s="81">
        <f t="shared" si="30"/>
        <v>0</v>
      </c>
      <c r="CD24" s="79">
        <f t="shared" si="31"/>
        <v>0</v>
      </c>
      <c r="CE24" s="49"/>
      <c r="CF24" s="84"/>
      <c r="CG24" s="81">
        <f t="shared" si="32"/>
        <v>0</v>
      </c>
      <c r="CH24" s="79">
        <f t="shared" si="33"/>
        <v>0</v>
      </c>
      <c r="CI24" s="33"/>
      <c r="CJ24" s="84"/>
      <c r="CK24" s="81">
        <f t="shared" si="34"/>
        <v>0</v>
      </c>
      <c r="CL24" s="79">
        <f t="shared" si="35"/>
        <v>0</v>
      </c>
      <c r="CM24" s="34"/>
      <c r="CN24" s="34"/>
      <c r="CO24" s="34"/>
      <c r="CP24" s="34"/>
      <c r="CQ24" s="50">
        <f t="shared" si="36"/>
        <v>1</v>
      </c>
      <c r="CR24" s="77">
        <f t="shared" si="37"/>
        <v>0</v>
      </c>
      <c r="CS24" s="28"/>
    </row>
    <row r="25" spans="1:97" s="1" customFormat="1">
      <c r="A25" s="30" t="s">
        <v>131</v>
      </c>
      <c r="B25" s="47"/>
      <c r="C25" s="31" t="s">
        <v>123</v>
      </c>
      <c r="D25" s="32"/>
      <c r="E25" s="32"/>
      <c r="F25" s="87"/>
      <c r="G25" s="48"/>
      <c r="H25" s="84"/>
      <c r="I25" s="80">
        <f t="shared" si="38"/>
        <v>0</v>
      </c>
      <c r="J25" s="79">
        <f t="shared" si="39"/>
        <v>0</v>
      </c>
      <c r="K25" s="49"/>
      <c r="L25" s="84"/>
      <c r="M25" s="81">
        <f t="shared" si="0"/>
        <v>0</v>
      </c>
      <c r="N25" s="79">
        <f t="shared" si="1"/>
        <v>0</v>
      </c>
      <c r="O25" s="48">
        <v>1920</v>
      </c>
      <c r="P25" s="84"/>
      <c r="Q25" s="81">
        <f t="shared" si="2"/>
        <v>0</v>
      </c>
      <c r="R25" s="79">
        <f t="shared" si="40"/>
        <v>0</v>
      </c>
      <c r="S25" s="49"/>
      <c r="T25" s="84"/>
      <c r="U25" s="81">
        <f t="shared" si="3"/>
        <v>0</v>
      </c>
      <c r="V25" s="79">
        <f t="shared" si="4"/>
        <v>0</v>
      </c>
      <c r="W25" s="49"/>
      <c r="X25" s="84"/>
      <c r="Y25" s="81">
        <f t="shared" si="41"/>
        <v>0</v>
      </c>
      <c r="Z25" s="79">
        <f t="shared" si="5"/>
        <v>0</v>
      </c>
      <c r="AA25" s="49"/>
      <c r="AB25" s="84"/>
      <c r="AC25" s="81">
        <f t="shared" si="42"/>
        <v>0</v>
      </c>
      <c r="AD25" s="79">
        <f t="shared" si="6"/>
        <v>0</v>
      </c>
      <c r="AE25" s="49"/>
      <c r="AF25" s="84"/>
      <c r="AG25" s="81">
        <f t="shared" si="43"/>
        <v>0</v>
      </c>
      <c r="AH25" s="79">
        <f t="shared" si="7"/>
        <v>0</v>
      </c>
      <c r="AI25" s="48"/>
      <c r="AJ25" s="84"/>
      <c r="AK25" s="81">
        <f t="shared" si="8"/>
        <v>0</v>
      </c>
      <c r="AL25" s="79">
        <f t="shared" si="9"/>
        <v>0</v>
      </c>
      <c r="AM25" s="48"/>
      <c r="AN25" s="84"/>
      <c r="AO25" s="81">
        <f t="shared" si="10"/>
        <v>0</v>
      </c>
      <c r="AP25" s="79">
        <f t="shared" si="11"/>
        <v>0</v>
      </c>
      <c r="AQ25" s="48"/>
      <c r="AR25" s="84"/>
      <c r="AS25" s="81">
        <f t="shared" si="12"/>
        <v>0</v>
      </c>
      <c r="AT25" s="79">
        <f t="shared" si="13"/>
        <v>0</v>
      </c>
      <c r="AU25" s="49"/>
      <c r="AV25" s="84"/>
      <c r="AW25" s="81">
        <f t="shared" si="14"/>
        <v>0</v>
      </c>
      <c r="AX25" s="79">
        <f t="shared" si="15"/>
        <v>0</v>
      </c>
      <c r="AY25" s="49"/>
      <c r="AZ25" s="84"/>
      <c r="BA25" s="81">
        <f t="shared" si="16"/>
        <v>0</v>
      </c>
      <c r="BB25" s="79">
        <f t="shared" si="17"/>
        <v>0</v>
      </c>
      <c r="BC25" s="49"/>
      <c r="BD25" s="84"/>
      <c r="BE25" s="81">
        <f t="shared" si="18"/>
        <v>0</v>
      </c>
      <c r="BF25" s="79">
        <f t="shared" si="19"/>
        <v>0</v>
      </c>
      <c r="BG25" s="49"/>
      <c r="BH25" s="84"/>
      <c r="BI25" s="81">
        <f t="shared" si="20"/>
        <v>0</v>
      </c>
      <c r="BJ25" s="79">
        <f t="shared" si="21"/>
        <v>0</v>
      </c>
      <c r="BK25" s="49"/>
      <c r="BL25" s="84"/>
      <c r="BM25" s="81">
        <f t="shared" si="22"/>
        <v>0</v>
      </c>
      <c r="BN25" s="79">
        <f t="shared" si="23"/>
        <v>0</v>
      </c>
      <c r="BO25" s="49"/>
      <c r="BP25" s="84"/>
      <c r="BQ25" s="81">
        <f t="shared" si="24"/>
        <v>0</v>
      </c>
      <c r="BR25" s="79">
        <f t="shared" si="25"/>
        <v>0</v>
      </c>
      <c r="BS25" s="49"/>
      <c r="BT25" s="84"/>
      <c r="BU25" s="81">
        <f t="shared" si="26"/>
        <v>0</v>
      </c>
      <c r="BV25" s="79">
        <f t="shared" si="27"/>
        <v>0</v>
      </c>
      <c r="BW25" s="48"/>
      <c r="BX25" s="84"/>
      <c r="BY25" s="81">
        <f t="shared" si="28"/>
        <v>0</v>
      </c>
      <c r="BZ25" s="79">
        <f t="shared" si="29"/>
        <v>0</v>
      </c>
      <c r="CA25" s="48"/>
      <c r="CB25" s="84"/>
      <c r="CC25" s="81">
        <f t="shared" si="30"/>
        <v>0</v>
      </c>
      <c r="CD25" s="79">
        <f t="shared" si="31"/>
        <v>0</v>
      </c>
      <c r="CE25" s="49"/>
      <c r="CF25" s="84"/>
      <c r="CG25" s="81">
        <f t="shared" si="32"/>
        <v>0</v>
      </c>
      <c r="CH25" s="79">
        <f t="shared" si="33"/>
        <v>0</v>
      </c>
      <c r="CI25" s="33"/>
      <c r="CJ25" s="84"/>
      <c r="CK25" s="81">
        <f t="shared" si="34"/>
        <v>0</v>
      </c>
      <c r="CL25" s="79">
        <f t="shared" si="35"/>
        <v>0</v>
      </c>
      <c r="CM25" s="34"/>
      <c r="CN25" s="34"/>
      <c r="CO25" s="34"/>
      <c r="CP25" s="34"/>
      <c r="CQ25" s="50">
        <f t="shared" si="36"/>
        <v>1</v>
      </c>
      <c r="CR25" s="77">
        <f t="shared" si="37"/>
        <v>0</v>
      </c>
      <c r="CS25" s="28"/>
    </row>
    <row r="26" spans="1:97" s="1" customFormat="1">
      <c r="A26" s="30" t="s">
        <v>132</v>
      </c>
      <c r="B26" s="47"/>
      <c r="C26" s="31" t="s">
        <v>123</v>
      </c>
      <c r="D26" s="32"/>
      <c r="E26" s="32"/>
      <c r="F26" s="87"/>
      <c r="G26" s="48"/>
      <c r="H26" s="84"/>
      <c r="I26" s="80">
        <f t="shared" si="38"/>
        <v>0</v>
      </c>
      <c r="J26" s="79">
        <f t="shared" si="39"/>
        <v>0</v>
      </c>
      <c r="K26" s="49"/>
      <c r="L26" s="84"/>
      <c r="M26" s="81">
        <f t="shared" si="0"/>
        <v>0</v>
      </c>
      <c r="N26" s="79">
        <f t="shared" si="1"/>
        <v>0</v>
      </c>
      <c r="O26" s="48"/>
      <c r="P26" s="84"/>
      <c r="Q26" s="81">
        <f t="shared" si="2"/>
        <v>0</v>
      </c>
      <c r="R26" s="79">
        <f t="shared" si="40"/>
        <v>0</v>
      </c>
      <c r="S26" s="49"/>
      <c r="T26" s="84"/>
      <c r="U26" s="81">
        <f t="shared" si="3"/>
        <v>0</v>
      </c>
      <c r="V26" s="79">
        <f t="shared" si="4"/>
        <v>0</v>
      </c>
      <c r="W26" s="49"/>
      <c r="X26" s="84"/>
      <c r="Y26" s="81">
        <f t="shared" si="41"/>
        <v>0</v>
      </c>
      <c r="Z26" s="79">
        <f t="shared" si="5"/>
        <v>0</v>
      </c>
      <c r="AA26" s="49"/>
      <c r="AB26" s="84"/>
      <c r="AC26" s="81">
        <f t="shared" si="42"/>
        <v>0</v>
      </c>
      <c r="AD26" s="79">
        <f t="shared" si="6"/>
        <v>0</v>
      </c>
      <c r="AE26" s="49"/>
      <c r="AF26" s="84"/>
      <c r="AG26" s="81">
        <f t="shared" si="43"/>
        <v>0</v>
      </c>
      <c r="AH26" s="79">
        <f t="shared" si="7"/>
        <v>0</v>
      </c>
      <c r="AI26" s="48"/>
      <c r="AJ26" s="84"/>
      <c r="AK26" s="81">
        <f t="shared" si="8"/>
        <v>0</v>
      </c>
      <c r="AL26" s="79">
        <f t="shared" si="9"/>
        <v>0</v>
      </c>
      <c r="AM26" s="48"/>
      <c r="AN26" s="84"/>
      <c r="AO26" s="81">
        <f t="shared" si="10"/>
        <v>0</v>
      </c>
      <c r="AP26" s="79">
        <f t="shared" si="11"/>
        <v>0</v>
      </c>
      <c r="AQ26" s="48"/>
      <c r="AR26" s="84"/>
      <c r="AS26" s="81">
        <f t="shared" si="12"/>
        <v>0</v>
      </c>
      <c r="AT26" s="79">
        <f t="shared" si="13"/>
        <v>0</v>
      </c>
      <c r="AU26" s="49"/>
      <c r="AV26" s="84"/>
      <c r="AW26" s="81">
        <f t="shared" si="14"/>
        <v>0</v>
      </c>
      <c r="AX26" s="79">
        <f t="shared" si="15"/>
        <v>0</v>
      </c>
      <c r="AY26" s="49"/>
      <c r="AZ26" s="84"/>
      <c r="BA26" s="81">
        <f t="shared" si="16"/>
        <v>0</v>
      </c>
      <c r="BB26" s="79">
        <f t="shared" si="17"/>
        <v>0</v>
      </c>
      <c r="BC26" s="49"/>
      <c r="BD26" s="84"/>
      <c r="BE26" s="81">
        <f t="shared" si="18"/>
        <v>0</v>
      </c>
      <c r="BF26" s="79">
        <f t="shared" si="19"/>
        <v>0</v>
      </c>
      <c r="BG26" s="49"/>
      <c r="BH26" s="84"/>
      <c r="BI26" s="81">
        <f t="shared" si="20"/>
        <v>0</v>
      </c>
      <c r="BJ26" s="79">
        <f t="shared" si="21"/>
        <v>0</v>
      </c>
      <c r="BK26" s="49"/>
      <c r="BL26" s="84"/>
      <c r="BM26" s="81">
        <f t="shared" si="22"/>
        <v>0</v>
      </c>
      <c r="BN26" s="79">
        <f t="shared" si="23"/>
        <v>0</v>
      </c>
      <c r="BO26" s="49"/>
      <c r="BP26" s="84"/>
      <c r="BQ26" s="81">
        <f t="shared" si="24"/>
        <v>0</v>
      </c>
      <c r="BR26" s="79">
        <f t="shared" si="25"/>
        <v>0</v>
      </c>
      <c r="BS26" s="49"/>
      <c r="BT26" s="84"/>
      <c r="BU26" s="81">
        <f t="shared" si="26"/>
        <v>0</v>
      </c>
      <c r="BV26" s="79">
        <f t="shared" si="27"/>
        <v>0</v>
      </c>
      <c r="BW26" s="48">
        <v>960</v>
      </c>
      <c r="BX26" s="84"/>
      <c r="BY26" s="81">
        <f t="shared" si="28"/>
        <v>0</v>
      </c>
      <c r="BZ26" s="79">
        <f t="shared" si="29"/>
        <v>0</v>
      </c>
      <c r="CA26" s="48"/>
      <c r="CB26" s="84"/>
      <c r="CC26" s="81">
        <f t="shared" si="30"/>
        <v>0</v>
      </c>
      <c r="CD26" s="79">
        <f t="shared" si="31"/>
        <v>0</v>
      </c>
      <c r="CE26" s="49"/>
      <c r="CF26" s="84"/>
      <c r="CG26" s="81">
        <f t="shared" si="32"/>
        <v>0</v>
      </c>
      <c r="CH26" s="79">
        <f t="shared" si="33"/>
        <v>0</v>
      </c>
      <c r="CI26" s="33"/>
      <c r="CJ26" s="84"/>
      <c r="CK26" s="81">
        <f t="shared" si="34"/>
        <v>0</v>
      </c>
      <c r="CL26" s="79">
        <f t="shared" si="35"/>
        <v>0</v>
      </c>
      <c r="CM26" s="34"/>
      <c r="CN26" s="34"/>
      <c r="CO26" s="34"/>
      <c r="CP26" s="34"/>
      <c r="CQ26" s="50">
        <f t="shared" si="36"/>
        <v>1</v>
      </c>
      <c r="CR26" s="77">
        <f t="shared" si="37"/>
        <v>0</v>
      </c>
      <c r="CS26" s="28"/>
    </row>
    <row r="27" spans="1:97" s="1" customFormat="1">
      <c r="A27" s="30" t="s">
        <v>133</v>
      </c>
      <c r="B27" s="47"/>
      <c r="C27" s="31" t="s">
        <v>123</v>
      </c>
      <c r="D27" s="32"/>
      <c r="E27" s="32"/>
      <c r="F27" s="87"/>
      <c r="G27" s="48"/>
      <c r="H27" s="84"/>
      <c r="I27" s="80">
        <f t="shared" si="38"/>
        <v>0</v>
      </c>
      <c r="J27" s="79">
        <f t="shared" si="39"/>
        <v>0</v>
      </c>
      <c r="K27" s="49"/>
      <c r="L27" s="84"/>
      <c r="M27" s="81"/>
      <c r="N27" s="79">
        <f t="shared" si="1"/>
        <v>0</v>
      </c>
      <c r="O27" s="48">
        <v>1920</v>
      </c>
      <c r="P27" s="84"/>
      <c r="Q27" s="81">
        <f t="shared" si="2"/>
        <v>0</v>
      </c>
      <c r="R27" s="79">
        <f t="shared" si="40"/>
        <v>0</v>
      </c>
      <c r="S27" s="49"/>
      <c r="T27" s="84"/>
      <c r="U27" s="81">
        <f t="shared" si="3"/>
        <v>0</v>
      </c>
      <c r="V27" s="79">
        <f t="shared" si="4"/>
        <v>0</v>
      </c>
      <c r="W27" s="49"/>
      <c r="X27" s="84"/>
      <c r="Y27" s="81">
        <f t="shared" si="41"/>
        <v>0</v>
      </c>
      <c r="Z27" s="79">
        <f t="shared" si="5"/>
        <v>0</v>
      </c>
      <c r="AA27" s="49"/>
      <c r="AB27" s="84"/>
      <c r="AC27" s="81">
        <f t="shared" si="42"/>
        <v>0</v>
      </c>
      <c r="AD27" s="79">
        <f t="shared" si="6"/>
        <v>0</v>
      </c>
      <c r="AE27" s="49"/>
      <c r="AF27" s="84"/>
      <c r="AG27" s="81">
        <f t="shared" si="43"/>
        <v>0</v>
      </c>
      <c r="AH27" s="79">
        <f t="shared" si="7"/>
        <v>0</v>
      </c>
      <c r="AI27" s="48"/>
      <c r="AJ27" s="84"/>
      <c r="AK27" s="81">
        <f t="shared" si="8"/>
        <v>0</v>
      </c>
      <c r="AL27" s="79">
        <f t="shared" si="9"/>
        <v>0</v>
      </c>
      <c r="AM27" s="48"/>
      <c r="AN27" s="84"/>
      <c r="AO27" s="81">
        <f t="shared" si="10"/>
        <v>0</v>
      </c>
      <c r="AP27" s="79">
        <f t="shared" si="11"/>
        <v>0</v>
      </c>
      <c r="AQ27" s="48"/>
      <c r="AR27" s="84"/>
      <c r="AS27" s="81">
        <f t="shared" si="12"/>
        <v>0</v>
      </c>
      <c r="AT27" s="79">
        <f t="shared" si="13"/>
        <v>0</v>
      </c>
      <c r="AU27" s="49"/>
      <c r="AV27" s="84"/>
      <c r="AW27" s="81">
        <f t="shared" si="14"/>
        <v>0</v>
      </c>
      <c r="AX27" s="79">
        <f t="shared" si="15"/>
        <v>0</v>
      </c>
      <c r="AY27" s="49"/>
      <c r="AZ27" s="84"/>
      <c r="BA27" s="81">
        <f t="shared" si="16"/>
        <v>0</v>
      </c>
      <c r="BB27" s="79">
        <f t="shared" si="17"/>
        <v>0</v>
      </c>
      <c r="BC27" s="49"/>
      <c r="BD27" s="84"/>
      <c r="BE27" s="81">
        <f t="shared" si="18"/>
        <v>0</v>
      </c>
      <c r="BF27" s="79">
        <f t="shared" si="19"/>
        <v>0</v>
      </c>
      <c r="BG27" s="49"/>
      <c r="BH27" s="84"/>
      <c r="BI27" s="81">
        <f t="shared" si="20"/>
        <v>0</v>
      </c>
      <c r="BJ27" s="79">
        <f t="shared" si="21"/>
        <v>0</v>
      </c>
      <c r="BK27" s="49"/>
      <c r="BL27" s="84"/>
      <c r="BM27" s="81">
        <f t="shared" si="22"/>
        <v>0</v>
      </c>
      <c r="BN27" s="79">
        <f t="shared" si="23"/>
        <v>0</v>
      </c>
      <c r="BO27" s="49"/>
      <c r="BP27" s="84"/>
      <c r="BQ27" s="81">
        <f t="shared" si="24"/>
        <v>0</v>
      </c>
      <c r="BR27" s="79">
        <f t="shared" si="25"/>
        <v>0</v>
      </c>
      <c r="BS27" s="49"/>
      <c r="BT27" s="84"/>
      <c r="BU27" s="81">
        <f t="shared" si="26"/>
        <v>0</v>
      </c>
      <c r="BV27" s="79">
        <f t="shared" si="27"/>
        <v>0</v>
      </c>
      <c r="BW27" s="48"/>
      <c r="BX27" s="84"/>
      <c r="BY27" s="81">
        <f t="shared" si="28"/>
        <v>0</v>
      </c>
      <c r="BZ27" s="79">
        <f t="shared" si="29"/>
        <v>0</v>
      </c>
      <c r="CA27" s="48"/>
      <c r="CB27" s="84"/>
      <c r="CC27" s="81">
        <f t="shared" si="30"/>
        <v>0</v>
      </c>
      <c r="CD27" s="79">
        <f t="shared" si="31"/>
        <v>0</v>
      </c>
      <c r="CE27" s="49"/>
      <c r="CF27" s="84"/>
      <c r="CG27" s="81">
        <f t="shared" si="32"/>
        <v>0</v>
      </c>
      <c r="CH27" s="79">
        <f t="shared" si="33"/>
        <v>0</v>
      </c>
      <c r="CI27" s="33"/>
      <c r="CJ27" s="84"/>
      <c r="CK27" s="81">
        <f t="shared" si="34"/>
        <v>0</v>
      </c>
      <c r="CL27" s="79">
        <f t="shared" si="35"/>
        <v>0</v>
      </c>
      <c r="CM27" s="34"/>
      <c r="CN27" s="34"/>
      <c r="CO27" s="34"/>
      <c r="CP27" s="34"/>
      <c r="CQ27" s="50">
        <f t="shared" si="36"/>
        <v>1</v>
      </c>
      <c r="CR27" s="77">
        <f t="shared" si="37"/>
        <v>0</v>
      </c>
      <c r="CS27" s="28"/>
    </row>
    <row r="28" spans="1:97" s="1" customFormat="1">
      <c r="A28" s="30" t="s">
        <v>134</v>
      </c>
      <c r="B28" s="47"/>
      <c r="C28" s="36" t="s">
        <v>123</v>
      </c>
      <c r="D28" s="32"/>
      <c r="E28" s="32"/>
      <c r="F28" s="87"/>
      <c r="G28" s="48"/>
      <c r="H28" s="84"/>
      <c r="I28" s="80">
        <f t="shared" si="38"/>
        <v>0</v>
      </c>
      <c r="J28" s="79">
        <f t="shared" si="39"/>
        <v>0</v>
      </c>
      <c r="K28" s="48">
        <v>960</v>
      </c>
      <c r="L28" s="84"/>
      <c r="M28" s="81">
        <f t="shared" ref="M28:M59" si="44">L28*CQ28</f>
        <v>0</v>
      </c>
      <c r="N28" s="79">
        <f t="shared" si="1"/>
        <v>0</v>
      </c>
      <c r="O28" s="48"/>
      <c r="P28" s="84"/>
      <c r="Q28" s="81">
        <f t="shared" si="2"/>
        <v>0</v>
      </c>
      <c r="R28" s="79">
        <f t="shared" si="40"/>
        <v>0</v>
      </c>
      <c r="S28" s="49"/>
      <c r="T28" s="84"/>
      <c r="U28" s="81">
        <f t="shared" si="3"/>
        <v>0</v>
      </c>
      <c r="V28" s="79">
        <f t="shared" si="4"/>
        <v>0</v>
      </c>
      <c r="W28" s="49"/>
      <c r="X28" s="84"/>
      <c r="Y28" s="81">
        <f t="shared" si="41"/>
        <v>0</v>
      </c>
      <c r="Z28" s="79">
        <f t="shared" si="5"/>
        <v>0</v>
      </c>
      <c r="AA28" s="49"/>
      <c r="AB28" s="84"/>
      <c r="AC28" s="81">
        <f t="shared" si="42"/>
        <v>0</v>
      </c>
      <c r="AD28" s="79">
        <f t="shared" si="6"/>
        <v>0</v>
      </c>
      <c r="AE28" s="49"/>
      <c r="AF28" s="84"/>
      <c r="AG28" s="81">
        <f t="shared" si="43"/>
        <v>0</v>
      </c>
      <c r="AH28" s="79">
        <f t="shared" si="7"/>
        <v>0</v>
      </c>
      <c r="AI28" s="48"/>
      <c r="AJ28" s="84"/>
      <c r="AK28" s="81">
        <f t="shared" si="8"/>
        <v>0</v>
      </c>
      <c r="AL28" s="79">
        <f t="shared" si="9"/>
        <v>0</v>
      </c>
      <c r="AM28" s="48"/>
      <c r="AN28" s="84"/>
      <c r="AO28" s="81">
        <f t="shared" si="10"/>
        <v>0</v>
      </c>
      <c r="AP28" s="79">
        <f t="shared" si="11"/>
        <v>0</v>
      </c>
      <c r="AQ28" s="48"/>
      <c r="AR28" s="84"/>
      <c r="AS28" s="81">
        <f t="shared" si="12"/>
        <v>0</v>
      </c>
      <c r="AT28" s="79">
        <f t="shared" si="13"/>
        <v>0</v>
      </c>
      <c r="AU28" s="49"/>
      <c r="AV28" s="84"/>
      <c r="AW28" s="81">
        <f t="shared" si="14"/>
        <v>0</v>
      </c>
      <c r="AX28" s="79">
        <f t="shared" si="15"/>
        <v>0</v>
      </c>
      <c r="AY28" s="49"/>
      <c r="AZ28" s="84"/>
      <c r="BA28" s="81">
        <f t="shared" si="16"/>
        <v>0</v>
      </c>
      <c r="BB28" s="79">
        <f t="shared" si="17"/>
        <v>0</v>
      </c>
      <c r="BC28" s="49"/>
      <c r="BD28" s="84"/>
      <c r="BE28" s="81">
        <f t="shared" si="18"/>
        <v>0</v>
      </c>
      <c r="BF28" s="79">
        <f t="shared" si="19"/>
        <v>0</v>
      </c>
      <c r="BG28" s="49"/>
      <c r="BH28" s="84"/>
      <c r="BI28" s="81">
        <f t="shared" si="20"/>
        <v>0</v>
      </c>
      <c r="BJ28" s="79">
        <f t="shared" si="21"/>
        <v>0</v>
      </c>
      <c r="BK28" s="49"/>
      <c r="BL28" s="84"/>
      <c r="BM28" s="81">
        <f t="shared" si="22"/>
        <v>0</v>
      </c>
      <c r="BN28" s="79">
        <f t="shared" si="23"/>
        <v>0</v>
      </c>
      <c r="BO28" s="49"/>
      <c r="BP28" s="84"/>
      <c r="BQ28" s="81">
        <f t="shared" si="24"/>
        <v>0</v>
      </c>
      <c r="BR28" s="79">
        <f t="shared" si="25"/>
        <v>0</v>
      </c>
      <c r="BS28" s="49"/>
      <c r="BT28" s="84"/>
      <c r="BU28" s="81">
        <f t="shared" si="26"/>
        <v>0</v>
      </c>
      <c r="BV28" s="79">
        <f t="shared" si="27"/>
        <v>0</v>
      </c>
      <c r="BW28" s="48"/>
      <c r="BX28" s="84"/>
      <c r="BY28" s="81">
        <f t="shared" si="28"/>
        <v>0</v>
      </c>
      <c r="BZ28" s="79">
        <f t="shared" si="29"/>
        <v>0</v>
      </c>
      <c r="CA28" s="48"/>
      <c r="CB28" s="84"/>
      <c r="CC28" s="81">
        <f t="shared" si="30"/>
        <v>0</v>
      </c>
      <c r="CD28" s="79">
        <f t="shared" si="31"/>
        <v>0</v>
      </c>
      <c r="CE28" s="49"/>
      <c r="CF28" s="84"/>
      <c r="CG28" s="81">
        <f t="shared" si="32"/>
        <v>0</v>
      </c>
      <c r="CH28" s="79">
        <f t="shared" si="33"/>
        <v>0</v>
      </c>
      <c r="CI28" s="33"/>
      <c r="CJ28" s="84"/>
      <c r="CK28" s="81">
        <f t="shared" si="34"/>
        <v>0</v>
      </c>
      <c r="CL28" s="79">
        <f t="shared" si="35"/>
        <v>0</v>
      </c>
      <c r="CM28" s="34"/>
      <c r="CN28" s="34"/>
      <c r="CO28" s="34"/>
      <c r="CP28" s="34"/>
      <c r="CQ28" s="50">
        <f t="shared" si="36"/>
        <v>1</v>
      </c>
      <c r="CR28" s="77">
        <f t="shared" si="37"/>
        <v>0</v>
      </c>
      <c r="CS28" s="28"/>
    </row>
    <row r="29" spans="1:97" s="1" customFormat="1">
      <c r="A29" s="30" t="s">
        <v>135</v>
      </c>
      <c r="B29" s="47"/>
      <c r="C29" s="31" t="s">
        <v>121</v>
      </c>
      <c r="D29" s="32"/>
      <c r="E29" s="32"/>
      <c r="F29" s="87"/>
      <c r="G29" s="48"/>
      <c r="H29" s="84"/>
      <c r="I29" s="80">
        <f t="shared" si="38"/>
        <v>0</v>
      </c>
      <c r="J29" s="79">
        <f t="shared" si="39"/>
        <v>0</v>
      </c>
      <c r="K29" s="49"/>
      <c r="L29" s="84"/>
      <c r="M29" s="81">
        <f t="shared" si="44"/>
        <v>0</v>
      </c>
      <c r="N29" s="79">
        <f t="shared" si="1"/>
        <v>0</v>
      </c>
      <c r="O29" s="48">
        <v>960</v>
      </c>
      <c r="P29" s="84"/>
      <c r="Q29" s="81">
        <f t="shared" si="2"/>
        <v>0</v>
      </c>
      <c r="R29" s="79">
        <f t="shared" si="40"/>
        <v>0</v>
      </c>
      <c r="S29" s="49"/>
      <c r="T29" s="84"/>
      <c r="U29" s="81">
        <f t="shared" si="3"/>
        <v>0</v>
      </c>
      <c r="V29" s="79">
        <f t="shared" si="4"/>
        <v>0</v>
      </c>
      <c r="W29" s="49"/>
      <c r="X29" s="84"/>
      <c r="Y29" s="81">
        <f t="shared" si="41"/>
        <v>0</v>
      </c>
      <c r="Z29" s="79">
        <f t="shared" si="5"/>
        <v>0</v>
      </c>
      <c r="AA29" s="49"/>
      <c r="AB29" s="84"/>
      <c r="AC29" s="81">
        <f t="shared" si="42"/>
        <v>0</v>
      </c>
      <c r="AD29" s="79">
        <f t="shared" si="6"/>
        <v>0</v>
      </c>
      <c r="AE29" s="49"/>
      <c r="AF29" s="84"/>
      <c r="AG29" s="81">
        <f t="shared" si="43"/>
        <v>0</v>
      </c>
      <c r="AH29" s="79">
        <f t="shared" si="7"/>
        <v>0</v>
      </c>
      <c r="AI29" s="48"/>
      <c r="AJ29" s="84"/>
      <c r="AK29" s="81">
        <f t="shared" si="8"/>
        <v>0</v>
      </c>
      <c r="AL29" s="79">
        <f t="shared" si="9"/>
        <v>0</v>
      </c>
      <c r="AM29" s="48"/>
      <c r="AN29" s="84"/>
      <c r="AO29" s="81">
        <f t="shared" si="10"/>
        <v>0</v>
      </c>
      <c r="AP29" s="79">
        <f t="shared" si="11"/>
        <v>0</v>
      </c>
      <c r="AQ29" s="48"/>
      <c r="AR29" s="84"/>
      <c r="AS29" s="81">
        <f t="shared" si="12"/>
        <v>0</v>
      </c>
      <c r="AT29" s="79">
        <f t="shared" si="13"/>
        <v>0</v>
      </c>
      <c r="AU29" s="49"/>
      <c r="AV29" s="84"/>
      <c r="AW29" s="81">
        <f t="shared" si="14"/>
        <v>0</v>
      </c>
      <c r="AX29" s="79">
        <f t="shared" si="15"/>
        <v>0</v>
      </c>
      <c r="AY29" s="49"/>
      <c r="AZ29" s="84"/>
      <c r="BA29" s="81">
        <f t="shared" si="16"/>
        <v>0</v>
      </c>
      <c r="BB29" s="79">
        <f t="shared" si="17"/>
        <v>0</v>
      </c>
      <c r="BC29" s="49"/>
      <c r="BD29" s="84"/>
      <c r="BE29" s="81">
        <f t="shared" si="18"/>
        <v>0</v>
      </c>
      <c r="BF29" s="79">
        <f t="shared" si="19"/>
        <v>0</v>
      </c>
      <c r="BG29" s="49"/>
      <c r="BH29" s="84"/>
      <c r="BI29" s="81">
        <f t="shared" si="20"/>
        <v>0</v>
      </c>
      <c r="BJ29" s="79">
        <f t="shared" si="21"/>
        <v>0</v>
      </c>
      <c r="BK29" s="49"/>
      <c r="BL29" s="84"/>
      <c r="BM29" s="81">
        <f t="shared" si="22"/>
        <v>0</v>
      </c>
      <c r="BN29" s="79">
        <f t="shared" si="23"/>
        <v>0</v>
      </c>
      <c r="BO29" s="49"/>
      <c r="BP29" s="84"/>
      <c r="BQ29" s="81">
        <f t="shared" si="24"/>
        <v>0</v>
      </c>
      <c r="BR29" s="79">
        <f t="shared" si="25"/>
        <v>0</v>
      </c>
      <c r="BS29" s="49"/>
      <c r="BT29" s="84"/>
      <c r="BU29" s="81">
        <f t="shared" si="26"/>
        <v>0</v>
      </c>
      <c r="BV29" s="79">
        <f t="shared" si="27"/>
        <v>0</v>
      </c>
      <c r="BW29" s="48"/>
      <c r="BX29" s="84"/>
      <c r="BY29" s="81">
        <f t="shared" si="28"/>
        <v>0</v>
      </c>
      <c r="BZ29" s="79">
        <f t="shared" si="29"/>
        <v>0</v>
      </c>
      <c r="CA29" s="48"/>
      <c r="CB29" s="84"/>
      <c r="CC29" s="81">
        <f t="shared" si="30"/>
        <v>0</v>
      </c>
      <c r="CD29" s="79">
        <f t="shared" si="31"/>
        <v>0</v>
      </c>
      <c r="CE29" s="49"/>
      <c r="CF29" s="84"/>
      <c r="CG29" s="81">
        <f t="shared" si="32"/>
        <v>0</v>
      </c>
      <c r="CH29" s="79">
        <f t="shared" si="33"/>
        <v>0</v>
      </c>
      <c r="CI29" s="33"/>
      <c r="CJ29" s="84"/>
      <c r="CK29" s="81">
        <f t="shared" si="34"/>
        <v>0</v>
      </c>
      <c r="CL29" s="79">
        <f t="shared" si="35"/>
        <v>0</v>
      </c>
      <c r="CM29" s="34"/>
      <c r="CN29" s="34"/>
      <c r="CO29" s="34"/>
      <c r="CP29" s="34"/>
      <c r="CQ29" s="50">
        <f t="shared" si="36"/>
        <v>1</v>
      </c>
      <c r="CR29" s="77">
        <f t="shared" si="37"/>
        <v>0</v>
      </c>
      <c r="CS29" s="28"/>
    </row>
    <row r="30" spans="1:97" s="1" customFormat="1">
      <c r="A30" s="30" t="s">
        <v>136</v>
      </c>
      <c r="B30" s="47"/>
      <c r="C30" s="31" t="s">
        <v>123</v>
      </c>
      <c r="D30" s="32"/>
      <c r="E30" s="32"/>
      <c r="F30" s="87"/>
      <c r="G30" s="48"/>
      <c r="H30" s="84"/>
      <c r="I30" s="80">
        <f t="shared" si="38"/>
        <v>0</v>
      </c>
      <c r="J30" s="79">
        <f t="shared" si="39"/>
        <v>0</v>
      </c>
      <c r="K30" s="49"/>
      <c r="L30" s="84"/>
      <c r="M30" s="81">
        <f t="shared" si="44"/>
        <v>0</v>
      </c>
      <c r="N30" s="79">
        <f t="shared" si="1"/>
        <v>0</v>
      </c>
      <c r="O30" s="48">
        <v>960</v>
      </c>
      <c r="P30" s="84"/>
      <c r="Q30" s="81">
        <f t="shared" si="2"/>
        <v>0</v>
      </c>
      <c r="R30" s="79">
        <f t="shared" si="40"/>
        <v>0</v>
      </c>
      <c r="S30" s="49"/>
      <c r="T30" s="84"/>
      <c r="U30" s="81">
        <f t="shared" si="3"/>
        <v>0</v>
      </c>
      <c r="V30" s="79">
        <f t="shared" si="4"/>
        <v>0</v>
      </c>
      <c r="W30" s="49"/>
      <c r="X30" s="84"/>
      <c r="Y30" s="81">
        <f t="shared" si="41"/>
        <v>0</v>
      </c>
      <c r="Z30" s="79">
        <f t="shared" si="5"/>
        <v>0</v>
      </c>
      <c r="AA30" s="49"/>
      <c r="AB30" s="84"/>
      <c r="AC30" s="81">
        <f t="shared" si="42"/>
        <v>0</v>
      </c>
      <c r="AD30" s="79">
        <f t="shared" si="6"/>
        <v>0</v>
      </c>
      <c r="AE30" s="49"/>
      <c r="AF30" s="84"/>
      <c r="AG30" s="81">
        <f t="shared" si="43"/>
        <v>0</v>
      </c>
      <c r="AH30" s="79">
        <f t="shared" si="7"/>
        <v>0</v>
      </c>
      <c r="AI30" s="48"/>
      <c r="AJ30" s="84"/>
      <c r="AK30" s="81">
        <f t="shared" si="8"/>
        <v>0</v>
      </c>
      <c r="AL30" s="79">
        <f t="shared" si="9"/>
        <v>0</v>
      </c>
      <c r="AM30" s="48"/>
      <c r="AN30" s="84"/>
      <c r="AO30" s="81">
        <f t="shared" si="10"/>
        <v>0</v>
      </c>
      <c r="AP30" s="79">
        <f t="shared" si="11"/>
        <v>0</v>
      </c>
      <c r="AQ30" s="48"/>
      <c r="AR30" s="84"/>
      <c r="AS30" s="81">
        <f t="shared" si="12"/>
        <v>0</v>
      </c>
      <c r="AT30" s="79">
        <f t="shared" si="13"/>
        <v>0</v>
      </c>
      <c r="AU30" s="49"/>
      <c r="AV30" s="84"/>
      <c r="AW30" s="81">
        <f t="shared" si="14"/>
        <v>0</v>
      </c>
      <c r="AX30" s="79">
        <f t="shared" si="15"/>
        <v>0</v>
      </c>
      <c r="AY30" s="49"/>
      <c r="AZ30" s="84"/>
      <c r="BA30" s="81">
        <f t="shared" si="16"/>
        <v>0</v>
      </c>
      <c r="BB30" s="79">
        <f t="shared" si="17"/>
        <v>0</v>
      </c>
      <c r="BC30" s="49"/>
      <c r="BD30" s="84"/>
      <c r="BE30" s="81">
        <f t="shared" si="18"/>
        <v>0</v>
      </c>
      <c r="BF30" s="79">
        <f t="shared" si="19"/>
        <v>0</v>
      </c>
      <c r="BG30" s="49"/>
      <c r="BH30" s="84"/>
      <c r="BI30" s="81">
        <f t="shared" si="20"/>
        <v>0</v>
      </c>
      <c r="BJ30" s="79">
        <f t="shared" si="21"/>
        <v>0</v>
      </c>
      <c r="BK30" s="49"/>
      <c r="BL30" s="84"/>
      <c r="BM30" s="81">
        <f t="shared" si="22"/>
        <v>0</v>
      </c>
      <c r="BN30" s="79">
        <f t="shared" si="23"/>
        <v>0</v>
      </c>
      <c r="BO30" s="49"/>
      <c r="BP30" s="84"/>
      <c r="BQ30" s="81">
        <f t="shared" si="24"/>
        <v>0</v>
      </c>
      <c r="BR30" s="79">
        <f t="shared" si="25"/>
        <v>0</v>
      </c>
      <c r="BS30" s="49"/>
      <c r="BT30" s="84"/>
      <c r="BU30" s="81">
        <f t="shared" si="26"/>
        <v>0</v>
      </c>
      <c r="BV30" s="79">
        <f t="shared" si="27"/>
        <v>0</v>
      </c>
      <c r="BW30" s="48"/>
      <c r="BX30" s="84"/>
      <c r="BY30" s="81">
        <f t="shared" si="28"/>
        <v>0</v>
      </c>
      <c r="BZ30" s="79">
        <f t="shared" si="29"/>
        <v>0</v>
      </c>
      <c r="CA30" s="48"/>
      <c r="CB30" s="84"/>
      <c r="CC30" s="81">
        <f t="shared" si="30"/>
        <v>0</v>
      </c>
      <c r="CD30" s="79">
        <f t="shared" si="31"/>
        <v>0</v>
      </c>
      <c r="CE30" s="49"/>
      <c r="CF30" s="84"/>
      <c r="CG30" s="81">
        <f t="shared" si="32"/>
        <v>0</v>
      </c>
      <c r="CH30" s="79">
        <f t="shared" si="33"/>
        <v>0</v>
      </c>
      <c r="CI30" s="33"/>
      <c r="CJ30" s="84"/>
      <c r="CK30" s="81">
        <f t="shared" si="34"/>
        <v>0</v>
      </c>
      <c r="CL30" s="79">
        <f t="shared" si="35"/>
        <v>0</v>
      </c>
      <c r="CM30" s="34"/>
      <c r="CN30" s="34"/>
      <c r="CO30" s="34"/>
      <c r="CP30" s="34"/>
      <c r="CQ30" s="50">
        <f t="shared" si="36"/>
        <v>1</v>
      </c>
      <c r="CR30" s="77">
        <f t="shared" si="37"/>
        <v>0</v>
      </c>
      <c r="CS30" s="28"/>
    </row>
    <row r="31" spans="1:97" s="1" customFormat="1">
      <c r="A31" s="30" t="s">
        <v>137</v>
      </c>
      <c r="B31" s="47"/>
      <c r="C31" s="31" t="s">
        <v>123</v>
      </c>
      <c r="D31" s="32"/>
      <c r="E31" s="32"/>
      <c r="F31" s="87"/>
      <c r="G31" s="48">
        <v>480</v>
      </c>
      <c r="H31" s="84"/>
      <c r="I31" s="80">
        <f t="shared" si="38"/>
        <v>0</v>
      </c>
      <c r="J31" s="79">
        <f t="shared" si="39"/>
        <v>0</v>
      </c>
      <c r="K31" s="49"/>
      <c r="L31" s="84"/>
      <c r="M31" s="81">
        <f t="shared" si="44"/>
        <v>0</v>
      </c>
      <c r="N31" s="79">
        <f t="shared" si="1"/>
        <v>0</v>
      </c>
      <c r="O31" s="48">
        <v>960</v>
      </c>
      <c r="P31" s="84"/>
      <c r="Q31" s="81">
        <f t="shared" si="2"/>
        <v>0</v>
      </c>
      <c r="R31" s="79">
        <f t="shared" si="40"/>
        <v>0</v>
      </c>
      <c r="S31" s="49"/>
      <c r="T31" s="84"/>
      <c r="U31" s="81">
        <f t="shared" si="3"/>
        <v>0</v>
      </c>
      <c r="V31" s="79">
        <f t="shared" si="4"/>
        <v>0</v>
      </c>
      <c r="W31" s="49"/>
      <c r="X31" s="84"/>
      <c r="Y31" s="81">
        <f t="shared" si="41"/>
        <v>0</v>
      </c>
      <c r="Z31" s="79">
        <f t="shared" si="5"/>
        <v>0</v>
      </c>
      <c r="AA31" s="49"/>
      <c r="AB31" s="84"/>
      <c r="AC31" s="81">
        <f t="shared" si="42"/>
        <v>0</v>
      </c>
      <c r="AD31" s="79">
        <f t="shared" si="6"/>
        <v>0</v>
      </c>
      <c r="AE31" s="49"/>
      <c r="AF31" s="84"/>
      <c r="AG31" s="81">
        <f t="shared" si="43"/>
        <v>0</v>
      </c>
      <c r="AH31" s="79">
        <f t="shared" si="7"/>
        <v>0</v>
      </c>
      <c r="AI31" s="48"/>
      <c r="AJ31" s="84"/>
      <c r="AK31" s="81">
        <f t="shared" si="8"/>
        <v>0</v>
      </c>
      <c r="AL31" s="79">
        <f t="shared" si="9"/>
        <v>0</v>
      </c>
      <c r="AM31" s="48"/>
      <c r="AN31" s="84"/>
      <c r="AO31" s="81">
        <f t="shared" si="10"/>
        <v>0</v>
      </c>
      <c r="AP31" s="79">
        <f t="shared" si="11"/>
        <v>0</v>
      </c>
      <c r="AQ31" s="48"/>
      <c r="AR31" s="84"/>
      <c r="AS31" s="81">
        <f t="shared" si="12"/>
        <v>0</v>
      </c>
      <c r="AT31" s="79">
        <f t="shared" si="13"/>
        <v>0</v>
      </c>
      <c r="AU31" s="49"/>
      <c r="AV31" s="84"/>
      <c r="AW31" s="81">
        <f t="shared" si="14"/>
        <v>0</v>
      </c>
      <c r="AX31" s="79">
        <f t="shared" si="15"/>
        <v>0</v>
      </c>
      <c r="AY31" s="49"/>
      <c r="AZ31" s="84"/>
      <c r="BA31" s="81">
        <f t="shared" si="16"/>
        <v>0</v>
      </c>
      <c r="BB31" s="79">
        <f t="shared" si="17"/>
        <v>0</v>
      </c>
      <c r="BC31" s="49"/>
      <c r="BD31" s="84"/>
      <c r="BE31" s="81">
        <f t="shared" si="18"/>
        <v>0</v>
      </c>
      <c r="BF31" s="79">
        <f t="shared" si="19"/>
        <v>0</v>
      </c>
      <c r="BG31" s="49"/>
      <c r="BH31" s="84"/>
      <c r="BI31" s="81">
        <f t="shared" si="20"/>
        <v>0</v>
      </c>
      <c r="BJ31" s="79">
        <f t="shared" si="21"/>
        <v>0</v>
      </c>
      <c r="BK31" s="49"/>
      <c r="BL31" s="84"/>
      <c r="BM31" s="81">
        <f t="shared" si="22"/>
        <v>0</v>
      </c>
      <c r="BN31" s="79">
        <f t="shared" si="23"/>
        <v>0</v>
      </c>
      <c r="BO31" s="49"/>
      <c r="BP31" s="84"/>
      <c r="BQ31" s="81">
        <f t="shared" si="24"/>
        <v>0</v>
      </c>
      <c r="BR31" s="79">
        <f t="shared" si="25"/>
        <v>0</v>
      </c>
      <c r="BS31" s="49"/>
      <c r="BT31" s="84"/>
      <c r="BU31" s="81">
        <f t="shared" si="26"/>
        <v>0</v>
      </c>
      <c r="BV31" s="79">
        <f t="shared" si="27"/>
        <v>0</v>
      </c>
      <c r="BW31" s="48"/>
      <c r="BX31" s="84"/>
      <c r="BY31" s="81">
        <f t="shared" si="28"/>
        <v>0</v>
      </c>
      <c r="BZ31" s="79">
        <f t="shared" si="29"/>
        <v>0</v>
      </c>
      <c r="CA31" s="48"/>
      <c r="CB31" s="84"/>
      <c r="CC31" s="81">
        <f t="shared" si="30"/>
        <v>0</v>
      </c>
      <c r="CD31" s="79">
        <f t="shared" si="31"/>
        <v>0</v>
      </c>
      <c r="CE31" s="49"/>
      <c r="CF31" s="84"/>
      <c r="CG31" s="81">
        <f t="shared" si="32"/>
        <v>0</v>
      </c>
      <c r="CH31" s="79">
        <f t="shared" si="33"/>
        <v>0</v>
      </c>
      <c r="CI31" s="33"/>
      <c r="CJ31" s="84"/>
      <c r="CK31" s="81">
        <f t="shared" si="34"/>
        <v>0</v>
      </c>
      <c r="CL31" s="79">
        <f t="shared" si="35"/>
        <v>0</v>
      </c>
      <c r="CM31" s="34"/>
      <c r="CN31" s="34"/>
      <c r="CO31" s="34"/>
      <c r="CP31" s="34"/>
      <c r="CQ31" s="50">
        <f t="shared" si="36"/>
        <v>1</v>
      </c>
      <c r="CR31" s="77">
        <f t="shared" si="37"/>
        <v>0</v>
      </c>
      <c r="CS31" s="28"/>
    </row>
    <row r="32" spans="1:97" s="1" customFormat="1">
      <c r="A32" s="30" t="s">
        <v>138</v>
      </c>
      <c r="B32" s="47"/>
      <c r="C32" s="31" t="s">
        <v>121</v>
      </c>
      <c r="D32" s="32"/>
      <c r="E32" s="32"/>
      <c r="F32" s="87"/>
      <c r="G32" s="48"/>
      <c r="H32" s="84"/>
      <c r="I32" s="80">
        <f t="shared" si="38"/>
        <v>0</v>
      </c>
      <c r="J32" s="79">
        <f t="shared" si="39"/>
        <v>0</v>
      </c>
      <c r="K32" s="49"/>
      <c r="L32" s="84"/>
      <c r="M32" s="81">
        <f t="shared" si="44"/>
        <v>0</v>
      </c>
      <c r="N32" s="79">
        <f t="shared" si="1"/>
        <v>0</v>
      </c>
      <c r="O32" s="48">
        <v>960</v>
      </c>
      <c r="P32" s="84"/>
      <c r="Q32" s="81">
        <f t="shared" si="2"/>
        <v>0</v>
      </c>
      <c r="R32" s="79">
        <f t="shared" si="40"/>
        <v>0</v>
      </c>
      <c r="S32" s="49"/>
      <c r="T32" s="84"/>
      <c r="U32" s="81">
        <f t="shared" si="3"/>
        <v>0</v>
      </c>
      <c r="V32" s="79">
        <f t="shared" si="4"/>
        <v>0</v>
      </c>
      <c r="W32" s="49"/>
      <c r="X32" s="84"/>
      <c r="Y32" s="81">
        <f t="shared" si="41"/>
        <v>0</v>
      </c>
      <c r="Z32" s="79">
        <f t="shared" si="5"/>
        <v>0</v>
      </c>
      <c r="AA32" s="49"/>
      <c r="AB32" s="84"/>
      <c r="AC32" s="81">
        <f t="shared" si="42"/>
        <v>0</v>
      </c>
      <c r="AD32" s="79">
        <f t="shared" si="6"/>
        <v>0</v>
      </c>
      <c r="AE32" s="49"/>
      <c r="AF32" s="84"/>
      <c r="AG32" s="81">
        <f t="shared" si="43"/>
        <v>0</v>
      </c>
      <c r="AH32" s="79">
        <f t="shared" si="7"/>
        <v>0</v>
      </c>
      <c r="AI32" s="48"/>
      <c r="AJ32" s="84"/>
      <c r="AK32" s="81">
        <f t="shared" si="8"/>
        <v>0</v>
      </c>
      <c r="AL32" s="79">
        <f t="shared" si="9"/>
        <v>0</v>
      </c>
      <c r="AM32" s="48"/>
      <c r="AN32" s="84"/>
      <c r="AO32" s="81">
        <f t="shared" si="10"/>
        <v>0</v>
      </c>
      <c r="AP32" s="79">
        <f t="shared" si="11"/>
        <v>0</v>
      </c>
      <c r="AQ32" s="48"/>
      <c r="AR32" s="84"/>
      <c r="AS32" s="81">
        <f t="shared" si="12"/>
        <v>0</v>
      </c>
      <c r="AT32" s="79">
        <f t="shared" si="13"/>
        <v>0</v>
      </c>
      <c r="AU32" s="49"/>
      <c r="AV32" s="84"/>
      <c r="AW32" s="81">
        <f t="shared" si="14"/>
        <v>0</v>
      </c>
      <c r="AX32" s="79">
        <f t="shared" si="15"/>
        <v>0</v>
      </c>
      <c r="AY32" s="49"/>
      <c r="AZ32" s="84"/>
      <c r="BA32" s="81">
        <f t="shared" si="16"/>
        <v>0</v>
      </c>
      <c r="BB32" s="79">
        <f t="shared" si="17"/>
        <v>0</v>
      </c>
      <c r="BC32" s="49"/>
      <c r="BD32" s="84"/>
      <c r="BE32" s="81">
        <f t="shared" si="18"/>
        <v>0</v>
      </c>
      <c r="BF32" s="79">
        <f t="shared" si="19"/>
        <v>0</v>
      </c>
      <c r="BG32" s="49"/>
      <c r="BH32" s="84"/>
      <c r="BI32" s="81">
        <f t="shared" si="20"/>
        <v>0</v>
      </c>
      <c r="BJ32" s="79">
        <f t="shared" si="21"/>
        <v>0</v>
      </c>
      <c r="BK32" s="49"/>
      <c r="BL32" s="84"/>
      <c r="BM32" s="81">
        <f t="shared" si="22"/>
        <v>0</v>
      </c>
      <c r="BN32" s="79">
        <f t="shared" si="23"/>
        <v>0</v>
      </c>
      <c r="BO32" s="49"/>
      <c r="BP32" s="84"/>
      <c r="BQ32" s="81">
        <f t="shared" si="24"/>
        <v>0</v>
      </c>
      <c r="BR32" s="79">
        <f t="shared" si="25"/>
        <v>0</v>
      </c>
      <c r="BS32" s="49"/>
      <c r="BT32" s="84"/>
      <c r="BU32" s="81">
        <f t="shared" si="26"/>
        <v>0</v>
      </c>
      <c r="BV32" s="79">
        <f t="shared" si="27"/>
        <v>0</v>
      </c>
      <c r="BW32" s="48"/>
      <c r="BX32" s="84"/>
      <c r="BY32" s="81">
        <f t="shared" si="28"/>
        <v>0</v>
      </c>
      <c r="BZ32" s="79">
        <f t="shared" si="29"/>
        <v>0</v>
      </c>
      <c r="CA32" s="48"/>
      <c r="CB32" s="84"/>
      <c r="CC32" s="81">
        <f t="shared" si="30"/>
        <v>0</v>
      </c>
      <c r="CD32" s="79">
        <f t="shared" si="31"/>
        <v>0</v>
      </c>
      <c r="CE32" s="49"/>
      <c r="CF32" s="84"/>
      <c r="CG32" s="81">
        <f t="shared" si="32"/>
        <v>0</v>
      </c>
      <c r="CH32" s="79">
        <f t="shared" si="33"/>
        <v>0</v>
      </c>
      <c r="CI32" s="33"/>
      <c r="CJ32" s="84"/>
      <c r="CK32" s="81">
        <f t="shared" si="34"/>
        <v>0</v>
      </c>
      <c r="CL32" s="79">
        <f t="shared" si="35"/>
        <v>0</v>
      </c>
      <c r="CM32" s="34"/>
      <c r="CN32" s="34"/>
      <c r="CO32" s="34"/>
      <c r="CP32" s="34"/>
      <c r="CQ32" s="50">
        <f t="shared" si="36"/>
        <v>1</v>
      </c>
      <c r="CR32" s="77">
        <f t="shared" si="37"/>
        <v>0</v>
      </c>
      <c r="CS32" s="28"/>
    </row>
    <row r="33" spans="1:97" s="1" customFormat="1">
      <c r="A33" s="30" t="s">
        <v>138</v>
      </c>
      <c r="B33" s="47"/>
      <c r="C33" s="31" t="s">
        <v>123</v>
      </c>
      <c r="D33" s="32"/>
      <c r="E33" s="32"/>
      <c r="F33" s="87"/>
      <c r="G33" s="48"/>
      <c r="H33" s="84"/>
      <c r="I33" s="80">
        <f t="shared" si="38"/>
        <v>0</v>
      </c>
      <c r="J33" s="79">
        <f t="shared" si="39"/>
        <v>0</v>
      </c>
      <c r="K33" s="49"/>
      <c r="L33" s="84"/>
      <c r="M33" s="81">
        <f t="shared" si="44"/>
        <v>0</v>
      </c>
      <c r="N33" s="79">
        <f t="shared" si="1"/>
        <v>0</v>
      </c>
      <c r="O33" s="48"/>
      <c r="P33" s="84"/>
      <c r="Q33" s="81">
        <f t="shared" si="2"/>
        <v>0</v>
      </c>
      <c r="R33" s="79">
        <f t="shared" si="40"/>
        <v>0</v>
      </c>
      <c r="S33" s="49"/>
      <c r="T33" s="84"/>
      <c r="U33" s="81">
        <f t="shared" si="3"/>
        <v>0</v>
      </c>
      <c r="V33" s="79">
        <f t="shared" si="4"/>
        <v>0</v>
      </c>
      <c r="W33" s="49"/>
      <c r="X33" s="84"/>
      <c r="Y33" s="81">
        <f t="shared" si="41"/>
        <v>0</v>
      </c>
      <c r="Z33" s="79">
        <f t="shared" si="5"/>
        <v>0</v>
      </c>
      <c r="AA33" s="49"/>
      <c r="AB33" s="84"/>
      <c r="AC33" s="81">
        <f t="shared" si="42"/>
        <v>0</v>
      </c>
      <c r="AD33" s="79">
        <f t="shared" si="6"/>
        <v>0</v>
      </c>
      <c r="AE33" s="49"/>
      <c r="AF33" s="84"/>
      <c r="AG33" s="81">
        <f t="shared" si="43"/>
        <v>0</v>
      </c>
      <c r="AH33" s="79">
        <f t="shared" si="7"/>
        <v>0</v>
      </c>
      <c r="AI33" s="48">
        <v>960</v>
      </c>
      <c r="AJ33" s="84"/>
      <c r="AK33" s="81">
        <f t="shared" si="8"/>
        <v>0</v>
      </c>
      <c r="AL33" s="79">
        <f t="shared" si="9"/>
        <v>0</v>
      </c>
      <c r="AM33" s="48"/>
      <c r="AN33" s="84"/>
      <c r="AO33" s="81">
        <f t="shared" si="10"/>
        <v>0</v>
      </c>
      <c r="AP33" s="79">
        <f t="shared" si="11"/>
        <v>0</v>
      </c>
      <c r="AQ33" s="48"/>
      <c r="AR33" s="84"/>
      <c r="AS33" s="81">
        <f t="shared" si="12"/>
        <v>0</v>
      </c>
      <c r="AT33" s="79">
        <f t="shared" si="13"/>
        <v>0</v>
      </c>
      <c r="AU33" s="49"/>
      <c r="AV33" s="84"/>
      <c r="AW33" s="81">
        <f t="shared" si="14"/>
        <v>0</v>
      </c>
      <c r="AX33" s="79">
        <f t="shared" si="15"/>
        <v>0</v>
      </c>
      <c r="AY33" s="49"/>
      <c r="AZ33" s="84"/>
      <c r="BA33" s="81">
        <f t="shared" si="16"/>
        <v>0</v>
      </c>
      <c r="BB33" s="79">
        <f t="shared" si="17"/>
        <v>0</v>
      </c>
      <c r="BC33" s="49"/>
      <c r="BD33" s="84"/>
      <c r="BE33" s="81">
        <f t="shared" si="18"/>
        <v>0</v>
      </c>
      <c r="BF33" s="79">
        <f t="shared" si="19"/>
        <v>0</v>
      </c>
      <c r="BG33" s="49"/>
      <c r="BH33" s="84"/>
      <c r="BI33" s="81">
        <f t="shared" si="20"/>
        <v>0</v>
      </c>
      <c r="BJ33" s="79">
        <f t="shared" si="21"/>
        <v>0</v>
      </c>
      <c r="BK33" s="49"/>
      <c r="BL33" s="84"/>
      <c r="BM33" s="81">
        <f t="shared" si="22"/>
        <v>0</v>
      </c>
      <c r="BN33" s="79">
        <f t="shared" si="23"/>
        <v>0</v>
      </c>
      <c r="BO33" s="49"/>
      <c r="BP33" s="84"/>
      <c r="BQ33" s="81">
        <f t="shared" si="24"/>
        <v>0</v>
      </c>
      <c r="BR33" s="79">
        <f t="shared" si="25"/>
        <v>0</v>
      </c>
      <c r="BS33" s="49"/>
      <c r="BT33" s="84"/>
      <c r="BU33" s="81">
        <f t="shared" si="26"/>
        <v>0</v>
      </c>
      <c r="BV33" s="79">
        <f t="shared" si="27"/>
        <v>0</v>
      </c>
      <c r="BW33" s="48"/>
      <c r="BX33" s="84"/>
      <c r="BY33" s="81">
        <f t="shared" si="28"/>
        <v>0</v>
      </c>
      <c r="BZ33" s="79">
        <f t="shared" si="29"/>
        <v>0</v>
      </c>
      <c r="CA33" s="48"/>
      <c r="CB33" s="84"/>
      <c r="CC33" s="81">
        <f t="shared" si="30"/>
        <v>0</v>
      </c>
      <c r="CD33" s="79">
        <f t="shared" si="31"/>
        <v>0</v>
      </c>
      <c r="CE33" s="49"/>
      <c r="CF33" s="84"/>
      <c r="CG33" s="81">
        <f t="shared" si="32"/>
        <v>0</v>
      </c>
      <c r="CH33" s="79">
        <f t="shared" si="33"/>
        <v>0</v>
      </c>
      <c r="CI33" s="33"/>
      <c r="CJ33" s="84"/>
      <c r="CK33" s="81">
        <f t="shared" si="34"/>
        <v>0</v>
      </c>
      <c r="CL33" s="79">
        <f t="shared" si="35"/>
        <v>0</v>
      </c>
      <c r="CM33" s="34"/>
      <c r="CN33" s="34"/>
      <c r="CO33" s="34"/>
      <c r="CP33" s="34"/>
      <c r="CQ33" s="50">
        <f t="shared" si="36"/>
        <v>1</v>
      </c>
      <c r="CR33" s="77">
        <f t="shared" si="37"/>
        <v>0</v>
      </c>
      <c r="CS33" s="28"/>
    </row>
    <row r="34" spans="1:97" s="1" customFormat="1">
      <c r="A34" s="30" t="s">
        <v>139</v>
      </c>
      <c r="B34" s="47"/>
      <c r="C34" s="31" t="s">
        <v>140</v>
      </c>
      <c r="D34" s="32"/>
      <c r="E34" s="32"/>
      <c r="F34" s="87"/>
      <c r="G34" s="48">
        <v>960</v>
      </c>
      <c r="H34" s="84"/>
      <c r="I34" s="80">
        <f t="shared" si="38"/>
        <v>0</v>
      </c>
      <c r="J34" s="79">
        <f t="shared" si="39"/>
        <v>0</v>
      </c>
      <c r="K34" s="49"/>
      <c r="L34" s="84"/>
      <c r="M34" s="81">
        <f t="shared" si="44"/>
        <v>0</v>
      </c>
      <c r="N34" s="79">
        <f t="shared" si="1"/>
        <v>0</v>
      </c>
      <c r="O34" s="48"/>
      <c r="P34" s="84"/>
      <c r="Q34" s="81">
        <f t="shared" si="2"/>
        <v>0</v>
      </c>
      <c r="R34" s="79">
        <f t="shared" si="40"/>
        <v>0</v>
      </c>
      <c r="S34" s="49"/>
      <c r="T34" s="84"/>
      <c r="U34" s="81">
        <f t="shared" si="3"/>
        <v>0</v>
      </c>
      <c r="V34" s="79">
        <f t="shared" si="4"/>
        <v>0</v>
      </c>
      <c r="W34" s="49"/>
      <c r="X34" s="84"/>
      <c r="Y34" s="81">
        <f t="shared" si="41"/>
        <v>0</v>
      </c>
      <c r="Z34" s="79">
        <f t="shared" si="5"/>
        <v>0</v>
      </c>
      <c r="AA34" s="49"/>
      <c r="AB34" s="84"/>
      <c r="AC34" s="81">
        <f t="shared" si="42"/>
        <v>0</v>
      </c>
      <c r="AD34" s="79">
        <f t="shared" si="6"/>
        <v>0</v>
      </c>
      <c r="AE34" s="49"/>
      <c r="AF34" s="84"/>
      <c r="AG34" s="81">
        <f t="shared" si="43"/>
        <v>0</v>
      </c>
      <c r="AH34" s="79">
        <f t="shared" si="7"/>
        <v>0</v>
      </c>
      <c r="AI34" s="48"/>
      <c r="AJ34" s="84"/>
      <c r="AK34" s="81">
        <f t="shared" si="8"/>
        <v>0</v>
      </c>
      <c r="AL34" s="79">
        <f t="shared" si="9"/>
        <v>0</v>
      </c>
      <c r="AM34" s="48"/>
      <c r="AN34" s="84"/>
      <c r="AO34" s="81">
        <f t="shared" si="10"/>
        <v>0</v>
      </c>
      <c r="AP34" s="79">
        <f t="shared" si="11"/>
        <v>0</v>
      </c>
      <c r="AQ34" s="48"/>
      <c r="AR34" s="84"/>
      <c r="AS34" s="81">
        <f t="shared" si="12"/>
        <v>0</v>
      </c>
      <c r="AT34" s="79">
        <f t="shared" si="13"/>
        <v>0</v>
      </c>
      <c r="AU34" s="49"/>
      <c r="AV34" s="84"/>
      <c r="AW34" s="81">
        <f t="shared" si="14"/>
        <v>0</v>
      </c>
      <c r="AX34" s="79">
        <f t="shared" si="15"/>
        <v>0</v>
      </c>
      <c r="AY34" s="49"/>
      <c r="AZ34" s="84"/>
      <c r="BA34" s="81">
        <f t="shared" si="16"/>
        <v>0</v>
      </c>
      <c r="BB34" s="79">
        <f t="shared" si="17"/>
        <v>0</v>
      </c>
      <c r="BC34" s="49"/>
      <c r="BD34" s="84"/>
      <c r="BE34" s="81">
        <f t="shared" si="18"/>
        <v>0</v>
      </c>
      <c r="BF34" s="79">
        <f t="shared" si="19"/>
        <v>0</v>
      </c>
      <c r="BG34" s="49"/>
      <c r="BH34" s="84"/>
      <c r="BI34" s="81">
        <f t="shared" si="20"/>
        <v>0</v>
      </c>
      <c r="BJ34" s="79">
        <f t="shared" si="21"/>
        <v>0</v>
      </c>
      <c r="BK34" s="49"/>
      <c r="BL34" s="84"/>
      <c r="BM34" s="81">
        <f t="shared" si="22"/>
        <v>0</v>
      </c>
      <c r="BN34" s="79">
        <f t="shared" si="23"/>
        <v>0</v>
      </c>
      <c r="BO34" s="49"/>
      <c r="BP34" s="84"/>
      <c r="BQ34" s="81">
        <f t="shared" si="24"/>
        <v>0</v>
      </c>
      <c r="BR34" s="79">
        <f t="shared" si="25"/>
        <v>0</v>
      </c>
      <c r="BS34" s="49"/>
      <c r="BT34" s="84"/>
      <c r="BU34" s="81">
        <f t="shared" si="26"/>
        <v>0</v>
      </c>
      <c r="BV34" s="79">
        <f t="shared" si="27"/>
        <v>0</v>
      </c>
      <c r="BW34" s="48"/>
      <c r="BX34" s="84"/>
      <c r="BY34" s="81">
        <f t="shared" si="28"/>
        <v>0</v>
      </c>
      <c r="BZ34" s="79">
        <f t="shared" si="29"/>
        <v>0</v>
      </c>
      <c r="CA34" s="48"/>
      <c r="CB34" s="84"/>
      <c r="CC34" s="81">
        <f t="shared" si="30"/>
        <v>0</v>
      </c>
      <c r="CD34" s="79">
        <f t="shared" si="31"/>
        <v>0</v>
      </c>
      <c r="CE34" s="49"/>
      <c r="CF34" s="84"/>
      <c r="CG34" s="81">
        <f t="shared" si="32"/>
        <v>0</v>
      </c>
      <c r="CH34" s="79">
        <f t="shared" si="33"/>
        <v>0</v>
      </c>
      <c r="CI34" s="33"/>
      <c r="CJ34" s="84"/>
      <c r="CK34" s="81">
        <f t="shared" si="34"/>
        <v>0</v>
      </c>
      <c r="CL34" s="79">
        <f t="shared" si="35"/>
        <v>0</v>
      </c>
      <c r="CM34" s="34"/>
      <c r="CN34" s="34"/>
      <c r="CO34" s="34"/>
      <c r="CP34" s="34"/>
      <c r="CQ34" s="50">
        <f t="shared" si="36"/>
        <v>1</v>
      </c>
      <c r="CR34" s="77">
        <f t="shared" si="37"/>
        <v>0</v>
      </c>
      <c r="CS34" s="28"/>
    </row>
    <row r="35" spans="1:97" s="1" customFormat="1">
      <c r="A35" s="30" t="s">
        <v>141</v>
      </c>
      <c r="B35" s="47"/>
      <c r="C35" s="63" t="s">
        <v>120</v>
      </c>
      <c r="D35" s="32"/>
      <c r="E35" s="32"/>
      <c r="F35" s="87"/>
      <c r="G35" s="48"/>
      <c r="H35" s="84"/>
      <c r="I35" s="80">
        <f t="shared" si="38"/>
        <v>0</v>
      </c>
      <c r="J35" s="79">
        <f t="shared" si="39"/>
        <v>0</v>
      </c>
      <c r="K35" s="49">
        <v>5760</v>
      </c>
      <c r="L35" s="84"/>
      <c r="M35" s="81">
        <f t="shared" si="44"/>
        <v>0</v>
      </c>
      <c r="N35" s="79">
        <f t="shared" si="1"/>
        <v>0</v>
      </c>
      <c r="O35" s="48"/>
      <c r="P35" s="84"/>
      <c r="Q35" s="81">
        <f t="shared" si="2"/>
        <v>0</v>
      </c>
      <c r="R35" s="79">
        <f t="shared" si="40"/>
        <v>0</v>
      </c>
      <c r="S35" s="49"/>
      <c r="T35" s="84"/>
      <c r="U35" s="81">
        <f t="shared" si="3"/>
        <v>0</v>
      </c>
      <c r="V35" s="79">
        <f t="shared" si="4"/>
        <v>0</v>
      </c>
      <c r="W35" s="49"/>
      <c r="X35" s="84"/>
      <c r="Y35" s="81">
        <f t="shared" si="41"/>
        <v>0</v>
      </c>
      <c r="Z35" s="79">
        <f t="shared" si="5"/>
        <v>0</v>
      </c>
      <c r="AA35" s="49"/>
      <c r="AB35" s="84"/>
      <c r="AC35" s="81">
        <f t="shared" si="42"/>
        <v>0</v>
      </c>
      <c r="AD35" s="79">
        <f t="shared" si="6"/>
        <v>0</v>
      </c>
      <c r="AE35" s="49"/>
      <c r="AF35" s="84"/>
      <c r="AG35" s="81">
        <f t="shared" si="43"/>
        <v>0</v>
      </c>
      <c r="AH35" s="79">
        <f t="shared" si="7"/>
        <v>0</v>
      </c>
      <c r="AI35" s="48"/>
      <c r="AJ35" s="84"/>
      <c r="AK35" s="81">
        <f t="shared" si="8"/>
        <v>0</v>
      </c>
      <c r="AL35" s="79">
        <f t="shared" si="9"/>
        <v>0</v>
      </c>
      <c r="AM35" s="48">
        <v>960</v>
      </c>
      <c r="AN35" s="84"/>
      <c r="AO35" s="81">
        <f t="shared" si="10"/>
        <v>0</v>
      </c>
      <c r="AP35" s="79">
        <f t="shared" si="11"/>
        <v>0</v>
      </c>
      <c r="AQ35" s="48"/>
      <c r="AR35" s="84"/>
      <c r="AS35" s="81">
        <f t="shared" si="12"/>
        <v>0</v>
      </c>
      <c r="AT35" s="79">
        <f t="shared" si="13"/>
        <v>0</v>
      </c>
      <c r="AU35" s="49"/>
      <c r="AV35" s="84"/>
      <c r="AW35" s="81">
        <f t="shared" si="14"/>
        <v>0</v>
      </c>
      <c r="AX35" s="79">
        <f t="shared" si="15"/>
        <v>0</v>
      </c>
      <c r="AY35" s="49"/>
      <c r="AZ35" s="84"/>
      <c r="BA35" s="81">
        <f t="shared" si="16"/>
        <v>0</v>
      </c>
      <c r="BB35" s="79">
        <f t="shared" si="17"/>
        <v>0</v>
      </c>
      <c r="BC35" s="49"/>
      <c r="BD35" s="84"/>
      <c r="BE35" s="81">
        <f t="shared" si="18"/>
        <v>0</v>
      </c>
      <c r="BF35" s="79">
        <f t="shared" si="19"/>
        <v>0</v>
      </c>
      <c r="BG35" s="49"/>
      <c r="BH35" s="84"/>
      <c r="BI35" s="81">
        <f t="shared" si="20"/>
        <v>0</v>
      </c>
      <c r="BJ35" s="79">
        <f t="shared" si="21"/>
        <v>0</v>
      </c>
      <c r="BK35" s="49"/>
      <c r="BL35" s="84"/>
      <c r="BM35" s="81">
        <f t="shared" si="22"/>
        <v>0</v>
      </c>
      <c r="BN35" s="79">
        <f t="shared" si="23"/>
        <v>0</v>
      </c>
      <c r="BO35" s="49"/>
      <c r="BP35" s="84"/>
      <c r="BQ35" s="81">
        <f t="shared" si="24"/>
        <v>0</v>
      </c>
      <c r="BR35" s="79">
        <f t="shared" si="25"/>
        <v>0</v>
      </c>
      <c r="BS35" s="49"/>
      <c r="BT35" s="84"/>
      <c r="BU35" s="81">
        <f t="shared" si="26"/>
        <v>0</v>
      </c>
      <c r="BV35" s="79">
        <f t="shared" si="27"/>
        <v>0</v>
      </c>
      <c r="BW35" s="48"/>
      <c r="BX35" s="84"/>
      <c r="BY35" s="81">
        <f t="shared" si="28"/>
        <v>0</v>
      </c>
      <c r="BZ35" s="79">
        <f t="shared" si="29"/>
        <v>0</v>
      </c>
      <c r="CA35" s="48"/>
      <c r="CB35" s="84"/>
      <c r="CC35" s="81">
        <f t="shared" si="30"/>
        <v>0</v>
      </c>
      <c r="CD35" s="79">
        <f t="shared" si="31"/>
        <v>0</v>
      </c>
      <c r="CE35" s="49"/>
      <c r="CF35" s="84"/>
      <c r="CG35" s="81">
        <f t="shared" si="32"/>
        <v>0</v>
      </c>
      <c r="CH35" s="79">
        <f t="shared" si="33"/>
        <v>0</v>
      </c>
      <c r="CI35" s="33"/>
      <c r="CJ35" s="84"/>
      <c r="CK35" s="81">
        <f t="shared" si="34"/>
        <v>0</v>
      </c>
      <c r="CL35" s="79">
        <f t="shared" si="35"/>
        <v>0</v>
      </c>
      <c r="CM35" s="34"/>
      <c r="CN35" s="34"/>
      <c r="CO35" s="34"/>
      <c r="CP35" s="34"/>
      <c r="CQ35" s="50">
        <f t="shared" si="36"/>
        <v>1</v>
      </c>
      <c r="CR35" s="77">
        <f t="shared" si="37"/>
        <v>0</v>
      </c>
      <c r="CS35" s="28"/>
    </row>
    <row r="36" spans="1:97" s="1" customFormat="1">
      <c r="A36" s="30" t="s">
        <v>141</v>
      </c>
      <c r="B36" s="47"/>
      <c r="C36" s="31" t="s">
        <v>121</v>
      </c>
      <c r="D36" s="32"/>
      <c r="E36" s="32"/>
      <c r="F36" s="87"/>
      <c r="G36" s="48">
        <v>1920</v>
      </c>
      <c r="H36" s="84"/>
      <c r="I36" s="80">
        <f t="shared" si="38"/>
        <v>0</v>
      </c>
      <c r="J36" s="79">
        <f t="shared" si="39"/>
        <v>0</v>
      </c>
      <c r="K36" s="49"/>
      <c r="L36" s="84"/>
      <c r="M36" s="81">
        <f t="shared" si="44"/>
        <v>0</v>
      </c>
      <c r="N36" s="79">
        <f t="shared" si="1"/>
        <v>0</v>
      </c>
      <c r="O36" s="48"/>
      <c r="P36" s="84"/>
      <c r="Q36" s="81">
        <f t="shared" si="2"/>
        <v>0</v>
      </c>
      <c r="R36" s="79">
        <f t="shared" si="40"/>
        <v>0</v>
      </c>
      <c r="S36" s="49"/>
      <c r="T36" s="84"/>
      <c r="U36" s="81">
        <f t="shared" si="3"/>
        <v>0</v>
      </c>
      <c r="V36" s="79">
        <f t="shared" si="4"/>
        <v>0</v>
      </c>
      <c r="W36" s="49"/>
      <c r="X36" s="84"/>
      <c r="Y36" s="81">
        <f t="shared" si="41"/>
        <v>0</v>
      </c>
      <c r="Z36" s="79">
        <f t="shared" si="5"/>
        <v>0</v>
      </c>
      <c r="AA36" s="49"/>
      <c r="AB36" s="84"/>
      <c r="AC36" s="81">
        <f t="shared" si="42"/>
        <v>0</v>
      </c>
      <c r="AD36" s="79">
        <f t="shared" si="6"/>
        <v>0</v>
      </c>
      <c r="AE36" s="49"/>
      <c r="AF36" s="84"/>
      <c r="AG36" s="81">
        <f t="shared" si="43"/>
        <v>0</v>
      </c>
      <c r="AH36" s="79">
        <f t="shared" si="7"/>
        <v>0</v>
      </c>
      <c r="AI36" s="48"/>
      <c r="AJ36" s="84"/>
      <c r="AK36" s="81">
        <f t="shared" si="8"/>
        <v>0</v>
      </c>
      <c r="AL36" s="79">
        <f t="shared" si="9"/>
        <v>0</v>
      </c>
      <c r="AM36" s="48"/>
      <c r="AN36" s="84"/>
      <c r="AO36" s="81">
        <f t="shared" si="10"/>
        <v>0</v>
      </c>
      <c r="AP36" s="79">
        <f t="shared" si="11"/>
        <v>0</v>
      </c>
      <c r="AQ36" s="48"/>
      <c r="AR36" s="84"/>
      <c r="AS36" s="81">
        <f t="shared" si="12"/>
        <v>0</v>
      </c>
      <c r="AT36" s="79">
        <f t="shared" si="13"/>
        <v>0</v>
      </c>
      <c r="AU36" s="49"/>
      <c r="AV36" s="84"/>
      <c r="AW36" s="81">
        <f t="shared" si="14"/>
        <v>0</v>
      </c>
      <c r="AX36" s="79">
        <f t="shared" si="15"/>
        <v>0</v>
      </c>
      <c r="AY36" s="49"/>
      <c r="AZ36" s="84"/>
      <c r="BA36" s="81">
        <f t="shared" si="16"/>
        <v>0</v>
      </c>
      <c r="BB36" s="79">
        <f t="shared" si="17"/>
        <v>0</v>
      </c>
      <c r="BC36" s="49"/>
      <c r="BD36" s="84"/>
      <c r="BE36" s="81">
        <f t="shared" si="18"/>
        <v>0</v>
      </c>
      <c r="BF36" s="79">
        <f t="shared" si="19"/>
        <v>0</v>
      </c>
      <c r="BG36" s="49"/>
      <c r="BH36" s="84"/>
      <c r="BI36" s="81">
        <f t="shared" si="20"/>
        <v>0</v>
      </c>
      <c r="BJ36" s="79">
        <f t="shared" si="21"/>
        <v>0</v>
      </c>
      <c r="BK36" s="49"/>
      <c r="BL36" s="84"/>
      <c r="BM36" s="81">
        <f t="shared" si="22"/>
        <v>0</v>
      </c>
      <c r="BN36" s="79">
        <f t="shared" si="23"/>
        <v>0</v>
      </c>
      <c r="BO36" s="49"/>
      <c r="BP36" s="84"/>
      <c r="BQ36" s="81">
        <f t="shared" si="24"/>
        <v>0</v>
      </c>
      <c r="BR36" s="79">
        <f t="shared" si="25"/>
        <v>0</v>
      </c>
      <c r="BS36" s="49"/>
      <c r="BT36" s="84"/>
      <c r="BU36" s="81">
        <f t="shared" si="26"/>
        <v>0</v>
      </c>
      <c r="BV36" s="79">
        <f t="shared" si="27"/>
        <v>0</v>
      </c>
      <c r="BW36" s="48"/>
      <c r="BX36" s="84"/>
      <c r="BY36" s="81">
        <f t="shared" si="28"/>
        <v>0</v>
      </c>
      <c r="BZ36" s="79">
        <f t="shared" si="29"/>
        <v>0</v>
      </c>
      <c r="CA36" s="48"/>
      <c r="CB36" s="84"/>
      <c r="CC36" s="81">
        <f t="shared" si="30"/>
        <v>0</v>
      </c>
      <c r="CD36" s="79">
        <f t="shared" si="31"/>
        <v>0</v>
      </c>
      <c r="CE36" s="49"/>
      <c r="CF36" s="84"/>
      <c r="CG36" s="81">
        <f t="shared" si="32"/>
        <v>0</v>
      </c>
      <c r="CH36" s="79">
        <f t="shared" si="33"/>
        <v>0</v>
      </c>
      <c r="CI36" s="33"/>
      <c r="CJ36" s="84"/>
      <c r="CK36" s="81">
        <f t="shared" si="34"/>
        <v>0</v>
      </c>
      <c r="CL36" s="79">
        <f t="shared" si="35"/>
        <v>0</v>
      </c>
      <c r="CM36" s="34"/>
      <c r="CN36" s="34"/>
      <c r="CO36" s="34"/>
      <c r="CP36" s="34"/>
      <c r="CQ36" s="50">
        <f t="shared" si="36"/>
        <v>1</v>
      </c>
      <c r="CR36" s="77">
        <f t="shared" si="37"/>
        <v>0</v>
      </c>
      <c r="CS36" s="28"/>
    </row>
    <row r="37" spans="1:97" s="1" customFormat="1">
      <c r="A37" s="30" t="s">
        <v>141</v>
      </c>
      <c r="B37" s="47"/>
      <c r="C37" s="36" t="s">
        <v>123</v>
      </c>
      <c r="D37" s="32"/>
      <c r="E37" s="32"/>
      <c r="F37" s="87"/>
      <c r="G37" s="48">
        <v>5760</v>
      </c>
      <c r="H37" s="84"/>
      <c r="I37" s="80">
        <f t="shared" si="38"/>
        <v>0</v>
      </c>
      <c r="J37" s="79">
        <f t="shared" si="39"/>
        <v>0</v>
      </c>
      <c r="K37" s="49">
        <v>960</v>
      </c>
      <c r="L37" s="84"/>
      <c r="M37" s="81">
        <f t="shared" si="44"/>
        <v>0</v>
      </c>
      <c r="N37" s="79">
        <f t="shared" si="1"/>
        <v>0</v>
      </c>
      <c r="O37" s="48"/>
      <c r="P37" s="84"/>
      <c r="Q37" s="81">
        <f t="shared" si="2"/>
        <v>0</v>
      </c>
      <c r="R37" s="79">
        <f t="shared" si="40"/>
        <v>0</v>
      </c>
      <c r="S37" s="49"/>
      <c r="T37" s="84"/>
      <c r="U37" s="81">
        <f t="shared" si="3"/>
        <v>0</v>
      </c>
      <c r="V37" s="79">
        <f t="shared" si="4"/>
        <v>0</v>
      </c>
      <c r="W37" s="49"/>
      <c r="X37" s="84"/>
      <c r="Y37" s="81">
        <f t="shared" si="41"/>
        <v>0</v>
      </c>
      <c r="Z37" s="79">
        <f t="shared" si="5"/>
        <v>0</v>
      </c>
      <c r="AA37" s="49"/>
      <c r="AB37" s="84"/>
      <c r="AC37" s="81">
        <f t="shared" si="42"/>
        <v>0</v>
      </c>
      <c r="AD37" s="79">
        <f t="shared" si="6"/>
        <v>0</v>
      </c>
      <c r="AE37" s="49"/>
      <c r="AF37" s="84"/>
      <c r="AG37" s="81">
        <f t="shared" si="43"/>
        <v>0</v>
      </c>
      <c r="AH37" s="79">
        <f t="shared" si="7"/>
        <v>0</v>
      </c>
      <c r="AI37" s="48">
        <v>960</v>
      </c>
      <c r="AJ37" s="84"/>
      <c r="AK37" s="81">
        <f t="shared" si="8"/>
        <v>0</v>
      </c>
      <c r="AL37" s="79">
        <f t="shared" si="9"/>
        <v>0</v>
      </c>
      <c r="AM37" s="48"/>
      <c r="AN37" s="84"/>
      <c r="AO37" s="81">
        <f t="shared" si="10"/>
        <v>0</v>
      </c>
      <c r="AP37" s="79">
        <f t="shared" si="11"/>
        <v>0</v>
      </c>
      <c r="AQ37" s="48"/>
      <c r="AR37" s="84"/>
      <c r="AS37" s="81">
        <f t="shared" si="12"/>
        <v>0</v>
      </c>
      <c r="AT37" s="79">
        <f t="shared" si="13"/>
        <v>0</v>
      </c>
      <c r="AU37" s="49"/>
      <c r="AV37" s="84"/>
      <c r="AW37" s="81">
        <f t="shared" si="14"/>
        <v>0</v>
      </c>
      <c r="AX37" s="79">
        <f t="shared" si="15"/>
        <v>0</v>
      </c>
      <c r="AY37" s="49"/>
      <c r="AZ37" s="84"/>
      <c r="BA37" s="81">
        <f t="shared" si="16"/>
        <v>0</v>
      </c>
      <c r="BB37" s="79">
        <f t="shared" si="17"/>
        <v>0</v>
      </c>
      <c r="BC37" s="49"/>
      <c r="BD37" s="84"/>
      <c r="BE37" s="81">
        <f t="shared" si="18"/>
        <v>0</v>
      </c>
      <c r="BF37" s="79">
        <f t="shared" si="19"/>
        <v>0</v>
      </c>
      <c r="BG37" s="49"/>
      <c r="BH37" s="84"/>
      <c r="BI37" s="81">
        <f t="shared" si="20"/>
        <v>0</v>
      </c>
      <c r="BJ37" s="79">
        <f t="shared" si="21"/>
        <v>0</v>
      </c>
      <c r="BK37" s="49"/>
      <c r="BL37" s="84"/>
      <c r="BM37" s="81">
        <f t="shared" si="22"/>
        <v>0</v>
      </c>
      <c r="BN37" s="79">
        <f t="shared" si="23"/>
        <v>0</v>
      </c>
      <c r="BO37" s="49"/>
      <c r="BP37" s="84"/>
      <c r="BQ37" s="81">
        <f t="shared" si="24"/>
        <v>0</v>
      </c>
      <c r="BR37" s="79">
        <f t="shared" si="25"/>
        <v>0</v>
      </c>
      <c r="BS37" s="49"/>
      <c r="BT37" s="84"/>
      <c r="BU37" s="81">
        <f t="shared" si="26"/>
        <v>0</v>
      </c>
      <c r="BV37" s="79">
        <f t="shared" si="27"/>
        <v>0</v>
      </c>
      <c r="BW37" s="48"/>
      <c r="BX37" s="84"/>
      <c r="BY37" s="81">
        <f t="shared" si="28"/>
        <v>0</v>
      </c>
      <c r="BZ37" s="79">
        <f t="shared" si="29"/>
        <v>0</v>
      </c>
      <c r="CA37" s="48"/>
      <c r="CB37" s="84"/>
      <c r="CC37" s="81">
        <f t="shared" si="30"/>
        <v>0</v>
      </c>
      <c r="CD37" s="79">
        <f t="shared" si="31"/>
        <v>0</v>
      </c>
      <c r="CE37" s="49"/>
      <c r="CF37" s="84"/>
      <c r="CG37" s="81">
        <f t="shared" si="32"/>
        <v>0</v>
      </c>
      <c r="CH37" s="79">
        <f t="shared" si="33"/>
        <v>0</v>
      </c>
      <c r="CI37" s="33"/>
      <c r="CJ37" s="84"/>
      <c r="CK37" s="81">
        <f t="shared" si="34"/>
        <v>0</v>
      </c>
      <c r="CL37" s="79">
        <f t="shared" si="35"/>
        <v>0</v>
      </c>
      <c r="CM37" s="34"/>
      <c r="CN37" s="34"/>
      <c r="CO37" s="34"/>
      <c r="CP37" s="34"/>
      <c r="CQ37" s="50">
        <f t="shared" si="36"/>
        <v>1</v>
      </c>
      <c r="CR37" s="77">
        <f t="shared" si="37"/>
        <v>0</v>
      </c>
      <c r="CS37" s="28"/>
    </row>
    <row r="38" spans="1:97" s="1" customFormat="1">
      <c r="A38" s="30" t="s">
        <v>142</v>
      </c>
      <c r="B38" s="47"/>
      <c r="C38" s="31" t="s">
        <v>143</v>
      </c>
      <c r="D38" s="32"/>
      <c r="E38" s="32"/>
      <c r="F38" s="87"/>
      <c r="G38" s="48"/>
      <c r="H38" s="84"/>
      <c r="I38" s="80">
        <f t="shared" si="38"/>
        <v>0</v>
      </c>
      <c r="J38" s="79">
        <f t="shared" si="39"/>
        <v>0</v>
      </c>
      <c r="K38" s="49"/>
      <c r="L38" s="84"/>
      <c r="M38" s="81">
        <f t="shared" si="44"/>
        <v>0</v>
      </c>
      <c r="N38" s="79">
        <f t="shared" si="1"/>
        <v>0</v>
      </c>
      <c r="O38" s="48"/>
      <c r="P38" s="84"/>
      <c r="Q38" s="81">
        <f t="shared" si="2"/>
        <v>0</v>
      </c>
      <c r="R38" s="79">
        <f t="shared" si="40"/>
        <v>0</v>
      </c>
      <c r="S38" s="49"/>
      <c r="T38" s="84"/>
      <c r="U38" s="81">
        <f t="shared" si="3"/>
        <v>0</v>
      </c>
      <c r="V38" s="79">
        <f t="shared" si="4"/>
        <v>0</v>
      </c>
      <c r="W38" s="49"/>
      <c r="X38" s="84"/>
      <c r="Y38" s="81">
        <f t="shared" si="41"/>
        <v>0</v>
      </c>
      <c r="Z38" s="79">
        <f t="shared" si="5"/>
        <v>0</v>
      </c>
      <c r="AA38" s="49"/>
      <c r="AB38" s="84"/>
      <c r="AC38" s="81">
        <f t="shared" si="42"/>
        <v>0</v>
      </c>
      <c r="AD38" s="79">
        <f t="shared" si="6"/>
        <v>0</v>
      </c>
      <c r="AE38" s="49"/>
      <c r="AF38" s="84"/>
      <c r="AG38" s="81">
        <f t="shared" si="43"/>
        <v>0</v>
      </c>
      <c r="AH38" s="79">
        <f t="shared" si="7"/>
        <v>0</v>
      </c>
      <c r="AI38" s="48"/>
      <c r="AJ38" s="84"/>
      <c r="AK38" s="81">
        <f t="shared" si="8"/>
        <v>0</v>
      </c>
      <c r="AL38" s="79">
        <f t="shared" si="9"/>
        <v>0</v>
      </c>
      <c r="AM38" s="48"/>
      <c r="AN38" s="84"/>
      <c r="AO38" s="81">
        <f t="shared" si="10"/>
        <v>0</v>
      </c>
      <c r="AP38" s="79">
        <f t="shared" si="11"/>
        <v>0</v>
      </c>
      <c r="AQ38" s="48">
        <v>1920</v>
      </c>
      <c r="AR38" s="84"/>
      <c r="AS38" s="81">
        <f t="shared" si="12"/>
        <v>0</v>
      </c>
      <c r="AT38" s="79">
        <f t="shared" si="13"/>
        <v>0</v>
      </c>
      <c r="AU38" s="49"/>
      <c r="AV38" s="84"/>
      <c r="AW38" s="81">
        <f t="shared" si="14"/>
        <v>0</v>
      </c>
      <c r="AX38" s="79">
        <f t="shared" si="15"/>
        <v>0</v>
      </c>
      <c r="AY38" s="49"/>
      <c r="AZ38" s="84"/>
      <c r="BA38" s="81">
        <f t="shared" si="16"/>
        <v>0</v>
      </c>
      <c r="BB38" s="79">
        <f t="shared" si="17"/>
        <v>0</v>
      </c>
      <c r="BC38" s="49"/>
      <c r="BD38" s="84"/>
      <c r="BE38" s="81">
        <f t="shared" si="18"/>
        <v>0</v>
      </c>
      <c r="BF38" s="79">
        <f t="shared" si="19"/>
        <v>0</v>
      </c>
      <c r="BG38" s="49"/>
      <c r="BH38" s="84"/>
      <c r="BI38" s="81">
        <f t="shared" si="20"/>
        <v>0</v>
      </c>
      <c r="BJ38" s="79">
        <f t="shared" si="21"/>
        <v>0</v>
      </c>
      <c r="BK38" s="49"/>
      <c r="BL38" s="84"/>
      <c r="BM38" s="81">
        <f t="shared" si="22"/>
        <v>0</v>
      </c>
      <c r="BN38" s="79">
        <f t="shared" si="23"/>
        <v>0</v>
      </c>
      <c r="BO38" s="49"/>
      <c r="BP38" s="84"/>
      <c r="BQ38" s="81">
        <f t="shared" si="24"/>
        <v>0</v>
      </c>
      <c r="BR38" s="79">
        <f t="shared" si="25"/>
        <v>0</v>
      </c>
      <c r="BS38" s="49"/>
      <c r="BT38" s="84"/>
      <c r="BU38" s="81">
        <f t="shared" si="26"/>
        <v>0</v>
      </c>
      <c r="BV38" s="79">
        <f t="shared" si="27"/>
        <v>0</v>
      </c>
      <c r="BW38" s="48"/>
      <c r="BX38" s="84"/>
      <c r="BY38" s="81">
        <f t="shared" si="28"/>
        <v>0</v>
      </c>
      <c r="BZ38" s="79">
        <f t="shared" si="29"/>
        <v>0</v>
      </c>
      <c r="CA38" s="48"/>
      <c r="CB38" s="84"/>
      <c r="CC38" s="81">
        <f t="shared" si="30"/>
        <v>0</v>
      </c>
      <c r="CD38" s="79">
        <f t="shared" si="31"/>
        <v>0</v>
      </c>
      <c r="CE38" s="49"/>
      <c r="CF38" s="84"/>
      <c r="CG38" s="81">
        <f t="shared" si="32"/>
        <v>0</v>
      </c>
      <c r="CH38" s="79">
        <f t="shared" si="33"/>
        <v>0</v>
      </c>
      <c r="CI38" s="33"/>
      <c r="CJ38" s="84"/>
      <c r="CK38" s="81">
        <f t="shared" si="34"/>
        <v>0</v>
      </c>
      <c r="CL38" s="79">
        <f t="shared" si="35"/>
        <v>0</v>
      </c>
      <c r="CM38" s="34"/>
      <c r="CN38" s="34"/>
      <c r="CO38" s="34"/>
      <c r="CP38" s="34"/>
      <c r="CQ38" s="50">
        <f t="shared" si="36"/>
        <v>1</v>
      </c>
      <c r="CR38" s="77">
        <f t="shared" si="37"/>
        <v>0</v>
      </c>
      <c r="CS38" s="28"/>
    </row>
    <row r="39" spans="1:97" s="1" customFormat="1">
      <c r="A39" s="30" t="s">
        <v>144</v>
      </c>
      <c r="B39" s="47"/>
      <c r="C39" s="63" t="s">
        <v>120</v>
      </c>
      <c r="D39" s="32"/>
      <c r="E39" s="32"/>
      <c r="F39" s="87"/>
      <c r="G39" s="48">
        <v>2880</v>
      </c>
      <c r="H39" s="84"/>
      <c r="I39" s="80">
        <f t="shared" si="38"/>
        <v>0</v>
      </c>
      <c r="J39" s="79">
        <f t="shared" si="39"/>
        <v>0</v>
      </c>
      <c r="K39" s="49"/>
      <c r="L39" s="84"/>
      <c r="M39" s="81">
        <f t="shared" si="44"/>
        <v>0</v>
      </c>
      <c r="N39" s="79">
        <f t="shared" si="1"/>
        <v>0</v>
      </c>
      <c r="O39" s="48"/>
      <c r="P39" s="84"/>
      <c r="Q39" s="81">
        <f t="shared" si="2"/>
        <v>0</v>
      </c>
      <c r="R39" s="79">
        <f t="shared" si="40"/>
        <v>0</v>
      </c>
      <c r="S39" s="49"/>
      <c r="T39" s="84"/>
      <c r="U39" s="81">
        <f t="shared" si="3"/>
        <v>0</v>
      </c>
      <c r="V39" s="79">
        <f t="shared" si="4"/>
        <v>0</v>
      </c>
      <c r="W39" s="49"/>
      <c r="X39" s="84"/>
      <c r="Y39" s="81">
        <f t="shared" si="41"/>
        <v>0</v>
      </c>
      <c r="Z39" s="79">
        <f t="shared" si="5"/>
        <v>0</v>
      </c>
      <c r="AA39" s="49"/>
      <c r="AB39" s="84"/>
      <c r="AC39" s="81">
        <f t="shared" si="42"/>
        <v>0</v>
      </c>
      <c r="AD39" s="79">
        <f t="shared" si="6"/>
        <v>0</v>
      </c>
      <c r="AE39" s="49"/>
      <c r="AF39" s="84"/>
      <c r="AG39" s="81">
        <f t="shared" si="43"/>
        <v>0</v>
      </c>
      <c r="AH39" s="79">
        <f t="shared" si="7"/>
        <v>0</v>
      </c>
      <c r="AI39" s="48"/>
      <c r="AJ39" s="84"/>
      <c r="AK39" s="81">
        <f t="shared" si="8"/>
        <v>0</v>
      </c>
      <c r="AL39" s="79">
        <f t="shared" si="9"/>
        <v>0</v>
      </c>
      <c r="AM39" s="48"/>
      <c r="AN39" s="84"/>
      <c r="AO39" s="81">
        <f t="shared" si="10"/>
        <v>0</v>
      </c>
      <c r="AP39" s="79">
        <f t="shared" si="11"/>
        <v>0</v>
      </c>
      <c r="AQ39" s="48"/>
      <c r="AR39" s="84"/>
      <c r="AS39" s="81">
        <f t="shared" si="12"/>
        <v>0</v>
      </c>
      <c r="AT39" s="79">
        <f t="shared" si="13"/>
        <v>0</v>
      </c>
      <c r="AU39" s="54">
        <v>960</v>
      </c>
      <c r="AV39" s="84"/>
      <c r="AW39" s="81">
        <f t="shared" si="14"/>
        <v>0</v>
      </c>
      <c r="AX39" s="79">
        <f t="shared" si="15"/>
        <v>0</v>
      </c>
      <c r="AY39" s="54">
        <v>960</v>
      </c>
      <c r="AZ39" s="84"/>
      <c r="BA39" s="81">
        <f t="shared" si="16"/>
        <v>0</v>
      </c>
      <c r="BB39" s="79">
        <f t="shared" si="17"/>
        <v>0</v>
      </c>
      <c r="BC39" s="54">
        <v>4800</v>
      </c>
      <c r="BD39" s="84"/>
      <c r="BE39" s="81">
        <f t="shared" si="18"/>
        <v>0</v>
      </c>
      <c r="BF39" s="79">
        <f t="shared" si="19"/>
        <v>0</v>
      </c>
      <c r="BG39" s="49"/>
      <c r="BH39" s="84"/>
      <c r="BI39" s="81">
        <f t="shared" si="20"/>
        <v>0</v>
      </c>
      <c r="BJ39" s="79">
        <f t="shared" si="21"/>
        <v>0</v>
      </c>
      <c r="BK39" s="49"/>
      <c r="BL39" s="84"/>
      <c r="BM39" s="81">
        <f t="shared" si="22"/>
        <v>0</v>
      </c>
      <c r="BN39" s="79">
        <f t="shared" si="23"/>
        <v>0</v>
      </c>
      <c r="BO39" s="49"/>
      <c r="BP39" s="84"/>
      <c r="BQ39" s="81">
        <f t="shared" si="24"/>
        <v>0</v>
      </c>
      <c r="BR39" s="79">
        <f t="shared" si="25"/>
        <v>0</v>
      </c>
      <c r="BS39" s="49"/>
      <c r="BT39" s="84"/>
      <c r="BU39" s="81">
        <f t="shared" si="26"/>
        <v>0</v>
      </c>
      <c r="BV39" s="79">
        <f t="shared" si="27"/>
        <v>0</v>
      </c>
      <c r="BW39" s="48"/>
      <c r="BX39" s="84"/>
      <c r="BY39" s="81">
        <f t="shared" si="28"/>
        <v>0</v>
      </c>
      <c r="BZ39" s="79">
        <f t="shared" si="29"/>
        <v>0</v>
      </c>
      <c r="CA39" s="48"/>
      <c r="CB39" s="84"/>
      <c r="CC39" s="81">
        <f t="shared" si="30"/>
        <v>0</v>
      </c>
      <c r="CD39" s="79">
        <f t="shared" si="31"/>
        <v>0</v>
      </c>
      <c r="CE39" s="49"/>
      <c r="CF39" s="84"/>
      <c r="CG39" s="81">
        <f t="shared" si="32"/>
        <v>0</v>
      </c>
      <c r="CH39" s="79">
        <f t="shared" si="33"/>
        <v>0</v>
      </c>
      <c r="CI39" s="33"/>
      <c r="CJ39" s="84"/>
      <c r="CK39" s="81">
        <f t="shared" si="34"/>
        <v>0</v>
      </c>
      <c r="CL39" s="79">
        <f t="shared" si="35"/>
        <v>0</v>
      </c>
      <c r="CM39" s="34"/>
      <c r="CN39" s="34"/>
      <c r="CO39" s="34"/>
      <c r="CP39" s="34"/>
      <c r="CQ39" s="50">
        <f t="shared" si="36"/>
        <v>1</v>
      </c>
      <c r="CR39" s="77">
        <f t="shared" si="37"/>
        <v>0</v>
      </c>
      <c r="CS39" s="28"/>
    </row>
    <row r="40" spans="1:97" s="1" customFormat="1">
      <c r="A40" s="30" t="s">
        <v>144</v>
      </c>
      <c r="B40" s="47"/>
      <c r="C40" s="31" t="s">
        <v>123</v>
      </c>
      <c r="D40" s="32"/>
      <c r="E40" s="32"/>
      <c r="F40" s="87"/>
      <c r="G40" s="48">
        <v>960</v>
      </c>
      <c r="H40" s="84"/>
      <c r="I40" s="80">
        <f t="shared" si="38"/>
        <v>0</v>
      </c>
      <c r="J40" s="79">
        <f t="shared" si="39"/>
        <v>0</v>
      </c>
      <c r="K40" s="49"/>
      <c r="L40" s="84"/>
      <c r="M40" s="81">
        <f t="shared" si="44"/>
        <v>0</v>
      </c>
      <c r="N40" s="79">
        <f t="shared" si="1"/>
        <v>0</v>
      </c>
      <c r="O40" s="48">
        <v>12480</v>
      </c>
      <c r="P40" s="84"/>
      <c r="Q40" s="81">
        <f t="shared" si="2"/>
        <v>0</v>
      </c>
      <c r="R40" s="79">
        <f t="shared" si="40"/>
        <v>0</v>
      </c>
      <c r="S40" s="49"/>
      <c r="T40" s="84"/>
      <c r="U40" s="81">
        <f t="shared" si="3"/>
        <v>0</v>
      </c>
      <c r="V40" s="79">
        <f t="shared" si="4"/>
        <v>0</v>
      </c>
      <c r="W40" s="49"/>
      <c r="X40" s="84"/>
      <c r="Y40" s="81">
        <f t="shared" si="41"/>
        <v>0</v>
      </c>
      <c r="Z40" s="79">
        <f t="shared" si="5"/>
        <v>0</v>
      </c>
      <c r="AA40" s="49"/>
      <c r="AB40" s="84"/>
      <c r="AC40" s="81">
        <f t="shared" si="42"/>
        <v>0</v>
      </c>
      <c r="AD40" s="79">
        <f t="shared" si="6"/>
        <v>0</v>
      </c>
      <c r="AE40" s="49"/>
      <c r="AF40" s="84"/>
      <c r="AG40" s="81">
        <f t="shared" si="43"/>
        <v>0</v>
      </c>
      <c r="AH40" s="79">
        <f t="shared" si="7"/>
        <v>0</v>
      </c>
      <c r="AI40" s="48">
        <v>2880</v>
      </c>
      <c r="AJ40" s="84"/>
      <c r="AK40" s="81">
        <f t="shared" si="8"/>
        <v>0</v>
      </c>
      <c r="AL40" s="79">
        <f t="shared" si="9"/>
        <v>0</v>
      </c>
      <c r="AM40" s="48"/>
      <c r="AN40" s="84"/>
      <c r="AO40" s="81">
        <f t="shared" si="10"/>
        <v>0</v>
      </c>
      <c r="AP40" s="79">
        <f t="shared" si="11"/>
        <v>0</v>
      </c>
      <c r="AQ40" s="48"/>
      <c r="AR40" s="84"/>
      <c r="AS40" s="81">
        <f t="shared" si="12"/>
        <v>0</v>
      </c>
      <c r="AT40" s="79">
        <f t="shared" si="13"/>
        <v>0</v>
      </c>
      <c r="AU40" s="49"/>
      <c r="AV40" s="84"/>
      <c r="AW40" s="81">
        <f t="shared" si="14"/>
        <v>0</v>
      </c>
      <c r="AX40" s="79">
        <f t="shared" si="15"/>
        <v>0</v>
      </c>
      <c r="AY40" s="49"/>
      <c r="AZ40" s="84"/>
      <c r="BA40" s="81">
        <f t="shared" si="16"/>
        <v>0</v>
      </c>
      <c r="BB40" s="79">
        <f t="shared" si="17"/>
        <v>0</v>
      </c>
      <c r="BC40" s="49"/>
      <c r="BD40" s="84"/>
      <c r="BE40" s="81">
        <f t="shared" si="18"/>
        <v>0</v>
      </c>
      <c r="BF40" s="79">
        <f t="shared" si="19"/>
        <v>0</v>
      </c>
      <c r="BG40" s="49"/>
      <c r="BH40" s="84"/>
      <c r="BI40" s="81">
        <f t="shared" si="20"/>
        <v>0</v>
      </c>
      <c r="BJ40" s="79">
        <f t="shared" si="21"/>
        <v>0</v>
      </c>
      <c r="BK40" s="49"/>
      <c r="BL40" s="84"/>
      <c r="BM40" s="81">
        <f t="shared" si="22"/>
        <v>0</v>
      </c>
      <c r="BN40" s="79">
        <f t="shared" si="23"/>
        <v>0</v>
      </c>
      <c r="BO40" s="49"/>
      <c r="BP40" s="84"/>
      <c r="BQ40" s="81">
        <f t="shared" si="24"/>
        <v>0</v>
      </c>
      <c r="BR40" s="79">
        <f t="shared" si="25"/>
        <v>0</v>
      </c>
      <c r="BS40" s="49"/>
      <c r="BT40" s="84"/>
      <c r="BU40" s="81">
        <f t="shared" si="26"/>
        <v>0</v>
      </c>
      <c r="BV40" s="79">
        <f t="shared" si="27"/>
        <v>0</v>
      </c>
      <c r="BW40" s="48"/>
      <c r="BX40" s="84"/>
      <c r="BY40" s="81">
        <f t="shared" si="28"/>
        <v>0</v>
      </c>
      <c r="BZ40" s="79">
        <f t="shared" si="29"/>
        <v>0</v>
      </c>
      <c r="CA40" s="48"/>
      <c r="CB40" s="84"/>
      <c r="CC40" s="81">
        <f t="shared" si="30"/>
        <v>0</v>
      </c>
      <c r="CD40" s="79">
        <f t="shared" si="31"/>
        <v>0</v>
      </c>
      <c r="CE40" s="49"/>
      <c r="CF40" s="84"/>
      <c r="CG40" s="81">
        <f t="shared" si="32"/>
        <v>0</v>
      </c>
      <c r="CH40" s="79">
        <f t="shared" si="33"/>
        <v>0</v>
      </c>
      <c r="CI40" s="33"/>
      <c r="CJ40" s="84"/>
      <c r="CK40" s="81">
        <f t="shared" si="34"/>
        <v>0</v>
      </c>
      <c r="CL40" s="79">
        <f t="shared" si="35"/>
        <v>0</v>
      </c>
      <c r="CM40" s="34"/>
      <c r="CN40" s="34"/>
      <c r="CO40" s="34"/>
      <c r="CP40" s="34"/>
      <c r="CQ40" s="50">
        <f t="shared" si="36"/>
        <v>1</v>
      </c>
      <c r="CR40" s="77">
        <f t="shared" si="37"/>
        <v>0</v>
      </c>
      <c r="CS40" s="28"/>
    </row>
    <row r="41" spans="1:97" s="1" customFormat="1">
      <c r="A41" s="30" t="s">
        <v>145</v>
      </c>
      <c r="B41" s="47"/>
      <c r="C41" s="31" t="s">
        <v>121</v>
      </c>
      <c r="D41" s="32"/>
      <c r="E41" s="32"/>
      <c r="F41" s="87"/>
      <c r="G41" s="48"/>
      <c r="H41" s="84"/>
      <c r="I41" s="80">
        <f t="shared" si="38"/>
        <v>0</v>
      </c>
      <c r="J41" s="79">
        <f t="shared" si="39"/>
        <v>0</v>
      </c>
      <c r="K41" s="49"/>
      <c r="L41" s="84"/>
      <c r="M41" s="81">
        <f t="shared" si="44"/>
        <v>0</v>
      </c>
      <c r="N41" s="79">
        <f t="shared" si="1"/>
        <v>0</v>
      </c>
      <c r="O41" s="48">
        <v>5760</v>
      </c>
      <c r="P41" s="84"/>
      <c r="Q41" s="81">
        <f t="shared" si="2"/>
        <v>0</v>
      </c>
      <c r="R41" s="79">
        <f t="shared" si="40"/>
        <v>0</v>
      </c>
      <c r="S41" s="49"/>
      <c r="T41" s="84"/>
      <c r="U41" s="81">
        <f t="shared" si="3"/>
        <v>0</v>
      </c>
      <c r="V41" s="79">
        <f t="shared" si="4"/>
        <v>0</v>
      </c>
      <c r="W41" s="49"/>
      <c r="X41" s="84"/>
      <c r="Y41" s="81">
        <f t="shared" si="41"/>
        <v>0</v>
      </c>
      <c r="Z41" s="79">
        <f t="shared" si="5"/>
        <v>0</v>
      </c>
      <c r="AA41" s="49"/>
      <c r="AB41" s="84"/>
      <c r="AC41" s="81">
        <f t="shared" si="42"/>
        <v>0</v>
      </c>
      <c r="AD41" s="79">
        <f t="shared" si="6"/>
        <v>0</v>
      </c>
      <c r="AE41" s="49"/>
      <c r="AF41" s="84"/>
      <c r="AG41" s="81">
        <f t="shared" si="43"/>
        <v>0</v>
      </c>
      <c r="AH41" s="79">
        <f t="shared" si="7"/>
        <v>0</v>
      </c>
      <c r="AI41" s="48"/>
      <c r="AJ41" s="84"/>
      <c r="AK41" s="81">
        <f t="shared" si="8"/>
        <v>0</v>
      </c>
      <c r="AL41" s="79">
        <f t="shared" si="9"/>
        <v>0</v>
      </c>
      <c r="AM41" s="48"/>
      <c r="AN41" s="84"/>
      <c r="AO41" s="81">
        <f t="shared" si="10"/>
        <v>0</v>
      </c>
      <c r="AP41" s="79">
        <f t="shared" si="11"/>
        <v>0</v>
      </c>
      <c r="AQ41" s="48"/>
      <c r="AR41" s="84"/>
      <c r="AS41" s="81">
        <f t="shared" si="12"/>
        <v>0</v>
      </c>
      <c r="AT41" s="79">
        <f t="shared" si="13"/>
        <v>0</v>
      </c>
      <c r="AU41" s="49"/>
      <c r="AV41" s="84"/>
      <c r="AW41" s="81">
        <f t="shared" si="14"/>
        <v>0</v>
      </c>
      <c r="AX41" s="79">
        <f t="shared" si="15"/>
        <v>0</v>
      </c>
      <c r="AY41" s="49"/>
      <c r="AZ41" s="84"/>
      <c r="BA41" s="81">
        <f t="shared" si="16"/>
        <v>0</v>
      </c>
      <c r="BB41" s="79">
        <f t="shared" si="17"/>
        <v>0</v>
      </c>
      <c r="BC41" s="49"/>
      <c r="BD41" s="84"/>
      <c r="BE41" s="81">
        <f t="shared" si="18"/>
        <v>0</v>
      </c>
      <c r="BF41" s="79">
        <f t="shared" si="19"/>
        <v>0</v>
      </c>
      <c r="BG41" s="49"/>
      <c r="BH41" s="84"/>
      <c r="BI41" s="81">
        <f t="shared" si="20"/>
        <v>0</v>
      </c>
      <c r="BJ41" s="79">
        <f t="shared" si="21"/>
        <v>0</v>
      </c>
      <c r="BK41" s="49"/>
      <c r="BL41" s="84"/>
      <c r="BM41" s="81">
        <f t="shared" si="22"/>
        <v>0</v>
      </c>
      <c r="BN41" s="79">
        <f t="shared" si="23"/>
        <v>0</v>
      </c>
      <c r="BO41" s="49"/>
      <c r="BP41" s="84"/>
      <c r="BQ41" s="81">
        <f t="shared" si="24"/>
        <v>0</v>
      </c>
      <c r="BR41" s="79">
        <f t="shared" si="25"/>
        <v>0</v>
      </c>
      <c r="BS41" s="49"/>
      <c r="BT41" s="84"/>
      <c r="BU41" s="81">
        <f t="shared" si="26"/>
        <v>0</v>
      </c>
      <c r="BV41" s="79">
        <f t="shared" si="27"/>
        <v>0</v>
      </c>
      <c r="BW41" s="48"/>
      <c r="BX41" s="84"/>
      <c r="BY41" s="81">
        <f t="shared" si="28"/>
        <v>0</v>
      </c>
      <c r="BZ41" s="79">
        <f t="shared" si="29"/>
        <v>0</v>
      </c>
      <c r="CA41" s="48"/>
      <c r="CB41" s="84"/>
      <c r="CC41" s="81">
        <f t="shared" si="30"/>
        <v>0</v>
      </c>
      <c r="CD41" s="79">
        <f t="shared" si="31"/>
        <v>0</v>
      </c>
      <c r="CE41" s="49">
        <v>960</v>
      </c>
      <c r="CF41" s="84"/>
      <c r="CG41" s="81">
        <f t="shared" si="32"/>
        <v>0</v>
      </c>
      <c r="CH41" s="79">
        <f t="shared" si="33"/>
        <v>0</v>
      </c>
      <c r="CI41" s="33"/>
      <c r="CJ41" s="84"/>
      <c r="CK41" s="81">
        <f t="shared" si="34"/>
        <v>0</v>
      </c>
      <c r="CL41" s="79">
        <f t="shared" si="35"/>
        <v>0</v>
      </c>
      <c r="CM41" s="34"/>
      <c r="CN41" s="34"/>
      <c r="CO41" s="34"/>
      <c r="CP41" s="34"/>
      <c r="CQ41" s="50">
        <f t="shared" si="36"/>
        <v>1</v>
      </c>
      <c r="CR41" s="77">
        <f t="shared" si="37"/>
        <v>0</v>
      </c>
      <c r="CS41" s="28"/>
    </row>
    <row r="42" spans="1:97" s="1" customFormat="1">
      <c r="A42" s="30" t="s">
        <v>146</v>
      </c>
      <c r="B42" s="47"/>
      <c r="C42" s="63" t="s">
        <v>120</v>
      </c>
      <c r="D42" s="32"/>
      <c r="E42" s="32"/>
      <c r="F42" s="87"/>
      <c r="G42" s="48">
        <v>2880</v>
      </c>
      <c r="H42" s="84"/>
      <c r="I42" s="80">
        <f t="shared" si="38"/>
        <v>0</v>
      </c>
      <c r="J42" s="79">
        <f t="shared" si="39"/>
        <v>0</v>
      </c>
      <c r="K42" s="49"/>
      <c r="L42" s="84"/>
      <c r="M42" s="81">
        <f t="shared" si="44"/>
        <v>0</v>
      </c>
      <c r="N42" s="79">
        <f t="shared" si="1"/>
        <v>0</v>
      </c>
      <c r="O42" s="48"/>
      <c r="P42" s="84"/>
      <c r="Q42" s="81">
        <f t="shared" si="2"/>
        <v>0</v>
      </c>
      <c r="R42" s="79">
        <f t="shared" si="40"/>
        <v>0</v>
      </c>
      <c r="S42" s="49"/>
      <c r="T42" s="84"/>
      <c r="U42" s="81">
        <f t="shared" si="3"/>
        <v>0</v>
      </c>
      <c r="V42" s="79">
        <f t="shared" si="4"/>
        <v>0</v>
      </c>
      <c r="W42" s="54">
        <v>960</v>
      </c>
      <c r="X42" s="84"/>
      <c r="Y42" s="81">
        <f t="shared" si="41"/>
        <v>0</v>
      </c>
      <c r="Z42" s="79">
        <f t="shared" si="5"/>
        <v>0</v>
      </c>
      <c r="AA42" s="54"/>
      <c r="AB42" s="84"/>
      <c r="AC42" s="81">
        <f t="shared" si="42"/>
        <v>0</v>
      </c>
      <c r="AD42" s="79">
        <f t="shared" si="6"/>
        <v>0</v>
      </c>
      <c r="AE42" s="54"/>
      <c r="AF42" s="84"/>
      <c r="AG42" s="81">
        <f t="shared" si="43"/>
        <v>0</v>
      </c>
      <c r="AH42" s="79">
        <f t="shared" si="7"/>
        <v>0</v>
      </c>
      <c r="AI42" s="48"/>
      <c r="AJ42" s="84"/>
      <c r="AK42" s="81">
        <f t="shared" si="8"/>
        <v>0</v>
      </c>
      <c r="AL42" s="79">
        <f t="shared" si="9"/>
        <v>0</v>
      </c>
      <c r="AM42" s="48"/>
      <c r="AN42" s="84"/>
      <c r="AO42" s="81">
        <f t="shared" si="10"/>
        <v>0</v>
      </c>
      <c r="AP42" s="79">
        <f t="shared" si="11"/>
        <v>0</v>
      </c>
      <c r="AQ42" s="48"/>
      <c r="AR42" s="84"/>
      <c r="AS42" s="81">
        <f t="shared" si="12"/>
        <v>0</v>
      </c>
      <c r="AT42" s="79">
        <f t="shared" si="13"/>
        <v>0</v>
      </c>
      <c r="AU42" s="49"/>
      <c r="AV42" s="84"/>
      <c r="AW42" s="81">
        <f t="shared" si="14"/>
        <v>0</v>
      </c>
      <c r="AX42" s="79">
        <f t="shared" si="15"/>
        <v>0</v>
      </c>
      <c r="AY42" s="49"/>
      <c r="AZ42" s="84"/>
      <c r="BA42" s="81">
        <f t="shared" si="16"/>
        <v>0</v>
      </c>
      <c r="BB42" s="79">
        <f t="shared" si="17"/>
        <v>0</v>
      </c>
      <c r="BC42" s="49"/>
      <c r="BD42" s="84"/>
      <c r="BE42" s="81">
        <f t="shared" si="18"/>
        <v>0</v>
      </c>
      <c r="BF42" s="79">
        <f t="shared" si="19"/>
        <v>0</v>
      </c>
      <c r="BG42" s="49"/>
      <c r="BH42" s="84"/>
      <c r="BI42" s="81">
        <f t="shared" si="20"/>
        <v>0</v>
      </c>
      <c r="BJ42" s="79">
        <f t="shared" si="21"/>
        <v>0</v>
      </c>
      <c r="BK42" s="49"/>
      <c r="BL42" s="84"/>
      <c r="BM42" s="81">
        <f t="shared" si="22"/>
        <v>0</v>
      </c>
      <c r="BN42" s="79">
        <f t="shared" si="23"/>
        <v>0</v>
      </c>
      <c r="BO42" s="49"/>
      <c r="BP42" s="84"/>
      <c r="BQ42" s="81">
        <f t="shared" si="24"/>
        <v>0</v>
      </c>
      <c r="BR42" s="79">
        <f t="shared" si="25"/>
        <v>0</v>
      </c>
      <c r="BS42" s="49"/>
      <c r="BT42" s="84"/>
      <c r="BU42" s="81">
        <f t="shared" si="26"/>
        <v>0</v>
      </c>
      <c r="BV42" s="79">
        <f t="shared" si="27"/>
        <v>0</v>
      </c>
      <c r="BW42" s="48"/>
      <c r="BX42" s="84"/>
      <c r="BY42" s="81">
        <f t="shared" si="28"/>
        <v>0</v>
      </c>
      <c r="BZ42" s="79">
        <f t="shared" si="29"/>
        <v>0</v>
      </c>
      <c r="CA42" s="48"/>
      <c r="CB42" s="84"/>
      <c r="CC42" s="81">
        <f t="shared" si="30"/>
        <v>0</v>
      </c>
      <c r="CD42" s="79">
        <f t="shared" si="31"/>
        <v>0</v>
      </c>
      <c r="CE42" s="49"/>
      <c r="CF42" s="84"/>
      <c r="CG42" s="81">
        <f t="shared" si="32"/>
        <v>0</v>
      </c>
      <c r="CH42" s="79">
        <f t="shared" si="33"/>
        <v>0</v>
      </c>
      <c r="CI42" s="33"/>
      <c r="CJ42" s="84"/>
      <c r="CK42" s="81">
        <f t="shared" si="34"/>
        <v>0</v>
      </c>
      <c r="CL42" s="79">
        <f t="shared" si="35"/>
        <v>0</v>
      </c>
      <c r="CM42" s="34"/>
      <c r="CN42" s="34"/>
      <c r="CO42" s="34"/>
      <c r="CP42" s="34"/>
      <c r="CQ42" s="50">
        <f t="shared" si="36"/>
        <v>1</v>
      </c>
      <c r="CR42" s="77">
        <f t="shared" si="37"/>
        <v>0</v>
      </c>
      <c r="CS42" s="28"/>
    </row>
    <row r="43" spans="1:97" s="1" customFormat="1">
      <c r="A43" s="30" t="s">
        <v>146</v>
      </c>
      <c r="B43" s="47"/>
      <c r="C43" s="31" t="s">
        <v>121</v>
      </c>
      <c r="D43" s="32"/>
      <c r="E43" s="32"/>
      <c r="F43" s="87"/>
      <c r="G43" s="48">
        <v>960</v>
      </c>
      <c r="H43" s="84"/>
      <c r="I43" s="80">
        <f t="shared" si="38"/>
        <v>0</v>
      </c>
      <c r="J43" s="79">
        <f t="shared" si="39"/>
        <v>0</v>
      </c>
      <c r="K43" s="49"/>
      <c r="L43" s="84"/>
      <c r="M43" s="81">
        <f t="shared" si="44"/>
        <v>0</v>
      </c>
      <c r="N43" s="79">
        <f t="shared" ref="N43:N59" si="45">K43*M43</f>
        <v>0</v>
      </c>
      <c r="O43" s="48">
        <v>2880</v>
      </c>
      <c r="P43" s="84"/>
      <c r="Q43" s="81">
        <f t="shared" ref="Q43:Q59" si="46">P43*CQ43</f>
        <v>0</v>
      </c>
      <c r="R43" s="79">
        <f>O43*Q43</f>
        <v>0</v>
      </c>
      <c r="S43" s="49"/>
      <c r="T43" s="84"/>
      <c r="U43" s="81">
        <f t="shared" ref="U43:U59" si="47">T43*CQ43</f>
        <v>0</v>
      </c>
      <c r="V43" s="79">
        <f t="shared" ref="V43:V59" si="48">S43*U43</f>
        <v>0</v>
      </c>
      <c r="W43" s="49"/>
      <c r="X43" s="84"/>
      <c r="Y43" s="81">
        <f t="shared" si="41"/>
        <v>0</v>
      </c>
      <c r="Z43" s="79">
        <f t="shared" ref="Z43:Z59" si="49">W43*Y43</f>
        <v>0</v>
      </c>
      <c r="AA43" s="49"/>
      <c r="AB43" s="84"/>
      <c r="AC43" s="81">
        <f t="shared" si="42"/>
        <v>0</v>
      </c>
      <c r="AD43" s="79">
        <f t="shared" ref="AD43:AD59" si="50">AA43*AC43</f>
        <v>0</v>
      </c>
      <c r="AE43" s="49"/>
      <c r="AF43" s="84"/>
      <c r="AG43" s="81">
        <f t="shared" si="43"/>
        <v>0</v>
      </c>
      <c r="AH43" s="79">
        <f t="shared" ref="AH43:AH59" si="51">AE43*AG43</f>
        <v>0</v>
      </c>
      <c r="AI43" s="48">
        <v>3840</v>
      </c>
      <c r="AJ43" s="84"/>
      <c r="AK43" s="81">
        <f t="shared" ref="AK43:AK59" si="52">AJ43*CQ43</f>
        <v>0</v>
      </c>
      <c r="AL43" s="79">
        <f t="shared" ref="AL43:AL59" si="53">AI43*AK43</f>
        <v>0</v>
      </c>
      <c r="AM43" s="48"/>
      <c r="AN43" s="84"/>
      <c r="AO43" s="81">
        <f t="shared" ref="AO43:AO59" si="54">AN43*CQ43</f>
        <v>0</v>
      </c>
      <c r="AP43" s="79">
        <f t="shared" ref="AP43:AP59" si="55">AM43*AO43</f>
        <v>0</v>
      </c>
      <c r="AQ43" s="48"/>
      <c r="AR43" s="84"/>
      <c r="AS43" s="81">
        <f t="shared" ref="AS43:AS59" si="56">AR43*CQ43</f>
        <v>0</v>
      </c>
      <c r="AT43" s="79">
        <f t="shared" ref="AT43:AT59" si="57">AQ43*AS43</f>
        <v>0</v>
      </c>
      <c r="AU43" s="49"/>
      <c r="AV43" s="84"/>
      <c r="AW43" s="81">
        <f t="shared" ref="AW43:AW59" si="58">AV43*CQ43</f>
        <v>0</v>
      </c>
      <c r="AX43" s="79">
        <f t="shared" ref="AX43:AX59" si="59">AU43*AW43</f>
        <v>0</v>
      </c>
      <c r="AY43" s="49"/>
      <c r="AZ43" s="84"/>
      <c r="BA43" s="81">
        <f t="shared" ref="BA43:BA59" si="60">AZ43*CQ43</f>
        <v>0</v>
      </c>
      <c r="BB43" s="79">
        <f t="shared" ref="BB43:BB59" si="61">AY43*BA43</f>
        <v>0</v>
      </c>
      <c r="BC43" s="49"/>
      <c r="BD43" s="84"/>
      <c r="BE43" s="81">
        <f t="shared" ref="BE43:BE59" si="62">BD43*CQ43</f>
        <v>0</v>
      </c>
      <c r="BF43" s="79">
        <f t="shared" ref="BF43:BF59" si="63">BC43*BE43</f>
        <v>0</v>
      </c>
      <c r="BG43" s="49"/>
      <c r="BH43" s="84"/>
      <c r="BI43" s="81">
        <f t="shared" ref="BI43:BI59" si="64">BH43*CQ43</f>
        <v>0</v>
      </c>
      <c r="BJ43" s="79">
        <f t="shared" ref="BJ43:BJ59" si="65">BG43*BI43</f>
        <v>0</v>
      </c>
      <c r="BK43" s="49"/>
      <c r="BL43" s="84"/>
      <c r="BM43" s="81">
        <f t="shared" ref="BM43:BM59" si="66">BL43*CQ43</f>
        <v>0</v>
      </c>
      <c r="BN43" s="79">
        <f t="shared" ref="BN43:BN59" si="67">BK43*BM43</f>
        <v>0</v>
      </c>
      <c r="BO43" s="49"/>
      <c r="BP43" s="84"/>
      <c r="BQ43" s="81">
        <f t="shared" ref="BQ43:BQ59" si="68">BP43*CQ43</f>
        <v>0</v>
      </c>
      <c r="BR43" s="79">
        <f t="shared" ref="BR43:BR59" si="69">BO43*BQ43</f>
        <v>0</v>
      </c>
      <c r="BS43" s="49"/>
      <c r="BT43" s="84"/>
      <c r="BU43" s="81">
        <f t="shared" ref="BU43:BU59" si="70">BT43*CQ43</f>
        <v>0</v>
      </c>
      <c r="BV43" s="79">
        <f t="shared" ref="BV43:BV59" si="71">BS43*BU43</f>
        <v>0</v>
      </c>
      <c r="BW43" s="48">
        <v>480</v>
      </c>
      <c r="BX43" s="84"/>
      <c r="BY43" s="81">
        <f t="shared" ref="BY43:BY59" si="72">BX43*CQ43</f>
        <v>0</v>
      </c>
      <c r="BZ43" s="79">
        <f t="shared" ref="BZ43:BZ59" si="73">BW43*BY43</f>
        <v>0</v>
      </c>
      <c r="CA43" s="48"/>
      <c r="CB43" s="84"/>
      <c r="CC43" s="81">
        <f t="shared" ref="CC43:CC59" si="74">CB43*CQ43</f>
        <v>0</v>
      </c>
      <c r="CD43" s="79">
        <f t="shared" ref="CD43:CD59" si="75">CA43*CC43</f>
        <v>0</v>
      </c>
      <c r="CE43" s="49"/>
      <c r="CF43" s="84"/>
      <c r="CG43" s="81">
        <f t="shared" ref="CG43:CG59" si="76">CF43*CQ43</f>
        <v>0</v>
      </c>
      <c r="CH43" s="79">
        <f t="shared" ref="CH43:CH59" si="77">CE43*CG43</f>
        <v>0</v>
      </c>
      <c r="CI43" s="33"/>
      <c r="CJ43" s="84"/>
      <c r="CK43" s="81">
        <f t="shared" ref="CK43:CK59" si="78">CJ43*CQ43</f>
        <v>0</v>
      </c>
      <c r="CL43" s="79">
        <f t="shared" ref="CL43:CL59" si="79">CI43*CK43</f>
        <v>0</v>
      </c>
      <c r="CM43" s="34"/>
      <c r="CN43" s="34"/>
      <c r="CO43" s="34"/>
      <c r="CP43" s="34"/>
      <c r="CQ43" s="50">
        <f t="shared" ref="CQ43:CQ59" si="80">(1+CM43)*(1+CN43)*(1+CO43)*(1+CP43)</f>
        <v>1</v>
      </c>
      <c r="CR43" s="77">
        <f t="shared" ref="CR43:CR59" si="81">J43+N43+R43+V43+Z43+AD43+AH43+AL43+AP43+AT43+AX43+BB43+BF43+BJ43+BN43+BR43+BV43+BZ43+CD43+CH43+CL43</f>
        <v>0</v>
      </c>
      <c r="CS43" s="28"/>
    </row>
    <row r="44" spans="1:97" s="1" customFormat="1">
      <c r="A44" s="30" t="s">
        <v>146</v>
      </c>
      <c r="B44" s="47"/>
      <c r="C44" s="31" t="s">
        <v>123</v>
      </c>
      <c r="D44" s="32"/>
      <c r="E44" s="32"/>
      <c r="F44" s="87"/>
      <c r="G44" s="48">
        <v>960</v>
      </c>
      <c r="H44" s="84"/>
      <c r="I44" s="80">
        <f t="shared" si="38"/>
        <v>0</v>
      </c>
      <c r="J44" s="79">
        <f t="shared" si="39"/>
        <v>0</v>
      </c>
      <c r="K44" s="49"/>
      <c r="L44" s="84"/>
      <c r="M44" s="81">
        <f t="shared" si="44"/>
        <v>0</v>
      </c>
      <c r="N44" s="79">
        <f t="shared" si="45"/>
        <v>0</v>
      </c>
      <c r="O44" s="48">
        <v>23040</v>
      </c>
      <c r="P44" s="84"/>
      <c r="Q44" s="81">
        <f t="shared" si="46"/>
        <v>0</v>
      </c>
      <c r="R44" s="79">
        <f>O44*Q44</f>
        <v>0</v>
      </c>
      <c r="S44" s="49"/>
      <c r="T44" s="84"/>
      <c r="U44" s="81">
        <f t="shared" si="47"/>
        <v>0</v>
      </c>
      <c r="V44" s="79">
        <f t="shared" si="48"/>
        <v>0</v>
      </c>
      <c r="W44" s="49"/>
      <c r="X44" s="84"/>
      <c r="Y44" s="81">
        <f t="shared" si="41"/>
        <v>0</v>
      </c>
      <c r="Z44" s="79">
        <f t="shared" si="49"/>
        <v>0</v>
      </c>
      <c r="AA44" s="54">
        <v>960</v>
      </c>
      <c r="AB44" s="84"/>
      <c r="AC44" s="81">
        <f t="shared" si="42"/>
        <v>0</v>
      </c>
      <c r="AD44" s="79">
        <f t="shared" si="50"/>
        <v>0</v>
      </c>
      <c r="AE44" s="54">
        <v>960</v>
      </c>
      <c r="AF44" s="84"/>
      <c r="AG44" s="81">
        <f t="shared" si="43"/>
        <v>0</v>
      </c>
      <c r="AH44" s="79">
        <f t="shared" si="51"/>
        <v>0</v>
      </c>
      <c r="AI44" s="48">
        <v>6720</v>
      </c>
      <c r="AJ44" s="84"/>
      <c r="AK44" s="81">
        <f t="shared" si="52"/>
        <v>0</v>
      </c>
      <c r="AL44" s="79">
        <f t="shared" si="53"/>
        <v>0</v>
      </c>
      <c r="AM44" s="48"/>
      <c r="AN44" s="84"/>
      <c r="AO44" s="81">
        <f t="shared" si="54"/>
        <v>0</v>
      </c>
      <c r="AP44" s="79">
        <f t="shared" si="55"/>
        <v>0</v>
      </c>
      <c r="AQ44" s="48"/>
      <c r="AR44" s="84"/>
      <c r="AS44" s="81">
        <f t="shared" si="56"/>
        <v>0</v>
      </c>
      <c r="AT44" s="79">
        <f t="shared" si="57"/>
        <v>0</v>
      </c>
      <c r="AU44" s="49"/>
      <c r="AV44" s="84"/>
      <c r="AW44" s="81">
        <f t="shared" si="58"/>
        <v>0</v>
      </c>
      <c r="AX44" s="79">
        <f t="shared" si="59"/>
        <v>0</v>
      </c>
      <c r="AY44" s="49"/>
      <c r="AZ44" s="84"/>
      <c r="BA44" s="81">
        <f t="shared" si="60"/>
        <v>0</v>
      </c>
      <c r="BB44" s="79">
        <f t="shared" si="61"/>
        <v>0</v>
      </c>
      <c r="BC44" s="49"/>
      <c r="BD44" s="84"/>
      <c r="BE44" s="81">
        <f t="shared" si="62"/>
        <v>0</v>
      </c>
      <c r="BF44" s="79">
        <f t="shared" si="63"/>
        <v>0</v>
      </c>
      <c r="BG44" s="54">
        <v>960</v>
      </c>
      <c r="BH44" s="84"/>
      <c r="BI44" s="81">
        <f t="shared" si="64"/>
        <v>0</v>
      </c>
      <c r="BJ44" s="79">
        <f t="shared" si="65"/>
        <v>0</v>
      </c>
      <c r="BK44" s="54">
        <v>960</v>
      </c>
      <c r="BL44" s="84"/>
      <c r="BM44" s="81">
        <f t="shared" si="66"/>
        <v>0</v>
      </c>
      <c r="BN44" s="79">
        <f t="shared" si="67"/>
        <v>0</v>
      </c>
      <c r="BO44" s="54">
        <v>960</v>
      </c>
      <c r="BP44" s="84"/>
      <c r="BQ44" s="81">
        <f t="shared" si="68"/>
        <v>0</v>
      </c>
      <c r="BR44" s="79">
        <f t="shared" si="69"/>
        <v>0</v>
      </c>
      <c r="BS44" s="54">
        <v>960</v>
      </c>
      <c r="BT44" s="84"/>
      <c r="BU44" s="81">
        <f t="shared" si="70"/>
        <v>0</v>
      </c>
      <c r="BV44" s="79">
        <f t="shared" si="71"/>
        <v>0</v>
      </c>
      <c r="BW44" s="48"/>
      <c r="BX44" s="84"/>
      <c r="BY44" s="81">
        <f t="shared" si="72"/>
        <v>0</v>
      </c>
      <c r="BZ44" s="79">
        <f t="shared" si="73"/>
        <v>0</v>
      </c>
      <c r="CA44" s="48"/>
      <c r="CB44" s="84"/>
      <c r="CC44" s="81">
        <f t="shared" si="74"/>
        <v>0</v>
      </c>
      <c r="CD44" s="79">
        <f t="shared" si="75"/>
        <v>0</v>
      </c>
      <c r="CE44" s="49"/>
      <c r="CF44" s="84"/>
      <c r="CG44" s="81">
        <f t="shared" si="76"/>
        <v>0</v>
      </c>
      <c r="CH44" s="79">
        <f t="shared" si="77"/>
        <v>0</v>
      </c>
      <c r="CI44" s="33"/>
      <c r="CJ44" s="84"/>
      <c r="CK44" s="81">
        <f t="shared" si="78"/>
        <v>0</v>
      </c>
      <c r="CL44" s="79">
        <f t="shared" si="79"/>
        <v>0</v>
      </c>
      <c r="CM44" s="34"/>
      <c r="CN44" s="34"/>
      <c r="CO44" s="34"/>
      <c r="CP44" s="34"/>
      <c r="CQ44" s="50">
        <f t="shared" si="80"/>
        <v>1</v>
      </c>
      <c r="CR44" s="77">
        <f t="shared" si="81"/>
        <v>0</v>
      </c>
      <c r="CS44" s="28"/>
    </row>
    <row r="45" spans="1:97" s="1" customFormat="1">
      <c r="A45" s="30" t="s">
        <v>147</v>
      </c>
      <c r="B45" s="47"/>
      <c r="C45" s="63" t="s">
        <v>120</v>
      </c>
      <c r="D45" s="32"/>
      <c r="E45" s="32"/>
      <c r="F45" s="87"/>
      <c r="G45" s="48"/>
      <c r="H45" s="84"/>
      <c r="I45" s="80">
        <f t="shared" si="38"/>
        <v>0</v>
      </c>
      <c r="J45" s="79">
        <f t="shared" si="39"/>
        <v>0</v>
      </c>
      <c r="K45" s="49"/>
      <c r="L45" s="84"/>
      <c r="M45" s="81">
        <f t="shared" si="44"/>
        <v>0</v>
      </c>
      <c r="N45" s="79">
        <f t="shared" si="45"/>
        <v>0</v>
      </c>
      <c r="O45" s="48"/>
      <c r="P45" s="84"/>
      <c r="Q45" s="81">
        <f t="shared" si="46"/>
        <v>0</v>
      </c>
      <c r="R45" s="79">
        <f t="shared" ref="R45:R59" si="82">O45*Q45</f>
        <v>0</v>
      </c>
      <c r="S45" s="54">
        <v>960</v>
      </c>
      <c r="T45" s="89"/>
      <c r="U45" s="81">
        <f t="shared" si="47"/>
        <v>0</v>
      </c>
      <c r="V45" s="79">
        <f t="shared" si="48"/>
        <v>0</v>
      </c>
      <c r="W45" s="49"/>
      <c r="X45" s="89"/>
      <c r="Y45" s="81">
        <f t="shared" si="41"/>
        <v>0</v>
      </c>
      <c r="Z45" s="79">
        <f t="shared" si="49"/>
        <v>0</v>
      </c>
      <c r="AA45" s="49"/>
      <c r="AB45" s="89"/>
      <c r="AC45" s="81">
        <f t="shared" si="42"/>
        <v>0</v>
      </c>
      <c r="AD45" s="79">
        <f t="shared" si="50"/>
        <v>0</v>
      </c>
      <c r="AE45" s="49"/>
      <c r="AF45" s="89"/>
      <c r="AG45" s="81">
        <f t="shared" si="43"/>
        <v>0</v>
      </c>
      <c r="AH45" s="79">
        <f t="shared" si="51"/>
        <v>0</v>
      </c>
      <c r="AI45" s="48"/>
      <c r="AJ45" s="84"/>
      <c r="AK45" s="81">
        <f t="shared" si="52"/>
        <v>0</v>
      </c>
      <c r="AL45" s="79">
        <f t="shared" si="53"/>
        <v>0</v>
      </c>
      <c r="AM45" s="48"/>
      <c r="AN45" s="84"/>
      <c r="AO45" s="81">
        <f t="shared" si="54"/>
        <v>0</v>
      </c>
      <c r="AP45" s="79">
        <f t="shared" si="55"/>
        <v>0</v>
      </c>
      <c r="AQ45" s="48"/>
      <c r="AR45" s="84"/>
      <c r="AS45" s="81">
        <f t="shared" si="56"/>
        <v>0</v>
      </c>
      <c r="AT45" s="79">
        <f t="shared" si="57"/>
        <v>0</v>
      </c>
      <c r="AU45" s="49"/>
      <c r="AV45" s="84"/>
      <c r="AW45" s="81">
        <f t="shared" si="58"/>
        <v>0</v>
      </c>
      <c r="AX45" s="79">
        <f t="shared" si="59"/>
        <v>0</v>
      </c>
      <c r="AY45" s="49"/>
      <c r="AZ45" s="84"/>
      <c r="BA45" s="81">
        <f t="shared" si="60"/>
        <v>0</v>
      </c>
      <c r="BB45" s="79">
        <f t="shared" si="61"/>
        <v>0</v>
      </c>
      <c r="BC45" s="49"/>
      <c r="BD45" s="84"/>
      <c r="BE45" s="81">
        <f t="shared" si="62"/>
        <v>0</v>
      </c>
      <c r="BF45" s="79">
        <f t="shared" si="63"/>
        <v>0</v>
      </c>
      <c r="BG45" s="49"/>
      <c r="BH45" s="84"/>
      <c r="BI45" s="81">
        <f t="shared" si="64"/>
        <v>0</v>
      </c>
      <c r="BJ45" s="79">
        <f t="shared" si="65"/>
        <v>0</v>
      </c>
      <c r="BK45" s="49"/>
      <c r="BL45" s="84"/>
      <c r="BM45" s="81">
        <f t="shared" si="66"/>
        <v>0</v>
      </c>
      <c r="BN45" s="79">
        <f t="shared" si="67"/>
        <v>0</v>
      </c>
      <c r="BO45" s="49"/>
      <c r="BP45" s="84"/>
      <c r="BQ45" s="81">
        <f t="shared" si="68"/>
        <v>0</v>
      </c>
      <c r="BR45" s="79">
        <f t="shared" si="69"/>
        <v>0</v>
      </c>
      <c r="BS45" s="49"/>
      <c r="BT45" s="84"/>
      <c r="BU45" s="81">
        <f t="shared" si="70"/>
        <v>0</v>
      </c>
      <c r="BV45" s="79">
        <f t="shared" si="71"/>
        <v>0</v>
      </c>
      <c r="BW45" s="48"/>
      <c r="BX45" s="84"/>
      <c r="BY45" s="81">
        <f t="shared" si="72"/>
        <v>0</v>
      </c>
      <c r="BZ45" s="79">
        <f t="shared" si="73"/>
        <v>0</v>
      </c>
      <c r="CA45" s="48"/>
      <c r="CB45" s="84"/>
      <c r="CC45" s="81">
        <f t="shared" si="74"/>
        <v>0</v>
      </c>
      <c r="CD45" s="79">
        <f t="shared" si="75"/>
        <v>0</v>
      </c>
      <c r="CE45" s="49"/>
      <c r="CF45" s="84"/>
      <c r="CG45" s="81">
        <f t="shared" si="76"/>
        <v>0</v>
      </c>
      <c r="CH45" s="79">
        <f t="shared" si="77"/>
        <v>0</v>
      </c>
      <c r="CI45" s="33"/>
      <c r="CJ45" s="84"/>
      <c r="CK45" s="81">
        <f t="shared" si="78"/>
        <v>0</v>
      </c>
      <c r="CL45" s="79">
        <f t="shared" si="79"/>
        <v>0</v>
      </c>
      <c r="CM45" s="34"/>
      <c r="CN45" s="34"/>
      <c r="CO45" s="34"/>
      <c r="CP45" s="34"/>
      <c r="CQ45" s="50">
        <f t="shared" si="80"/>
        <v>1</v>
      </c>
      <c r="CR45" s="77">
        <f t="shared" si="81"/>
        <v>0</v>
      </c>
      <c r="CS45" s="28"/>
    </row>
    <row r="46" spans="1:97" s="1" customFormat="1">
      <c r="A46" s="30" t="s">
        <v>148</v>
      </c>
      <c r="B46" s="47"/>
      <c r="C46" s="31" t="s">
        <v>121</v>
      </c>
      <c r="D46" s="32"/>
      <c r="E46" s="32"/>
      <c r="F46" s="87"/>
      <c r="G46" s="48"/>
      <c r="H46" s="84"/>
      <c r="I46" s="80">
        <f t="shared" si="38"/>
        <v>0</v>
      </c>
      <c r="J46" s="79">
        <f t="shared" si="39"/>
        <v>0</v>
      </c>
      <c r="K46" s="49"/>
      <c r="L46" s="84"/>
      <c r="M46" s="81">
        <f t="shared" si="44"/>
        <v>0</v>
      </c>
      <c r="N46" s="79">
        <f t="shared" si="45"/>
        <v>0</v>
      </c>
      <c r="O46" s="48">
        <v>1920</v>
      </c>
      <c r="P46" s="84"/>
      <c r="Q46" s="81">
        <f t="shared" si="46"/>
        <v>0</v>
      </c>
      <c r="R46" s="79">
        <f t="shared" si="82"/>
        <v>0</v>
      </c>
      <c r="S46" s="49"/>
      <c r="T46" s="84"/>
      <c r="U46" s="81">
        <f t="shared" si="47"/>
        <v>0</v>
      </c>
      <c r="V46" s="79">
        <f t="shared" si="48"/>
        <v>0</v>
      </c>
      <c r="W46" s="49"/>
      <c r="X46" s="84"/>
      <c r="Y46" s="81">
        <f t="shared" si="41"/>
        <v>0</v>
      </c>
      <c r="Z46" s="79">
        <f t="shared" si="49"/>
        <v>0</v>
      </c>
      <c r="AA46" s="49"/>
      <c r="AB46" s="84"/>
      <c r="AC46" s="81">
        <f t="shared" si="42"/>
        <v>0</v>
      </c>
      <c r="AD46" s="79">
        <f t="shared" si="50"/>
        <v>0</v>
      </c>
      <c r="AE46" s="49"/>
      <c r="AF46" s="84"/>
      <c r="AG46" s="81">
        <f t="shared" si="43"/>
        <v>0</v>
      </c>
      <c r="AH46" s="79">
        <f t="shared" si="51"/>
        <v>0</v>
      </c>
      <c r="AI46" s="48"/>
      <c r="AJ46" s="84"/>
      <c r="AK46" s="81">
        <f t="shared" si="52"/>
        <v>0</v>
      </c>
      <c r="AL46" s="79">
        <f t="shared" si="53"/>
        <v>0</v>
      </c>
      <c r="AM46" s="48"/>
      <c r="AN46" s="84"/>
      <c r="AO46" s="81">
        <f t="shared" si="54"/>
        <v>0</v>
      </c>
      <c r="AP46" s="79">
        <f t="shared" si="55"/>
        <v>0</v>
      </c>
      <c r="AQ46" s="48">
        <v>24960</v>
      </c>
      <c r="AR46" s="84"/>
      <c r="AS46" s="81">
        <f t="shared" si="56"/>
        <v>0</v>
      </c>
      <c r="AT46" s="79">
        <f t="shared" si="57"/>
        <v>0</v>
      </c>
      <c r="AU46" s="49"/>
      <c r="AV46" s="84"/>
      <c r="AW46" s="81">
        <f t="shared" si="58"/>
        <v>0</v>
      </c>
      <c r="AX46" s="79">
        <f t="shared" si="59"/>
        <v>0</v>
      </c>
      <c r="AY46" s="49"/>
      <c r="AZ46" s="84"/>
      <c r="BA46" s="81">
        <f t="shared" si="60"/>
        <v>0</v>
      </c>
      <c r="BB46" s="79">
        <f t="shared" si="61"/>
        <v>0</v>
      </c>
      <c r="BC46" s="49"/>
      <c r="BD46" s="84"/>
      <c r="BE46" s="81">
        <f t="shared" si="62"/>
        <v>0</v>
      </c>
      <c r="BF46" s="79">
        <f t="shared" si="63"/>
        <v>0</v>
      </c>
      <c r="BG46" s="49"/>
      <c r="BH46" s="84"/>
      <c r="BI46" s="81">
        <f t="shared" si="64"/>
        <v>0</v>
      </c>
      <c r="BJ46" s="79">
        <f t="shared" si="65"/>
        <v>0</v>
      </c>
      <c r="BK46" s="49"/>
      <c r="BL46" s="84"/>
      <c r="BM46" s="81">
        <f t="shared" si="66"/>
        <v>0</v>
      </c>
      <c r="BN46" s="79">
        <f t="shared" si="67"/>
        <v>0</v>
      </c>
      <c r="BO46" s="49"/>
      <c r="BP46" s="84"/>
      <c r="BQ46" s="81">
        <f t="shared" si="68"/>
        <v>0</v>
      </c>
      <c r="BR46" s="79">
        <f t="shared" si="69"/>
        <v>0</v>
      </c>
      <c r="BS46" s="49"/>
      <c r="BT46" s="84"/>
      <c r="BU46" s="81">
        <f t="shared" si="70"/>
        <v>0</v>
      </c>
      <c r="BV46" s="79">
        <f t="shared" si="71"/>
        <v>0</v>
      </c>
      <c r="BW46" s="48">
        <v>960</v>
      </c>
      <c r="BX46" s="84"/>
      <c r="BY46" s="81">
        <f t="shared" si="72"/>
        <v>0</v>
      </c>
      <c r="BZ46" s="79">
        <f t="shared" si="73"/>
        <v>0</v>
      </c>
      <c r="CA46" s="48"/>
      <c r="CB46" s="84"/>
      <c r="CC46" s="81">
        <f t="shared" si="74"/>
        <v>0</v>
      </c>
      <c r="CD46" s="79">
        <f t="shared" si="75"/>
        <v>0</v>
      </c>
      <c r="CE46" s="49">
        <v>960</v>
      </c>
      <c r="CF46" s="84"/>
      <c r="CG46" s="81">
        <f t="shared" si="76"/>
        <v>0</v>
      </c>
      <c r="CH46" s="79">
        <f t="shared" si="77"/>
        <v>0</v>
      </c>
      <c r="CI46" s="33"/>
      <c r="CJ46" s="84"/>
      <c r="CK46" s="81">
        <f t="shared" si="78"/>
        <v>0</v>
      </c>
      <c r="CL46" s="79">
        <f t="shared" si="79"/>
        <v>0</v>
      </c>
      <c r="CM46" s="34"/>
      <c r="CN46" s="34"/>
      <c r="CO46" s="34"/>
      <c r="CP46" s="34"/>
      <c r="CQ46" s="50">
        <f t="shared" si="80"/>
        <v>1</v>
      </c>
      <c r="CR46" s="77">
        <f t="shared" si="81"/>
        <v>0</v>
      </c>
      <c r="CS46" s="28"/>
    </row>
    <row r="47" spans="1:97" s="1" customFormat="1">
      <c r="A47" s="30" t="s">
        <v>148</v>
      </c>
      <c r="B47" s="47"/>
      <c r="C47" s="31" t="s">
        <v>123</v>
      </c>
      <c r="D47" s="32"/>
      <c r="E47" s="32"/>
      <c r="F47" s="87"/>
      <c r="G47" s="48">
        <v>4800</v>
      </c>
      <c r="H47" s="84"/>
      <c r="I47" s="80">
        <f t="shared" si="38"/>
        <v>0</v>
      </c>
      <c r="J47" s="79">
        <f t="shared" si="39"/>
        <v>0</v>
      </c>
      <c r="K47" s="49"/>
      <c r="L47" s="84"/>
      <c r="M47" s="81">
        <f t="shared" si="44"/>
        <v>0</v>
      </c>
      <c r="N47" s="79">
        <f t="shared" si="45"/>
        <v>0</v>
      </c>
      <c r="O47" s="48"/>
      <c r="P47" s="84"/>
      <c r="Q47" s="81">
        <f t="shared" si="46"/>
        <v>0</v>
      </c>
      <c r="R47" s="79">
        <f t="shared" si="82"/>
        <v>0</v>
      </c>
      <c r="S47" s="49"/>
      <c r="T47" s="84"/>
      <c r="U47" s="81">
        <f t="shared" si="47"/>
        <v>0</v>
      </c>
      <c r="V47" s="79">
        <f t="shared" si="48"/>
        <v>0</v>
      </c>
      <c r="W47" s="49"/>
      <c r="X47" s="84"/>
      <c r="Y47" s="81">
        <f t="shared" si="41"/>
        <v>0</v>
      </c>
      <c r="Z47" s="79">
        <f t="shared" si="49"/>
        <v>0</v>
      </c>
      <c r="AA47" s="49"/>
      <c r="AB47" s="84"/>
      <c r="AC47" s="81">
        <f t="shared" si="42"/>
        <v>0</v>
      </c>
      <c r="AD47" s="79">
        <f t="shared" si="50"/>
        <v>0</v>
      </c>
      <c r="AE47" s="49"/>
      <c r="AF47" s="84"/>
      <c r="AG47" s="81">
        <f t="shared" si="43"/>
        <v>0</v>
      </c>
      <c r="AH47" s="79">
        <f t="shared" si="51"/>
        <v>0</v>
      </c>
      <c r="AI47" s="48"/>
      <c r="AJ47" s="84"/>
      <c r="AK47" s="81">
        <f t="shared" si="52"/>
        <v>0</v>
      </c>
      <c r="AL47" s="79">
        <f t="shared" si="53"/>
        <v>0</v>
      </c>
      <c r="AM47" s="48"/>
      <c r="AN47" s="84"/>
      <c r="AO47" s="81">
        <f t="shared" si="54"/>
        <v>0</v>
      </c>
      <c r="AP47" s="79">
        <f t="shared" si="55"/>
        <v>0</v>
      </c>
      <c r="AQ47" s="48"/>
      <c r="AR47" s="84"/>
      <c r="AS47" s="81">
        <f t="shared" si="56"/>
        <v>0</v>
      </c>
      <c r="AT47" s="79">
        <f t="shared" si="57"/>
        <v>0</v>
      </c>
      <c r="AU47" s="49"/>
      <c r="AV47" s="84"/>
      <c r="AW47" s="81">
        <f t="shared" si="58"/>
        <v>0</v>
      </c>
      <c r="AX47" s="79">
        <f t="shared" si="59"/>
        <v>0</v>
      </c>
      <c r="AY47" s="49"/>
      <c r="AZ47" s="84"/>
      <c r="BA47" s="81">
        <f t="shared" si="60"/>
        <v>0</v>
      </c>
      <c r="BB47" s="79">
        <f t="shared" si="61"/>
        <v>0</v>
      </c>
      <c r="BC47" s="49"/>
      <c r="BD47" s="84"/>
      <c r="BE47" s="81">
        <f t="shared" si="62"/>
        <v>0</v>
      </c>
      <c r="BF47" s="79">
        <f t="shared" si="63"/>
        <v>0</v>
      </c>
      <c r="BG47" s="49"/>
      <c r="BH47" s="84"/>
      <c r="BI47" s="81">
        <f t="shared" si="64"/>
        <v>0</v>
      </c>
      <c r="BJ47" s="79">
        <f t="shared" si="65"/>
        <v>0</v>
      </c>
      <c r="BK47" s="49"/>
      <c r="BL47" s="84"/>
      <c r="BM47" s="81">
        <f t="shared" si="66"/>
        <v>0</v>
      </c>
      <c r="BN47" s="79">
        <f t="shared" si="67"/>
        <v>0</v>
      </c>
      <c r="BO47" s="49"/>
      <c r="BP47" s="84"/>
      <c r="BQ47" s="81">
        <f t="shared" si="68"/>
        <v>0</v>
      </c>
      <c r="BR47" s="79">
        <f t="shared" si="69"/>
        <v>0</v>
      </c>
      <c r="BS47" s="49"/>
      <c r="BT47" s="84"/>
      <c r="BU47" s="81">
        <f t="shared" si="70"/>
        <v>0</v>
      </c>
      <c r="BV47" s="79">
        <f t="shared" si="71"/>
        <v>0</v>
      </c>
      <c r="BW47" s="48"/>
      <c r="BX47" s="84"/>
      <c r="BY47" s="81">
        <f t="shared" si="72"/>
        <v>0</v>
      </c>
      <c r="BZ47" s="79">
        <f t="shared" si="73"/>
        <v>0</v>
      </c>
      <c r="CA47" s="48"/>
      <c r="CB47" s="84"/>
      <c r="CC47" s="81">
        <f t="shared" si="74"/>
        <v>0</v>
      </c>
      <c r="CD47" s="79">
        <f t="shared" si="75"/>
        <v>0</v>
      </c>
      <c r="CE47" s="49"/>
      <c r="CF47" s="84"/>
      <c r="CG47" s="81">
        <f t="shared" si="76"/>
        <v>0</v>
      </c>
      <c r="CH47" s="79">
        <f t="shared" si="77"/>
        <v>0</v>
      </c>
      <c r="CI47" s="33"/>
      <c r="CJ47" s="84"/>
      <c r="CK47" s="81">
        <f t="shared" si="78"/>
        <v>0</v>
      </c>
      <c r="CL47" s="79">
        <f t="shared" si="79"/>
        <v>0</v>
      </c>
      <c r="CM47" s="34"/>
      <c r="CN47" s="34"/>
      <c r="CO47" s="34"/>
      <c r="CP47" s="34"/>
      <c r="CQ47" s="50">
        <f t="shared" si="80"/>
        <v>1</v>
      </c>
      <c r="CR47" s="77">
        <f t="shared" si="81"/>
        <v>0</v>
      </c>
      <c r="CS47" s="28"/>
    </row>
    <row r="48" spans="1:97" s="1" customFormat="1">
      <c r="A48" s="30" t="s">
        <v>149</v>
      </c>
      <c r="B48" s="47"/>
      <c r="C48" s="63" t="s">
        <v>120</v>
      </c>
      <c r="D48" s="32"/>
      <c r="E48" s="32"/>
      <c r="F48" s="87"/>
      <c r="G48" s="48"/>
      <c r="H48" s="84"/>
      <c r="I48" s="80">
        <f t="shared" si="38"/>
        <v>0</v>
      </c>
      <c r="J48" s="79">
        <f t="shared" si="39"/>
        <v>0</v>
      </c>
      <c r="K48" s="49"/>
      <c r="L48" s="84"/>
      <c r="M48" s="81">
        <f t="shared" si="44"/>
        <v>0</v>
      </c>
      <c r="N48" s="79">
        <f t="shared" si="45"/>
        <v>0</v>
      </c>
      <c r="O48" s="48"/>
      <c r="P48" s="84"/>
      <c r="Q48" s="81">
        <f t="shared" si="46"/>
        <v>0</v>
      </c>
      <c r="R48" s="79">
        <f t="shared" si="82"/>
        <v>0</v>
      </c>
      <c r="S48" s="49"/>
      <c r="T48" s="84"/>
      <c r="U48" s="81">
        <f t="shared" si="47"/>
        <v>0</v>
      </c>
      <c r="V48" s="79">
        <f t="shared" si="48"/>
        <v>0</v>
      </c>
      <c r="W48" s="49"/>
      <c r="X48" s="84"/>
      <c r="Y48" s="81">
        <f t="shared" si="41"/>
        <v>0</v>
      </c>
      <c r="Z48" s="79">
        <f t="shared" si="49"/>
        <v>0</v>
      </c>
      <c r="AA48" s="49"/>
      <c r="AB48" s="84"/>
      <c r="AC48" s="81">
        <f t="shared" si="42"/>
        <v>0</v>
      </c>
      <c r="AD48" s="79">
        <f t="shared" si="50"/>
        <v>0</v>
      </c>
      <c r="AE48" s="49"/>
      <c r="AF48" s="84"/>
      <c r="AG48" s="81">
        <f t="shared" si="43"/>
        <v>0</v>
      </c>
      <c r="AH48" s="79">
        <f t="shared" si="51"/>
        <v>0</v>
      </c>
      <c r="AI48" s="48"/>
      <c r="AJ48" s="84"/>
      <c r="AK48" s="81">
        <f t="shared" si="52"/>
        <v>0</v>
      </c>
      <c r="AL48" s="79">
        <f t="shared" si="53"/>
        <v>0</v>
      </c>
      <c r="AM48" s="48"/>
      <c r="AN48" s="84"/>
      <c r="AO48" s="81">
        <f t="shared" si="54"/>
        <v>0</v>
      </c>
      <c r="AP48" s="79">
        <f t="shared" si="55"/>
        <v>0</v>
      </c>
      <c r="AQ48" s="48"/>
      <c r="AR48" s="84"/>
      <c r="AS48" s="81">
        <f t="shared" si="56"/>
        <v>0</v>
      </c>
      <c r="AT48" s="79">
        <f t="shared" si="57"/>
        <v>0</v>
      </c>
      <c r="AU48" s="49"/>
      <c r="AV48" s="84"/>
      <c r="AW48" s="81">
        <f t="shared" si="58"/>
        <v>0</v>
      </c>
      <c r="AX48" s="79">
        <f t="shared" si="59"/>
        <v>0</v>
      </c>
      <c r="AY48" s="49"/>
      <c r="AZ48" s="84"/>
      <c r="BA48" s="81">
        <f t="shared" si="60"/>
        <v>0</v>
      </c>
      <c r="BB48" s="79">
        <f t="shared" si="61"/>
        <v>0</v>
      </c>
      <c r="BC48" s="49"/>
      <c r="BD48" s="84"/>
      <c r="BE48" s="81">
        <f t="shared" si="62"/>
        <v>0</v>
      </c>
      <c r="BF48" s="79">
        <f t="shared" si="63"/>
        <v>0</v>
      </c>
      <c r="BG48" s="49"/>
      <c r="BH48" s="84"/>
      <c r="BI48" s="81">
        <f t="shared" si="64"/>
        <v>0</v>
      </c>
      <c r="BJ48" s="79">
        <f t="shared" si="65"/>
        <v>0</v>
      </c>
      <c r="BK48" s="49"/>
      <c r="BL48" s="84"/>
      <c r="BM48" s="81">
        <f t="shared" si="66"/>
        <v>0</v>
      </c>
      <c r="BN48" s="79">
        <f t="shared" si="67"/>
        <v>0</v>
      </c>
      <c r="BO48" s="49"/>
      <c r="BP48" s="84"/>
      <c r="BQ48" s="81">
        <f t="shared" si="68"/>
        <v>0</v>
      </c>
      <c r="BR48" s="79">
        <f t="shared" si="69"/>
        <v>0</v>
      </c>
      <c r="BS48" s="49"/>
      <c r="BT48" s="84"/>
      <c r="BU48" s="81">
        <f t="shared" si="70"/>
        <v>0</v>
      </c>
      <c r="BV48" s="79">
        <f t="shared" si="71"/>
        <v>0</v>
      </c>
      <c r="BW48" s="48"/>
      <c r="BX48" s="84"/>
      <c r="BY48" s="81">
        <f t="shared" si="72"/>
        <v>0</v>
      </c>
      <c r="BZ48" s="79">
        <f t="shared" si="73"/>
        <v>0</v>
      </c>
      <c r="CA48" s="48"/>
      <c r="CB48" s="84"/>
      <c r="CC48" s="81">
        <f t="shared" si="74"/>
        <v>0</v>
      </c>
      <c r="CD48" s="79">
        <f t="shared" si="75"/>
        <v>0</v>
      </c>
      <c r="CE48" s="49"/>
      <c r="CF48" s="84"/>
      <c r="CG48" s="81">
        <f t="shared" si="76"/>
        <v>0</v>
      </c>
      <c r="CH48" s="79">
        <f t="shared" si="77"/>
        <v>0</v>
      </c>
      <c r="CI48" s="33"/>
      <c r="CJ48" s="84"/>
      <c r="CK48" s="81">
        <f t="shared" si="78"/>
        <v>0</v>
      </c>
      <c r="CL48" s="79">
        <f t="shared" si="79"/>
        <v>0</v>
      </c>
      <c r="CM48" s="34"/>
      <c r="CN48" s="34"/>
      <c r="CO48" s="34"/>
      <c r="CP48" s="34"/>
      <c r="CQ48" s="50">
        <f t="shared" si="80"/>
        <v>1</v>
      </c>
      <c r="CR48" s="77">
        <f t="shared" si="81"/>
        <v>0</v>
      </c>
      <c r="CS48" s="28"/>
    </row>
    <row r="49" spans="1:97" s="1" customFormat="1">
      <c r="A49" s="30" t="s">
        <v>150</v>
      </c>
      <c r="B49" s="47"/>
      <c r="C49" s="31" t="s">
        <v>121</v>
      </c>
      <c r="D49" s="32"/>
      <c r="E49" s="32"/>
      <c r="F49" s="87"/>
      <c r="G49" s="48"/>
      <c r="H49" s="84"/>
      <c r="I49" s="80">
        <f t="shared" si="38"/>
        <v>0</v>
      </c>
      <c r="J49" s="79">
        <f t="shared" si="39"/>
        <v>0</v>
      </c>
      <c r="K49" s="49"/>
      <c r="L49" s="84"/>
      <c r="M49" s="81">
        <f t="shared" si="44"/>
        <v>0</v>
      </c>
      <c r="N49" s="79">
        <f t="shared" si="45"/>
        <v>0</v>
      </c>
      <c r="O49" s="48"/>
      <c r="P49" s="84"/>
      <c r="Q49" s="81">
        <f t="shared" si="46"/>
        <v>0</v>
      </c>
      <c r="R49" s="79">
        <f t="shared" si="82"/>
        <v>0</v>
      </c>
      <c r="S49" s="49"/>
      <c r="T49" s="84"/>
      <c r="U49" s="81">
        <f t="shared" si="47"/>
        <v>0</v>
      </c>
      <c r="V49" s="79">
        <f t="shared" si="48"/>
        <v>0</v>
      </c>
      <c r="W49" s="49"/>
      <c r="X49" s="84"/>
      <c r="Y49" s="81">
        <f t="shared" si="41"/>
        <v>0</v>
      </c>
      <c r="Z49" s="79">
        <f t="shared" si="49"/>
        <v>0</v>
      </c>
      <c r="AA49" s="49"/>
      <c r="AB49" s="84"/>
      <c r="AC49" s="81">
        <f t="shared" si="42"/>
        <v>0</v>
      </c>
      <c r="AD49" s="79">
        <f t="shared" si="50"/>
        <v>0</v>
      </c>
      <c r="AE49" s="49"/>
      <c r="AF49" s="84"/>
      <c r="AG49" s="81">
        <f t="shared" si="43"/>
        <v>0</v>
      </c>
      <c r="AH49" s="79">
        <f t="shared" si="51"/>
        <v>0</v>
      </c>
      <c r="AI49" s="48"/>
      <c r="AJ49" s="84"/>
      <c r="AK49" s="81">
        <f t="shared" si="52"/>
        <v>0</v>
      </c>
      <c r="AL49" s="79">
        <f t="shared" si="53"/>
        <v>0</v>
      </c>
      <c r="AM49" s="48"/>
      <c r="AN49" s="84"/>
      <c r="AO49" s="81">
        <f t="shared" si="54"/>
        <v>0</v>
      </c>
      <c r="AP49" s="79">
        <f t="shared" si="55"/>
        <v>0</v>
      </c>
      <c r="AQ49" s="48"/>
      <c r="AR49" s="84"/>
      <c r="AS49" s="81">
        <f t="shared" si="56"/>
        <v>0</v>
      </c>
      <c r="AT49" s="79">
        <f t="shared" si="57"/>
        <v>0</v>
      </c>
      <c r="AU49" s="49"/>
      <c r="AV49" s="84"/>
      <c r="AW49" s="81">
        <f t="shared" si="58"/>
        <v>0</v>
      </c>
      <c r="AX49" s="79">
        <f t="shared" si="59"/>
        <v>0</v>
      </c>
      <c r="AY49" s="49"/>
      <c r="AZ49" s="84"/>
      <c r="BA49" s="81">
        <f t="shared" si="60"/>
        <v>0</v>
      </c>
      <c r="BB49" s="79">
        <f t="shared" si="61"/>
        <v>0</v>
      </c>
      <c r="BC49" s="49"/>
      <c r="BD49" s="84"/>
      <c r="BE49" s="81">
        <f t="shared" si="62"/>
        <v>0</v>
      </c>
      <c r="BF49" s="79">
        <f t="shared" si="63"/>
        <v>0</v>
      </c>
      <c r="BG49" s="49"/>
      <c r="BH49" s="84"/>
      <c r="BI49" s="81">
        <f t="shared" si="64"/>
        <v>0</v>
      </c>
      <c r="BJ49" s="79">
        <f t="shared" si="65"/>
        <v>0</v>
      </c>
      <c r="BK49" s="49"/>
      <c r="BL49" s="84"/>
      <c r="BM49" s="81">
        <f t="shared" si="66"/>
        <v>0</v>
      </c>
      <c r="BN49" s="79">
        <f t="shared" si="67"/>
        <v>0</v>
      </c>
      <c r="BO49" s="49"/>
      <c r="BP49" s="84"/>
      <c r="BQ49" s="81">
        <f t="shared" si="68"/>
        <v>0</v>
      </c>
      <c r="BR49" s="79">
        <f t="shared" si="69"/>
        <v>0</v>
      </c>
      <c r="BS49" s="49"/>
      <c r="BT49" s="84"/>
      <c r="BU49" s="81">
        <f t="shared" si="70"/>
        <v>0</v>
      </c>
      <c r="BV49" s="79">
        <f t="shared" si="71"/>
        <v>0</v>
      </c>
      <c r="BW49" s="48">
        <v>960</v>
      </c>
      <c r="BX49" s="84"/>
      <c r="BY49" s="81">
        <f t="shared" si="72"/>
        <v>0</v>
      </c>
      <c r="BZ49" s="79">
        <f t="shared" si="73"/>
        <v>0</v>
      </c>
      <c r="CA49" s="48"/>
      <c r="CB49" s="84"/>
      <c r="CC49" s="81">
        <f t="shared" si="74"/>
        <v>0</v>
      </c>
      <c r="CD49" s="79">
        <f t="shared" si="75"/>
        <v>0</v>
      </c>
      <c r="CE49" s="49"/>
      <c r="CF49" s="84"/>
      <c r="CG49" s="81">
        <f t="shared" si="76"/>
        <v>0</v>
      </c>
      <c r="CH49" s="79">
        <f t="shared" si="77"/>
        <v>0</v>
      </c>
      <c r="CI49" s="33"/>
      <c r="CJ49" s="84"/>
      <c r="CK49" s="81">
        <f t="shared" si="78"/>
        <v>0</v>
      </c>
      <c r="CL49" s="79">
        <f t="shared" si="79"/>
        <v>0</v>
      </c>
      <c r="CM49" s="34"/>
      <c r="CN49" s="34"/>
      <c r="CO49" s="34"/>
      <c r="CP49" s="34"/>
      <c r="CQ49" s="50">
        <f t="shared" si="80"/>
        <v>1</v>
      </c>
      <c r="CR49" s="77">
        <f t="shared" si="81"/>
        <v>0</v>
      </c>
      <c r="CS49" s="28"/>
    </row>
    <row r="50" spans="1:97" s="1" customFormat="1">
      <c r="A50" s="30" t="s">
        <v>151</v>
      </c>
      <c r="B50" s="47"/>
      <c r="C50" s="31" t="s">
        <v>123</v>
      </c>
      <c r="D50" s="32"/>
      <c r="E50" s="32"/>
      <c r="F50" s="87"/>
      <c r="G50" s="48"/>
      <c r="H50" s="84"/>
      <c r="I50" s="80">
        <f t="shared" si="38"/>
        <v>0</v>
      </c>
      <c r="J50" s="79">
        <f t="shared" si="39"/>
        <v>0</v>
      </c>
      <c r="K50" s="49"/>
      <c r="L50" s="84"/>
      <c r="M50" s="81">
        <f t="shared" si="44"/>
        <v>0</v>
      </c>
      <c r="N50" s="79">
        <f t="shared" si="45"/>
        <v>0</v>
      </c>
      <c r="O50" s="48"/>
      <c r="P50" s="84"/>
      <c r="Q50" s="81">
        <f t="shared" si="46"/>
        <v>0</v>
      </c>
      <c r="R50" s="79">
        <f t="shared" si="82"/>
        <v>0</v>
      </c>
      <c r="S50" s="49"/>
      <c r="T50" s="84"/>
      <c r="U50" s="81">
        <f t="shared" si="47"/>
        <v>0</v>
      </c>
      <c r="V50" s="79">
        <f t="shared" si="48"/>
        <v>0</v>
      </c>
      <c r="W50" s="49"/>
      <c r="X50" s="84"/>
      <c r="Y50" s="81">
        <f t="shared" si="41"/>
        <v>0</v>
      </c>
      <c r="Z50" s="79">
        <f t="shared" si="49"/>
        <v>0</v>
      </c>
      <c r="AA50" s="49"/>
      <c r="AB50" s="84"/>
      <c r="AC50" s="81">
        <f t="shared" si="42"/>
        <v>0</v>
      </c>
      <c r="AD50" s="79">
        <f t="shared" si="50"/>
        <v>0</v>
      </c>
      <c r="AE50" s="49"/>
      <c r="AF50" s="84"/>
      <c r="AG50" s="81">
        <f t="shared" si="43"/>
        <v>0</v>
      </c>
      <c r="AH50" s="79">
        <f t="shared" si="51"/>
        <v>0</v>
      </c>
      <c r="AI50" s="48"/>
      <c r="AJ50" s="84"/>
      <c r="AK50" s="81">
        <f t="shared" si="52"/>
        <v>0</v>
      </c>
      <c r="AL50" s="79">
        <f t="shared" si="53"/>
        <v>0</v>
      </c>
      <c r="AM50" s="48"/>
      <c r="AN50" s="84"/>
      <c r="AO50" s="81">
        <f t="shared" si="54"/>
        <v>0</v>
      </c>
      <c r="AP50" s="79">
        <f t="shared" si="55"/>
        <v>0</v>
      </c>
      <c r="AQ50" s="48"/>
      <c r="AR50" s="84"/>
      <c r="AS50" s="81">
        <f t="shared" si="56"/>
        <v>0</v>
      </c>
      <c r="AT50" s="79">
        <f t="shared" si="57"/>
        <v>0</v>
      </c>
      <c r="AU50" s="49"/>
      <c r="AV50" s="84"/>
      <c r="AW50" s="81">
        <f t="shared" si="58"/>
        <v>0</v>
      </c>
      <c r="AX50" s="79">
        <f t="shared" si="59"/>
        <v>0</v>
      </c>
      <c r="AY50" s="49"/>
      <c r="AZ50" s="84"/>
      <c r="BA50" s="81">
        <f t="shared" si="60"/>
        <v>0</v>
      </c>
      <c r="BB50" s="79">
        <f t="shared" si="61"/>
        <v>0</v>
      </c>
      <c r="BC50" s="49"/>
      <c r="BD50" s="84"/>
      <c r="BE50" s="81">
        <f t="shared" si="62"/>
        <v>0</v>
      </c>
      <c r="BF50" s="79">
        <f t="shared" si="63"/>
        <v>0</v>
      </c>
      <c r="BG50" s="49"/>
      <c r="BH50" s="84"/>
      <c r="BI50" s="81">
        <f t="shared" si="64"/>
        <v>0</v>
      </c>
      <c r="BJ50" s="79">
        <f t="shared" si="65"/>
        <v>0</v>
      </c>
      <c r="BK50" s="49"/>
      <c r="BL50" s="84"/>
      <c r="BM50" s="81">
        <f t="shared" si="66"/>
        <v>0</v>
      </c>
      <c r="BN50" s="79">
        <f t="shared" si="67"/>
        <v>0</v>
      </c>
      <c r="BO50" s="49"/>
      <c r="BP50" s="84"/>
      <c r="BQ50" s="81">
        <f t="shared" si="68"/>
        <v>0</v>
      </c>
      <c r="BR50" s="79">
        <f t="shared" si="69"/>
        <v>0</v>
      </c>
      <c r="BS50" s="49"/>
      <c r="BT50" s="84"/>
      <c r="BU50" s="81">
        <f t="shared" si="70"/>
        <v>0</v>
      </c>
      <c r="BV50" s="79">
        <f t="shared" si="71"/>
        <v>0</v>
      </c>
      <c r="BW50" s="48"/>
      <c r="BX50" s="84"/>
      <c r="BY50" s="81">
        <f t="shared" si="72"/>
        <v>0</v>
      </c>
      <c r="BZ50" s="79">
        <f t="shared" si="73"/>
        <v>0</v>
      </c>
      <c r="CA50" s="48"/>
      <c r="CB50" s="84"/>
      <c r="CC50" s="81">
        <f t="shared" si="74"/>
        <v>0</v>
      </c>
      <c r="CD50" s="79">
        <f t="shared" si="75"/>
        <v>0</v>
      </c>
      <c r="CE50" s="49"/>
      <c r="CF50" s="84"/>
      <c r="CG50" s="81">
        <f t="shared" si="76"/>
        <v>0</v>
      </c>
      <c r="CH50" s="79">
        <f t="shared" si="77"/>
        <v>0</v>
      </c>
      <c r="CI50" s="33"/>
      <c r="CJ50" s="84"/>
      <c r="CK50" s="81">
        <f t="shared" si="78"/>
        <v>0</v>
      </c>
      <c r="CL50" s="79">
        <f t="shared" si="79"/>
        <v>0</v>
      </c>
      <c r="CM50" s="34"/>
      <c r="CN50" s="34"/>
      <c r="CO50" s="34"/>
      <c r="CP50" s="34"/>
      <c r="CQ50" s="50">
        <f t="shared" si="80"/>
        <v>1</v>
      </c>
      <c r="CR50" s="77">
        <f t="shared" si="81"/>
        <v>0</v>
      </c>
      <c r="CS50" s="28"/>
    </row>
    <row r="51" spans="1:97" s="1" customFormat="1">
      <c r="A51" s="30" t="s">
        <v>152</v>
      </c>
      <c r="B51" s="47"/>
      <c r="C51" s="63" t="s">
        <v>120</v>
      </c>
      <c r="D51" s="32"/>
      <c r="E51" s="32"/>
      <c r="F51" s="87"/>
      <c r="G51" s="48"/>
      <c r="H51" s="84"/>
      <c r="I51" s="80">
        <f t="shared" si="38"/>
        <v>0</v>
      </c>
      <c r="J51" s="79">
        <f t="shared" si="39"/>
        <v>0</v>
      </c>
      <c r="K51" s="49"/>
      <c r="L51" s="84"/>
      <c r="M51" s="81">
        <f t="shared" si="44"/>
        <v>0</v>
      </c>
      <c r="N51" s="79">
        <f t="shared" si="45"/>
        <v>0</v>
      </c>
      <c r="O51" s="48"/>
      <c r="P51" s="84"/>
      <c r="Q51" s="81">
        <f t="shared" si="46"/>
        <v>0</v>
      </c>
      <c r="R51" s="79">
        <f t="shared" si="82"/>
        <v>0</v>
      </c>
      <c r="S51" s="49"/>
      <c r="T51" s="84"/>
      <c r="U51" s="81">
        <f t="shared" si="47"/>
        <v>0</v>
      </c>
      <c r="V51" s="79">
        <f t="shared" si="48"/>
        <v>0</v>
      </c>
      <c r="W51" s="49"/>
      <c r="X51" s="84"/>
      <c r="Y51" s="81">
        <f t="shared" si="41"/>
        <v>0</v>
      </c>
      <c r="Z51" s="79">
        <f t="shared" si="49"/>
        <v>0</v>
      </c>
      <c r="AA51" s="49"/>
      <c r="AB51" s="84"/>
      <c r="AC51" s="81">
        <f t="shared" si="42"/>
        <v>0</v>
      </c>
      <c r="AD51" s="79">
        <f t="shared" si="50"/>
        <v>0</v>
      </c>
      <c r="AE51" s="49"/>
      <c r="AF51" s="84"/>
      <c r="AG51" s="81">
        <f t="shared" si="43"/>
        <v>0</v>
      </c>
      <c r="AH51" s="79">
        <f t="shared" si="51"/>
        <v>0</v>
      </c>
      <c r="AI51" s="48"/>
      <c r="AJ51" s="84"/>
      <c r="AK51" s="81">
        <f t="shared" si="52"/>
        <v>0</v>
      </c>
      <c r="AL51" s="79">
        <f t="shared" si="53"/>
        <v>0</v>
      </c>
      <c r="AM51" s="48"/>
      <c r="AN51" s="84"/>
      <c r="AO51" s="81">
        <f t="shared" si="54"/>
        <v>0</v>
      </c>
      <c r="AP51" s="79">
        <f t="shared" si="55"/>
        <v>0</v>
      </c>
      <c r="AQ51" s="48"/>
      <c r="AR51" s="84"/>
      <c r="AS51" s="81">
        <f t="shared" si="56"/>
        <v>0</v>
      </c>
      <c r="AT51" s="79">
        <f t="shared" si="57"/>
        <v>0</v>
      </c>
      <c r="AU51" s="49"/>
      <c r="AV51" s="84"/>
      <c r="AW51" s="81">
        <f t="shared" si="58"/>
        <v>0</v>
      </c>
      <c r="AX51" s="79">
        <f t="shared" si="59"/>
        <v>0</v>
      </c>
      <c r="AY51" s="49"/>
      <c r="AZ51" s="84"/>
      <c r="BA51" s="81">
        <f t="shared" si="60"/>
        <v>0</v>
      </c>
      <c r="BB51" s="79">
        <f t="shared" si="61"/>
        <v>0</v>
      </c>
      <c r="BC51" s="49"/>
      <c r="BD51" s="84"/>
      <c r="BE51" s="81">
        <f t="shared" si="62"/>
        <v>0</v>
      </c>
      <c r="BF51" s="79">
        <f t="shared" si="63"/>
        <v>0</v>
      </c>
      <c r="BG51" s="49"/>
      <c r="BH51" s="84"/>
      <c r="BI51" s="81">
        <f t="shared" si="64"/>
        <v>0</v>
      </c>
      <c r="BJ51" s="79">
        <f t="shared" si="65"/>
        <v>0</v>
      </c>
      <c r="BK51" s="49"/>
      <c r="BL51" s="84"/>
      <c r="BM51" s="81">
        <f t="shared" si="66"/>
        <v>0</v>
      </c>
      <c r="BN51" s="79">
        <f t="shared" si="67"/>
        <v>0</v>
      </c>
      <c r="BO51" s="49"/>
      <c r="BP51" s="84"/>
      <c r="BQ51" s="81">
        <f t="shared" si="68"/>
        <v>0</v>
      </c>
      <c r="BR51" s="79">
        <f t="shared" si="69"/>
        <v>0</v>
      </c>
      <c r="BS51" s="49"/>
      <c r="BT51" s="84"/>
      <c r="BU51" s="81">
        <f t="shared" si="70"/>
        <v>0</v>
      </c>
      <c r="BV51" s="79">
        <f t="shared" si="71"/>
        <v>0</v>
      </c>
      <c r="BW51" s="48">
        <v>960</v>
      </c>
      <c r="BX51" s="84"/>
      <c r="BY51" s="81">
        <f t="shared" si="72"/>
        <v>0</v>
      </c>
      <c r="BZ51" s="79">
        <f t="shared" si="73"/>
        <v>0</v>
      </c>
      <c r="CA51" s="48"/>
      <c r="CB51" s="84"/>
      <c r="CC51" s="81">
        <f t="shared" si="74"/>
        <v>0</v>
      </c>
      <c r="CD51" s="79">
        <f t="shared" si="75"/>
        <v>0</v>
      </c>
      <c r="CE51" s="49"/>
      <c r="CF51" s="84"/>
      <c r="CG51" s="81">
        <f t="shared" si="76"/>
        <v>0</v>
      </c>
      <c r="CH51" s="79">
        <f t="shared" si="77"/>
        <v>0</v>
      </c>
      <c r="CI51" s="33"/>
      <c r="CJ51" s="84"/>
      <c r="CK51" s="81">
        <f t="shared" si="78"/>
        <v>0</v>
      </c>
      <c r="CL51" s="79">
        <f t="shared" si="79"/>
        <v>0</v>
      </c>
      <c r="CM51" s="34"/>
      <c r="CN51" s="34"/>
      <c r="CO51" s="34"/>
      <c r="CP51" s="34"/>
      <c r="CQ51" s="50">
        <f t="shared" si="80"/>
        <v>1</v>
      </c>
      <c r="CR51" s="77">
        <f t="shared" si="81"/>
        <v>0</v>
      </c>
      <c r="CS51" s="28"/>
    </row>
    <row r="52" spans="1:97" s="1" customFormat="1">
      <c r="A52" s="30" t="s">
        <v>152</v>
      </c>
      <c r="B52" s="47"/>
      <c r="C52" s="31" t="s">
        <v>123</v>
      </c>
      <c r="D52" s="32"/>
      <c r="E52" s="32"/>
      <c r="F52" s="87"/>
      <c r="G52" s="48">
        <v>480</v>
      </c>
      <c r="H52" s="84"/>
      <c r="I52" s="80">
        <f t="shared" si="38"/>
        <v>0</v>
      </c>
      <c r="J52" s="79">
        <f t="shared" si="39"/>
        <v>0</v>
      </c>
      <c r="K52" s="49"/>
      <c r="L52" s="84"/>
      <c r="M52" s="81">
        <f t="shared" si="44"/>
        <v>0</v>
      </c>
      <c r="N52" s="79">
        <f t="shared" si="45"/>
        <v>0</v>
      </c>
      <c r="O52" s="48"/>
      <c r="P52" s="84"/>
      <c r="Q52" s="81">
        <f t="shared" si="46"/>
        <v>0</v>
      </c>
      <c r="R52" s="79">
        <f t="shared" si="82"/>
        <v>0</v>
      </c>
      <c r="S52" s="49"/>
      <c r="T52" s="84"/>
      <c r="U52" s="81">
        <f t="shared" si="47"/>
        <v>0</v>
      </c>
      <c r="V52" s="79">
        <f t="shared" si="48"/>
        <v>0</v>
      </c>
      <c r="W52" s="49"/>
      <c r="X52" s="84"/>
      <c r="Y52" s="81">
        <f t="shared" si="41"/>
        <v>0</v>
      </c>
      <c r="Z52" s="79">
        <f t="shared" si="49"/>
        <v>0</v>
      </c>
      <c r="AA52" s="49"/>
      <c r="AB52" s="84"/>
      <c r="AC52" s="81">
        <f t="shared" si="42"/>
        <v>0</v>
      </c>
      <c r="AD52" s="79">
        <f t="shared" si="50"/>
        <v>0</v>
      </c>
      <c r="AE52" s="49"/>
      <c r="AF52" s="84"/>
      <c r="AG52" s="81">
        <f t="shared" si="43"/>
        <v>0</v>
      </c>
      <c r="AH52" s="79">
        <f t="shared" si="51"/>
        <v>0</v>
      </c>
      <c r="AI52" s="48"/>
      <c r="AJ52" s="84"/>
      <c r="AK52" s="81">
        <f t="shared" si="52"/>
        <v>0</v>
      </c>
      <c r="AL52" s="79">
        <f t="shared" si="53"/>
        <v>0</v>
      </c>
      <c r="AM52" s="48"/>
      <c r="AN52" s="84"/>
      <c r="AO52" s="81">
        <f t="shared" si="54"/>
        <v>0</v>
      </c>
      <c r="AP52" s="79">
        <f t="shared" si="55"/>
        <v>0</v>
      </c>
      <c r="AQ52" s="48"/>
      <c r="AR52" s="84"/>
      <c r="AS52" s="81">
        <f t="shared" si="56"/>
        <v>0</v>
      </c>
      <c r="AT52" s="79">
        <f t="shared" si="57"/>
        <v>0</v>
      </c>
      <c r="AU52" s="49"/>
      <c r="AV52" s="84"/>
      <c r="AW52" s="81">
        <f t="shared" si="58"/>
        <v>0</v>
      </c>
      <c r="AX52" s="79">
        <f t="shared" si="59"/>
        <v>0</v>
      </c>
      <c r="AY52" s="49"/>
      <c r="AZ52" s="84"/>
      <c r="BA52" s="81">
        <f t="shared" si="60"/>
        <v>0</v>
      </c>
      <c r="BB52" s="79">
        <f t="shared" si="61"/>
        <v>0</v>
      </c>
      <c r="BC52" s="49"/>
      <c r="BD52" s="84"/>
      <c r="BE52" s="81">
        <f t="shared" si="62"/>
        <v>0</v>
      </c>
      <c r="BF52" s="79">
        <f t="shared" si="63"/>
        <v>0</v>
      </c>
      <c r="BG52" s="49"/>
      <c r="BH52" s="84"/>
      <c r="BI52" s="81">
        <f t="shared" si="64"/>
        <v>0</v>
      </c>
      <c r="BJ52" s="79">
        <f t="shared" si="65"/>
        <v>0</v>
      </c>
      <c r="BK52" s="49"/>
      <c r="BL52" s="84"/>
      <c r="BM52" s="81">
        <f t="shared" si="66"/>
        <v>0</v>
      </c>
      <c r="BN52" s="79">
        <f t="shared" si="67"/>
        <v>0</v>
      </c>
      <c r="BO52" s="49"/>
      <c r="BP52" s="84"/>
      <c r="BQ52" s="81">
        <f t="shared" si="68"/>
        <v>0</v>
      </c>
      <c r="BR52" s="79">
        <f t="shared" si="69"/>
        <v>0</v>
      </c>
      <c r="BS52" s="49"/>
      <c r="BT52" s="84"/>
      <c r="BU52" s="81">
        <f t="shared" si="70"/>
        <v>0</v>
      </c>
      <c r="BV52" s="79">
        <f t="shared" si="71"/>
        <v>0</v>
      </c>
      <c r="BW52" s="48">
        <v>960</v>
      </c>
      <c r="BX52" s="84"/>
      <c r="BY52" s="81">
        <f t="shared" si="72"/>
        <v>0</v>
      </c>
      <c r="BZ52" s="79">
        <f t="shared" si="73"/>
        <v>0</v>
      </c>
      <c r="CA52" s="48"/>
      <c r="CB52" s="84"/>
      <c r="CC52" s="81">
        <f t="shared" si="74"/>
        <v>0</v>
      </c>
      <c r="CD52" s="79">
        <f t="shared" si="75"/>
        <v>0</v>
      </c>
      <c r="CE52" s="49"/>
      <c r="CF52" s="84"/>
      <c r="CG52" s="81">
        <f t="shared" si="76"/>
        <v>0</v>
      </c>
      <c r="CH52" s="79">
        <f t="shared" si="77"/>
        <v>0</v>
      </c>
      <c r="CI52" s="33"/>
      <c r="CJ52" s="84"/>
      <c r="CK52" s="81">
        <f t="shared" si="78"/>
        <v>0</v>
      </c>
      <c r="CL52" s="79">
        <f t="shared" si="79"/>
        <v>0</v>
      </c>
      <c r="CM52" s="34"/>
      <c r="CN52" s="34"/>
      <c r="CO52" s="34"/>
      <c r="CP52" s="34"/>
      <c r="CQ52" s="50">
        <f t="shared" si="80"/>
        <v>1</v>
      </c>
      <c r="CR52" s="77">
        <f t="shared" si="81"/>
        <v>0</v>
      </c>
      <c r="CS52" s="28"/>
    </row>
    <row r="53" spans="1:97">
      <c r="A53" s="37" t="s">
        <v>153</v>
      </c>
      <c r="B53" s="55"/>
      <c r="C53" s="63" t="s">
        <v>120</v>
      </c>
      <c r="D53" s="32"/>
      <c r="E53" s="32"/>
      <c r="F53" s="87"/>
      <c r="G53" s="48"/>
      <c r="H53" s="84"/>
      <c r="I53" s="80">
        <f t="shared" si="38"/>
        <v>0</v>
      </c>
      <c r="J53" s="79">
        <f t="shared" si="39"/>
        <v>0</v>
      </c>
      <c r="K53" s="49"/>
      <c r="L53" s="84"/>
      <c r="M53" s="81">
        <f t="shared" si="44"/>
        <v>0</v>
      </c>
      <c r="N53" s="79">
        <f t="shared" si="45"/>
        <v>0</v>
      </c>
      <c r="O53" s="48"/>
      <c r="P53" s="84"/>
      <c r="Q53" s="81">
        <f t="shared" si="46"/>
        <v>0</v>
      </c>
      <c r="R53" s="79">
        <f t="shared" si="82"/>
        <v>0</v>
      </c>
      <c r="S53" s="49"/>
      <c r="T53" s="84"/>
      <c r="U53" s="81">
        <f t="shared" si="47"/>
        <v>0</v>
      </c>
      <c r="V53" s="79">
        <f t="shared" si="48"/>
        <v>0</v>
      </c>
      <c r="W53" s="49"/>
      <c r="X53" s="84"/>
      <c r="Y53" s="81">
        <f t="shared" si="41"/>
        <v>0</v>
      </c>
      <c r="Z53" s="79">
        <f t="shared" si="49"/>
        <v>0</v>
      </c>
      <c r="AA53" s="49"/>
      <c r="AB53" s="84"/>
      <c r="AC53" s="81">
        <f t="shared" si="42"/>
        <v>0</v>
      </c>
      <c r="AD53" s="79">
        <f t="shared" si="50"/>
        <v>0</v>
      </c>
      <c r="AE53" s="49"/>
      <c r="AF53" s="84"/>
      <c r="AG53" s="81">
        <f t="shared" si="43"/>
        <v>0</v>
      </c>
      <c r="AH53" s="79">
        <f t="shared" si="51"/>
        <v>0</v>
      </c>
      <c r="AI53" s="48"/>
      <c r="AJ53" s="84"/>
      <c r="AK53" s="81">
        <f t="shared" si="52"/>
        <v>0</v>
      </c>
      <c r="AL53" s="79">
        <f t="shared" si="53"/>
        <v>0</v>
      </c>
      <c r="AM53" s="48"/>
      <c r="AN53" s="84"/>
      <c r="AO53" s="81">
        <f t="shared" si="54"/>
        <v>0</v>
      </c>
      <c r="AP53" s="79">
        <f t="shared" si="55"/>
        <v>0</v>
      </c>
      <c r="AQ53" s="48"/>
      <c r="AR53" s="84"/>
      <c r="AS53" s="81">
        <f t="shared" si="56"/>
        <v>0</v>
      </c>
      <c r="AT53" s="79">
        <f t="shared" si="57"/>
        <v>0</v>
      </c>
      <c r="AU53" s="49"/>
      <c r="AV53" s="84"/>
      <c r="AW53" s="81">
        <f t="shared" si="58"/>
        <v>0</v>
      </c>
      <c r="AX53" s="79">
        <f t="shared" si="59"/>
        <v>0</v>
      </c>
      <c r="AY53" s="49"/>
      <c r="AZ53" s="84"/>
      <c r="BA53" s="81">
        <f t="shared" si="60"/>
        <v>0</v>
      </c>
      <c r="BB53" s="79">
        <f t="shared" si="61"/>
        <v>0</v>
      </c>
      <c r="BC53" s="49"/>
      <c r="BD53" s="84"/>
      <c r="BE53" s="81">
        <f t="shared" si="62"/>
        <v>0</v>
      </c>
      <c r="BF53" s="79">
        <f t="shared" si="63"/>
        <v>0</v>
      </c>
      <c r="BG53" s="49"/>
      <c r="BH53" s="84"/>
      <c r="BI53" s="81">
        <f t="shared" si="64"/>
        <v>0</v>
      </c>
      <c r="BJ53" s="79">
        <f t="shared" si="65"/>
        <v>0</v>
      </c>
      <c r="BK53" s="49"/>
      <c r="BL53" s="84"/>
      <c r="BM53" s="81">
        <f t="shared" si="66"/>
        <v>0</v>
      </c>
      <c r="BN53" s="79">
        <f t="shared" si="67"/>
        <v>0</v>
      </c>
      <c r="BO53" s="49"/>
      <c r="BP53" s="84"/>
      <c r="BQ53" s="81">
        <f t="shared" si="68"/>
        <v>0</v>
      </c>
      <c r="BR53" s="79">
        <f t="shared" si="69"/>
        <v>0</v>
      </c>
      <c r="BS53" s="49"/>
      <c r="BT53" s="84"/>
      <c r="BU53" s="81">
        <f t="shared" si="70"/>
        <v>0</v>
      </c>
      <c r="BV53" s="79">
        <f t="shared" si="71"/>
        <v>0</v>
      </c>
      <c r="BW53" s="48">
        <v>240</v>
      </c>
      <c r="BX53" s="84"/>
      <c r="BY53" s="81">
        <f t="shared" si="72"/>
        <v>0</v>
      </c>
      <c r="BZ53" s="79">
        <f t="shared" si="73"/>
        <v>0</v>
      </c>
      <c r="CA53" s="48"/>
      <c r="CB53" s="84"/>
      <c r="CC53" s="81">
        <f t="shared" si="74"/>
        <v>0</v>
      </c>
      <c r="CD53" s="79">
        <f t="shared" si="75"/>
        <v>0</v>
      </c>
      <c r="CE53" s="49"/>
      <c r="CF53" s="84"/>
      <c r="CG53" s="81">
        <f t="shared" si="76"/>
        <v>0</v>
      </c>
      <c r="CH53" s="79">
        <f t="shared" si="77"/>
        <v>0</v>
      </c>
      <c r="CI53" s="33"/>
      <c r="CJ53" s="84"/>
      <c r="CK53" s="81">
        <f t="shared" si="78"/>
        <v>0</v>
      </c>
      <c r="CL53" s="79">
        <f t="shared" si="79"/>
        <v>0</v>
      </c>
      <c r="CM53" s="34"/>
      <c r="CN53" s="34"/>
      <c r="CO53" s="34"/>
      <c r="CP53" s="34"/>
      <c r="CQ53" s="50">
        <f t="shared" si="80"/>
        <v>1</v>
      </c>
      <c r="CR53" s="77">
        <f t="shared" si="81"/>
        <v>0</v>
      </c>
      <c r="CS53" s="28"/>
    </row>
    <row r="54" spans="1:97">
      <c r="A54" s="37" t="s">
        <v>153</v>
      </c>
      <c r="B54" s="55"/>
      <c r="C54" s="31" t="s">
        <v>121</v>
      </c>
      <c r="D54" s="32"/>
      <c r="E54" s="32"/>
      <c r="F54" s="87"/>
      <c r="G54" s="48"/>
      <c r="H54" s="84"/>
      <c r="I54" s="80">
        <f t="shared" si="38"/>
        <v>0</v>
      </c>
      <c r="J54" s="79">
        <f t="shared" si="39"/>
        <v>0</v>
      </c>
      <c r="K54" s="49"/>
      <c r="L54" s="84"/>
      <c r="M54" s="81">
        <f t="shared" si="44"/>
        <v>0</v>
      </c>
      <c r="N54" s="79">
        <f t="shared" si="45"/>
        <v>0</v>
      </c>
      <c r="O54" s="48"/>
      <c r="P54" s="84"/>
      <c r="Q54" s="81">
        <f t="shared" si="46"/>
        <v>0</v>
      </c>
      <c r="R54" s="79">
        <f t="shared" si="82"/>
        <v>0</v>
      </c>
      <c r="S54" s="49"/>
      <c r="T54" s="84"/>
      <c r="U54" s="81">
        <f t="shared" si="47"/>
        <v>0</v>
      </c>
      <c r="V54" s="79">
        <f t="shared" si="48"/>
        <v>0</v>
      </c>
      <c r="W54" s="49"/>
      <c r="X54" s="84"/>
      <c r="Y54" s="81">
        <f t="shared" si="41"/>
        <v>0</v>
      </c>
      <c r="Z54" s="79">
        <f t="shared" si="49"/>
        <v>0</v>
      </c>
      <c r="AA54" s="49"/>
      <c r="AB54" s="84"/>
      <c r="AC54" s="81">
        <f t="shared" si="42"/>
        <v>0</v>
      </c>
      <c r="AD54" s="79">
        <f t="shared" si="50"/>
        <v>0</v>
      </c>
      <c r="AE54" s="49"/>
      <c r="AF54" s="84"/>
      <c r="AG54" s="81">
        <f t="shared" si="43"/>
        <v>0</v>
      </c>
      <c r="AH54" s="79">
        <f t="shared" si="51"/>
        <v>0</v>
      </c>
      <c r="AI54" s="48"/>
      <c r="AJ54" s="84"/>
      <c r="AK54" s="81">
        <f t="shared" si="52"/>
        <v>0</v>
      </c>
      <c r="AL54" s="79">
        <f t="shared" si="53"/>
        <v>0</v>
      </c>
      <c r="AM54" s="48"/>
      <c r="AN54" s="84"/>
      <c r="AO54" s="81">
        <f t="shared" si="54"/>
        <v>0</v>
      </c>
      <c r="AP54" s="79">
        <f t="shared" si="55"/>
        <v>0</v>
      </c>
      <c r="AQ54" s="48"/>
      <c r="AR54" s="84"/>
      <c r="AS54" s="81">
        <f t="shared" si="56"/>
        <v>0</v>
      </c>
      <c r="AT54" s="79">
        <f t="shared" si="57"/>
        <v>0</v>
      </c>
      <c r="AU54" s="49"/>
      <c r="AV54" s="84"/>
      <c r="AW54" s="81">
        <f t="shared" si="58"/>
        <v>0</v>
      </c>
      <c r="AX54" s="79">
        <f t="shared" si="59"/>
        <v>0</v>
      </c>
      <c r="AY54" s="49"/>
      <c r="AZ54" s="84"/>
      <c r="BA54" s="81">
        <f t="shared" si="60"/>
        <v>0</v>
      </c>
      <c r="BB54" s="79">
        <f t="shared" si="61"/>
        <v>0</v>
      </c>
      <c r="BC54" s="49"/>
      <c r="BD54" s="84"/>
      <c r="BE54" s="81">
        <f t="shared" si="62"/>
        <v>0</v>
      </c>
      <c r="BF54" s="79">
        <f t="shared" si="63"/>
        <v>0</v>
      </c>
      <c r="BG54" s="49"/>
      <c r="BH54" s="84"/>
      <c r="BI54" s="81">
        <f t="shared" si="64"/>
        <v>0</v>
      </c>
      <c r="BJ54" s="79">
        <f t="shared" si="65"/>
        <v>0</v>
      </c>
      <c r="BK54" s="49"/>
      <c r="BL54" s="84"/>
      <c r="BM54" s="81">
        <f t="shared" si="66"/>
        <v>0</v>
      </c>
      <c r="BN54" s="79">
        <f t="shared" si="67"/>
        <v>0</v>
      </c>
      <c r="BO54" s="49"/>
      <c r="BP54" s="84"/>
      <c r="BQ54" s="81">
        <f t="shared" si="68"/>
        <v>0</v>
      </c>
      <c r="BR54" s="79">
        <f t="shared" si="69"/>
        <v>0</v>
      </c>
      <c r="BS54" s="49"/>
      <c r="BT54" s="84"/>
      <c r="BU54" s="81">
        <f t="shared" si="70"/>
        <v>0</v>
      </c>
      <c r="BV54" s="79">
        <f t="shared" si="71"/>
        <v>0</v>
      </c>
      <c r="BW54" s="48">
        <v>240</v>
      </c>
      <c r="BX54" s="84"/>
      <c r="BY54" s="81">
        <f t="shared" si="72"/>
        <v>0</v>
      </c>
      <c r="BZ54" s="79">
        <f t="shared" si="73"/>
        <v>0</v>
      </c>
      <c r="CA54" s="48"/>
      <c r="CB54" s="84"/>
      <c r="CC54" s="81">
        <f t="shared" si="74"/>
        <v>0</v>
      </c>
      <c r="CD54" s="79">
        <f t="shared" si="75"/>
        <v>0</v>
      </c>
      <c r="CE54" s="49"/>
      <c r="CF54" s="84"/>
      <c r="CG54" s="81">
        <f t="shared" si="76"/>
        <v>0</v>
      </c>
      <c r="CH54" s="79">
        <f t="shared" si="77"/>
        <v>0</v>
      </c>
      <c r="CI54" s="33"/>
      <c r="CJ54" s="84"/>
      <c r="CK54" s="81">
        <f t="shared" si="78"/>
        <v>0</v>
      </c>
      <c r="CL54" s="79">
        <f t="shared" si="79"/>
        <v>0</v>
      </c>
      <c r="CM54" s="34"/>
      <c r="CN54" s="34"/>
      <c r="CO54" s="34"/>
      <c r="CP54" s="34"/>
      <c r="CQ54" s="50">
        <f t="shared" si="80"/>
        <v>1</v>
      </c>
      <c r="CR54" s="77">
        <f t="shared" si="81"/>
        <v>0</v>
      </c>
      <c r="CS54" s="28"/>
    </row>
    <row r="55" spans="1:97">
      <c r="A55" s="38" t="s">
        <v>154</v>
      </c>
      <c r="B55" s="56"/>
      <c r="C55" s="31" t="s">
        <v>123</v>
      </c>
      <c r="D55" s="32"/>
      <c r="E55" s="32"/>
      <c r="F55" s="87"/>
      <c r="G55" s="48"/>
      <c r="H55" s="84"/>
      <c r="I55" s="80">
        <f t="shared" si="38"/>
        <v>0</v>
      </c>
      <c r="J55" s="79">
        <f t="shared" si="39"/>
        <v>0</v>
      </c>
      <c r="K55" s="49"/>
      <c r="L55" s="84"/>
      <c r="M55" s="81">
        <f t="shared" si="44"/>
        <v>0</v>
      </c>
      <c r="N55" s="79">
        <f t="shared" si="45"/>
        <v>0</v>
      </c>
      <c r="O55" s="48"/>
      <c r="P55" s="84"/>
      <c r="Q55" s="81">
        <f t="shared" si="46"/>
        <v>0</v>
      </c>
      <c r="R55" s="79">
        <f t="shared" si="82"/>
        <v>0</v>
      </c>
      <c r="S55" s="49"/>
      <c r="T55" s="84"/>
      <c r="U55" s="81">
        <f t="shared" si="47"/>
        <v>0</v>
      </c>
      <c r="V55" s="79">
        <f t="shared" si="48"/>
        <v>0</v>
      </c>
      <c r="W55" s="49"/>
      <c r="X55" s="84"/>
      <c r="Y55" s="81">
        <f t="shared" si="41"/>
        <v>0</v>
      </c>
      <c r="Z55" s="79">
        <f t="shared" si="49"/>
        <v>0</v>
      </c>
      <c r="AA55" s="49"/>
      <c r="AB55" s="84"/>
      <c r="AC55" s="81">
        <f t="shared" si="42"/>
        <v>0</v>
      </c>
      <c r="AD55" s="79">
        <f t="shared" si="50"/>
        <v>0</v>
      </c>
      <c r="AE55" s="49"/>
      <c r="AF55" s="84"/>
      <c r="AG55" s="81">
        <f t="shared" si="43"/>
        <v>0</v>
      </c>
      <c r="AH55" s="79">
        <f t="shared" si="51"/>
        <v>0</v>
      </c>
      <c r="AI55" s="48"/>
      <c r="AJ55" s="84"/>
      <c r="AK55" s="81">
        <f t="shared" si="52"/>
        <v>0</v>
      </c>
      <c r="AL55" s="79">
        <f t="shared" si="53"/>
        <v>0</v>
      </c>
      <c r="AM55" s="48"/>
      <c r="AN55" s="84"/>
      <c r="AO55" s="81">
        <f t="shared" si="54"/>
        <v>0</v>
      </c>
      <c r="AP55" s="79">
        <f t="shared" si="55"/>
        <v>0</v>
      </c>
      <c r="AQ55" s="48"/>
      <c r="AR55" s="84"/>
      <c r="AS55" s="81">
        <f t="shared" si="56"/>
        <v>0</v>
      </c>
      <c r="AT55" s="79">
        <f t="shared" si="57"/>
        <v>0</v>
      </c>
      <c r="AU55" s="49"/>
      <c r="AV55" s="84"/>
      <c r="AW55" s="81">
        <f t="shared" si="58"/>
        <v>0</v>
      </c>
      <c r="AX55" s="79">
        <f t="shared" si="59"/>
        <v>0</v>
      </c>
      <c r="AY55" s="49"/>
      <c r="AZ55" s="84"/>
      <c r="BA55" s="81">
        <f t="shared" si="60"/>
        <v>0</v>
      </c>
      <c r="BB55" s="79">
        <f t="shared" si="61"/>
        <v>0</v>
      </c>
      <c r="BC55" s="49"/>
      <c r="BD55" s="84"/>
      <c r="BE55" s="81">
        <f t="shared" si="62"/>
        <v>0</v>
      </c>
      <c r="BF55" s="79">
        <f t="shared" si="63"/>
        <v>0</v>
      </c>
      <c r="BG55" s="49"/>
      <c r="BH55" s="84"/>
      <c r="BI55" s="81">
        <f t="shared" si="64"/>
        <v>0</v>
      </c>
      <c r="BJ55" s="79">
        <f t="shared" si="65"/>
        <v>0</v>
      </c>
      <c r="BK55" s="49"/>
      <c r="BL55" s="84"/>
      <c r="BM55" s="81">
        <f t="shared" si="66"/>
        <v>0</v>
      </c>
      <c r="BN55" s="79">
        <f t="shared" si="67"/>
        <v>0</v>
      </c>
      <c r="BO55" s="49"/>
      <c r="BP55" s="84"/>
      <c r="BQ55" s="81">
        <f t="shared" si="68"/>
        <v>0</v>
      </c>
      <c r="BR55" s="79">
        <f t="shared" si="69"/>
        <v>0</v>
      </c>
      <c r="BS55" s="49"/>
      <c r="BT55" s="84"/>
      <c r="BU55" s="81">
        <f t="shared" si="70"/>
        <v>0</v>
      </c>
      <c r="BV55" s="79">
        <f t="shared" si="71"/>
        <v>0</v>
      </c>
      <c r="BW55" s="48">
        <v>1920</v>
      </c>
      <c r="BX55" s="84"/>
      <c r="BY55" s="81">
        <f t="shared" si="72"/>
        <v>0</v>
      </c>
      <c r="BZ55" s="79">
        <f t="shared" si="73"/>
        <v>0</v>
      </c>
      <c r="CA55" s="48"/>
      <c r="CB55" s="84"/>
      <c r="CC55" s="81">
        <f t="shared" si="74"/>
        <v>0</v>
      </c>
      <c r="CD55" s="79">
        <f t="shared" si="75"/>
        <v>0</v>
      </c>
      <c r="CE55" s="49"/>
      <c r="CF55" s="84"/>
      <c r="CG55" s="81">
        <f t="shared" si="76"/>
        <v>0</v>
      </c>
      <c r="CH55" s="79">
        <f t="shared" si="77"/>
        <v>0</v>
      </c>
      <c r="CI55" s="33"/>
      <c r="CJ55" s="84"/>
      <c r="CK55" s="81">
        <f t="shared" si="78"/>
        <v>0</v>
      </c>
      <c r="CL55" s="79">
        <f t="shared" si="79"/>
        <v>0</v>
      </c>
      <c r="CM55" s="34"/>
      <c r="CN55" s="34"/>
      <c r="CO55" s="34"/>
      <c r="CP55" s="34"/>
      <c r="CQ55" s="50">
        <f t="shared" si="80"/>
        <v>1</v>
      </c>
      <c r="CR55" s="77">
        <f t="shared" si="81"/>
        <v>0</v>
      </c>
      <c r="CS55" s="28"/>
    </row>
    <row r="56" spans="1:97">
      <c r="A56" s="30" t="s">
        <v>155</v>
      </c>
      <c r="B56" s="47"/>
      <c r="C56" s="63" t="s">
        <v>120</v>
      </c>
      <c r="D56" s="32"/>
      <c r="E56" s="32"/>
      <c r="F56" s="87"/>
      <c r="G56" s="48"/>
      <c r="H56" s="84"/>
      <c r="I56" s="80">
        <f t="shared" si="38"/>
        <v>0</v>
      </c>
      <c r="J56" s="79">
        <f t="shared" si="39"/>
        <v>0</v>
      </c>
      <c r="K56" s="49"/>
      <c r="L56" s="84"/>
      <c r="M56" s="81">
        <f t="shared" si="44"/>
        <v>0</v>
      </c>
      <c r="N56" s="79">
        <f t="shared" si="45"/>
        <v>0</v>
      </c>
      <c r="O56" s="48"/>
      <c r="P56" s="84"/>
      <c r="Q56" s="81">
        <f t="shared" si="46"/>
        <v>0</v>
      </c>
      <c r="R56" s="79">
        <f t="shared" si="82"/>
        <v>0</v>
      </c>
      <c r="S56" s="49"/>
      <c r="T56" s="84"/>
      <c r="U56" s="81">
        <f t="shared" si="47"/>
        <v>0</v>
      </c>
      <c r="V56" s="79">
        <f t="shared" si="48"/>
        <v>0</v>
      </c>
      <c r="W56" s="49"/>
      <c r="X56" s="84"/>
      <c r="Y56" s="81">
        <f t="shared" si="41"/>
        <v>0</v>
      </c>
      <c r="Z56" s="79">
        <f t="shared" si="49"/>
        <v>0</v>
      </c>
      <c r="AA56" s="49"/>
      <c r="AB56" s="84"/>
      <c r="AC56" s="81">
        <f t="shared" si="42"/>
        <v>0</v>
      </c>
      <c r="AD56" s="79">
        <f t="shared" si="50"/>
        <v>0</v>
      </c>
      <c r="AE56" s="49"/>
      <c r="AF56" s="84"/>
      <c r="AG56" s="81">
        <f t="shared" si="43"/>
        <v>0</v>
      </c>
      <c r="AH56" s="79">
        <f t="shared" si="51"/>
        <v>0</v>
      </c>
      <c r="AI56" s="48"/>
      <c r="AJ56" s="84"/>
      <c r="AK56" s="81">
        <f t="shared" si="52"/>
        <v>0</v>
      </c>
      <c r="AL56" s="79">
        <f t="shared" si="53"/>
        <v>0</v>
      </c>
      <c r="AM56" s="48"/>
      <c r="AN56" s="84"/>
      <c r="AO56" s="81">
        <f t="shared" si="54"/>
        <v>0</v>
      </c>
      <c r="AP56" s="79">
        <f t="shared" si="55"/>
        <v>0</v>
      </c>
      <c r="AQ56" s="48"/>
      <c r="AR56" s="84"/>
      <c r="AS56" s="81">
        <f t="shared" si="56"/>
        <v>0</v>
      </c>
      <c r="AT56" s="79">
        <f t="shared" si="57"/>
        <v>0</v>
      </c>
      <c r="AU56" s="49"/>
      <c r="AV56" s="84"/>
      <c r="AW56" s="81">
        <f t="shared" si="58"/>
        <v>0</v>
      </c>
      <c r="AX56" s="79">
        <f t="shared" si="59"/>
        <v>0</v>
      </c>
      <c r="AY56" s="49"/>
      <c r="AZ56" s="84"/>
      <c r="BA56" s="81">
        <f t="shared" si="60"/>
        <v>0</v>
      </c>
      <c r="BB56" s="79">
        <f t="shared" si="61"/>
        <v>0</v>
      </c>
      <c r="BC56" s="49"/>
      <c r="BD56" s="84"/>
      <c r="BE56" s="81">
        <f t="shared" si="62"/>
        <v>0</v>
      </c>
      <c r="BF56" s="79">
        <f t="shared" si="63"/>
        <v>0</v>
      </c>
      <c r="BG56" s="49"/>
      <c r="BH56" s="84"/>
      <c r="BI56" s="81">
        <f t="shared" si="64"/>
        <v>0</v>
      </c>
      <c r="BJ56" s="79">
        <f t="shared" si="65"/>
        <v>0</v>
      </c>
      <c r="BK56" s="49"/>
      <c r="BL56" s="84"/>
      <c r="BM56" s="81">
        <f t="shared" si="66"/>
        <v>0</v>
      </c>
      <c r="BN56" s="79">
        <f t="shared" si="67"/>
        <v>0</v>
      </c>
      <c r="BO56" s="49"/>
      <c r="BP56" s="84"/>
      <c r="BQ56" s="81">
        <f t="shared" si="68"/>
        <v>0</v>
      </c>
      <c r="BR56" s="79">
        <f t="shared" si="69"/>
        <v>0</v>
      </c>
      <c r="BS56" s="49"/>
      <c r="BT56" s="84"/>
      <c r="BU56" s="81">
        <f t="shared" si="70"/>
        <v>0</v>
      </c>
      <c r="BV56" s="79">
        <f t="shared" si="71"/>
        <v>0</v>
      </c>
      <c r="BW56" s="48">
        <v>240</v>
      </c>
      <c r="BX56" s="84"/>
      <c r="BY56" s="81">
        <f t="shared" si="72"/>
        <v>0</v>
      </c>
      <c r="BZ56" s="79">
        <f t="shared" si="73"/>
        <v>0</v>
      </c>
      <c r="CA56" s="48"/>
      <c r="CB56" s="84"/>
      <c r="CC56" s="81">
        <f t="shared" si="74"/>
        <v>0</v>
      </c>
      <c r="CD56" s="79">
        <f t="shared" si="75"/>
        <v>0</v>
      </c>
      <c r="CE56" s="49"/>
      <c r="CF56" s="84"/>
      <c r="CG56" s="81">
        <f t="shared" si="76"/>
        <v>0</v>
      </c>
      <c r="CH56" s="79">
        <f t="shared" si="77"/>
        <v>0</v>
      </c>
      <c r="CI56" s="33"/>
      <c r="CJ56" s="84"/>
      <c r="CK56" s="81">
        <f t="shared" si="78"/>
        <v>0</v>
      </c>
      <c r="CL56" s="79">
        <f t="shared" si="79"/>
        <v>0</v>
      </c>
      <c r="CM56" s="34"/>
      <c r="CN56" s="34"/>
      <c r="CO56" s="34"/>
      <c r="CP56" s="34"/>
      <c r="CQ56" s="50">
        <f t="shared" si="80"/>
        <v>1</v>
      </c>
      <c r="CR56" s="77">
        <f t="shared" si="81"/>
        <v>0</v>
      </c>
      <c r="CS56" s="28"/>
    </row>
    <row r="57" spans="1:97">
      <c r="A57" s="30" t="s">
        <v>155</v>
      </c>
      <c r="B57" s="47"/>
      <c r="C57" s="31" t="s">
        <v>121</v>
      </c>
      <c r="D57" s="32"/>
      <c r="E57" s="32"/>
      <c r="F57" s="87"/>
      <c r="G57" s="48"/>
      <c r="H57" s="84"/>
      <c r="I57" s="80">
        <f t="shared" si="38"/>
        <v>0</v>
      </c>
      <c r="J57" s="79">
        <f t="shared" si="39"/>
        <v>0</v>
      </c>
      <c r="K57" s="49"/>
      <c r="L57" s="84"/>
      <c r="M57" s="81">
        <f t="shared" si="44"/>
        <v>0</v>
      </c>
      <c r="N57" s="79">
        <f t="shared" si="45"/>
        <v>0</v>
      </c>
      <c r="O57" s="48"/>
      <c r="P57" s="84"/>
      <c r="Q57" s="81">
        <f t="shared" si="46"/>
        <v>0</v>
      </c>
      <c r="R57" s="79">
        <f t="shared" si="82"/>
        <v>0</v>
      </c>
      <c r="S57" s="49"/>
      <c r="T57" s="84"/>
      <c r="U57" s="81">
        <f t="shared" si="47"/>
        <v>0</v>
      </c>
      <c r="V57" s="79">
        <f t="shared" si="48"/>
        <v>0</v>
      </c>
      <c r="W57" s="49"/>
      <c r="X57" s="84"/>
      <c r="Y57" s="81">
        <f t="shared" si="41"/>
        <v>0</v>
      </c>
      <c r="Z57" s="79">
        <f t="shared" si="49"/>
        <v>0</v>
      </c>
      <c r="AA57" s="49"/>
      <c r="AB57" s="84"/>
      <c r="AC57" s="81">
        <f t="shared" si="42"/>
        <v>0</v>
      </c>
      <c r="AD57" s="79">
        <f t="shared" si="50"/>
        <v>0</v>
      </c>
      <c r="AE57" s="49"/>
      <c r="AF57" s="84"/>
      <c r="AG57" s="81">
        <f t="shared" si="43"/>
        <v>0</v>
      </c>
      <c r="AH57" s="79">
        <f t="shared" si="51"/>
        <v>0</v>
      </c>
      <c r="AI57" s="48"/>
      <c r="AJ57" s="84"/>
      <c r="AK57" s="81">
        <f t="shared" si="52"/>
        <v>0</v>
      </c>
      <c r="AL57" s="79">
        <f t="shared" si="53"/>
        <v>0</v>
      </c>
      <c r="AM57" s="48"/>
      <c r="AN57" s="84"/>
      <c r="AO57" s="81">
        <f t="shared" si="54"/>
        <v>0</v>
      </c>
      <c r="AP57" s="79">
        <f t="shared" si="55"/>
        <v>0</v>
      </c>
      <c r="AQ57" s="48"/>
      <c r="AR57" s="84"/>
      <c r="AS57" s="81">
        <f t="shared" si="56"/>
        <v>0</v>
      </c>
      <c r="AT57" s="79">
        <f t="shared" si="57"/>
        <v>0</v>
      </c>
      <c r="AU57" s="49"/>
      <c r="AV57" s="84"/>
      <c r="AW57" s="81">
        <f t="shared" si="58"/>
        <v>0</v>
      </c>
      <c r="AX57" s="79">
        <f t="shared" si="59"/>
        <v>0</v>
      </c>
      <c r="AY57" s="49"/>
      <c r="AZ57" s="84"/>
      <c r="BA57" s="81">
        <f t="shared" si="60"/>
        <v>0</v>
      </c>
      <c r="BB57" s="79">
        <f t="shared" si="61"/>
        <v>0</v>
      </c>
      <c r="BC57" s="49"/>
      <c r="BD57" s="84"/>
      <c r="BE57" s="81">
        <f t="shared" si="62"/>
        <v>0</v>
      </c>
      <c r="BF57" s="79">
        <f t="shared" si="63"/>
        <v>0</v>
      </c>
      <c r="BG57" s="49"/>
      <c r="BH57" s="84"/>
      <c r="BI57" s="81">
        <f t="shared" si="64"/>
        <v>0</v>
      </c>
      <c r="BJ57" s="79">
        <f t="shared" si="65"/>
        <v>0</v>
      </c>
      <c r="BK57" s="49"/>
      <c r="BL57" s="84"/>
      <c r="BM57" s="81">
        <f t="shared" si="66"/>
        <v>0</v>
      </c>
      <c r="BN57" s="79">
        <f t="shared" si="67"/>
        <v>0</v>
      </c>
      <c r="BO57" s="49"/>
      <c r="BP57" s="84"/>
      <c r="BQ57" s="81">
        <f t="shared" si="68"/>
        <v>0</v>
      </c>
      <c r="BR57" s="79">
        <f t="shared" si="69"/>
        <v>0</v>
      </c>
      <c r="BS57" s="49"/>
      <c r="BT57" s="84"/>
      <c r="BU57" s="81">
        <f t="shared" si="70"/>
        <v>0</v>
      </c>
      <c r="BV57" s="79">
        <f t="shared" si="71"/>
        <v>0</v>
      </c>
      <c r="BW57" s="48">
        <v>240</v>
      </c>
      <c r="BX57" s="84"/>
      <c r="BY57" s="81">
        <f t="shared" si="72"/>
        <v>0</v>
      </c>
      <c r="BZ57" s="79">
        <f t="shared" si="73"/>
        <v>0</v>
      </c>
      <c r="CA57" s="48"/>
      <c r="CB57" s="84"/>
      <c r="CC57" s="81">
        <f t="shared" si="74"/>
        <v>0</v>
      </c>
      <c r="CD57" s="79">
        <f t="shared" si="75"/>
        <v>0</v>
      </c>
      <c r="CE57" s="49"/>
      <c r="CF57" s="84"/>
      <c r="CG57" s="81">
        <f t="shared" si="76"/>
        <v>0</v>
      </c>
      <c r="CH57" s="79">
        <f t="shared" si="77"/>
        <v>0</v>
      </c>
      <c r="CI57" s="33"/>
      <c r="CJ57" s="84"/>
      <c r="CK57" s="81">
        <f t="shared" si="78"/>
        <v>0</v>
      </c>
      <c r="CL57" s="79">
        <f t="shared" si="79"/>
        <v>0</v>
      </c>
      <c r="CM57" s="34"/>
      <c r="CN57" s="34"/>
      <c r="CO57" s="34"/>
      <c r="CP57" s="34"/>
      <c r="CQ57" s="50">
        <f t="shared" si="80"/>
        <v>1</v>
      </c>
      <c r="CR57" s="77">
        <f t="shared" si="81"/>
        <v>0</v>
      </c>
      <c r="CS57" s="28"/>
    </row>
    <row r="58" spans="1:97">
      <c r="A58" s="30" t="s">
        <v>156</v>
      </c>
      <c r="B58" s="47"/>
      <c r="C58" s="31" t="s">
        <v>121</v>
      </c>
      <c r="D58" s="32"/>
      <c r="E58" s="32"/>
      <c r="F58" s="87"/>
      <c r="G58" s="48"/>
      <c r="H58" s="84"/>
      <c r="I58" s="80">
        <f t="shared" si="38"/>
        <v>0</v>
      </c>
      <c r="J58" s="79">
        <f t="shared" si="39"/>
        <v>0</v>
      </c>
      <c r="K58" s="49"/>
      <c r="L58" s="84"/>
      <c r="M58" s="81">
        <f t="shared" si="44"/>
        <v>0</v>
      </c>
      <c r="N58" s="79">
        <f t="shared" si="45"/>
        <v>0</v>
      </c>
      <c r="O58" s="48"/>
      <c r="P58" s="84"/>
      <c r="Q58" s="81">
        <f t="shared" si="46"/>
        <v>0</v>
      </c>
      <c r="R58" s="79">
        <f t="shared" si="82"/>
        <v>0</v>
      </c>
      <c r="S58" s="49"/>
      <c r="T58" s="84"/>
      <c r="U58" s="81">
        <f t="shared" si="47"/>
        <v>0</v>
      </c>
      <c r="V58" s="79">
        <f t="shared" si="48"/>
        <v>0</v>
      </c>
      <c r="W58" s="49"/>
      <c r="X58" s="84"/>
      <c r="Y58" s="81">
        <f t="shared" si="41"/>
        <v>0</v>
      </c>
      <c r="Z58" s="79">
        <f t="shared" si="49"/>
        <v>0</v>
      </c>
      <c r="AA58" s="49"/>
      <c r="AB58" s="84"/>
      <c r="AC58" s="81">
        <f t="shared" si="42"/>
        <v>0</v>
      </c>
      <c r="AD58" s="79">
        <f t="shared" si="50"/>
        <v>0</v>
      </c>
      <c r="AE58" s="49"/>
      <c r="AF58" s="84"/>
      <c r="AG58" s="81">
        <f t="shared" si="43"/>
        <v>0</v>
      </c>
      <c r="AH58" s="79">
        <f t="shared" si="51"/>
        <v>0</v>
      </c>
      <c r="AI58" s="48"/>
      <c r="AJ58" s="84"/>
      <c r="AK58" s="81">
        <f t="shared" si="52"/>
        <v>0</v>
      </c>
      <c r="AL58" s="79">
        <f t="shared" si="53"/>
        <v>0</v>
      </c>
      <c r="AM58" s="48"/>
      <c r="AN58" s="84"/>
      <c r="AO58" s="81">
        <f t="shared" si="54"/>
        <v>0</v>
      </c>
      <c r="AP58" s="79">
        <f t="shared" si="55"/>
        <v>0</v>
      </c>
      <c r="AQ58" s="48"/>
      <c r="AR58" s="84"/>
      <c r="AS58" s="81">
        <f t="shared" si="56"/>
        <v>0</v>
      </c>
      <c r="AT58" s="79">
        <f t="shared" si="57"/>
        <v>0</v>
      </c>
      <c r="AU58" s="49"/>
      <c r="AV58" s="84"/>
      <c r="AW58" s="81">
        <f t="shared" si="58"/>
        <v>0</v>
      </c>
      <c r="AX58" s="79">
        <f t="shared" si="59"/>
        <v>0</v>
      </c>
      <c r="AY58" s="49"/>
      <c r="AZ58" s="84"/>
      <c r="BA58" s="81">
        <f t="shared" si="60"/>
        <v>0</v>
      </c>
      <c r="BB58" s="79">
        <f t="shared" si="61"/>
        <v>0</v>
      </c>
      <c r="BC58" s="49"/>
      <c r="BD58" s="84"/>
      <c r="BE58" s="81">
        <f t="shared" si="62"/>
        <v>0</v>
      </c>
      <c r="BF58" s="79">
        <f t="shared" si="63"/>
        <v>0</v>
      </c>
      <c r="BG58" s="49"/>
      <c r="BH58" s="84"/>
      <c r="BI58" s="81">
        <f t="shared" si="64"/>
        <v>0</v>
      </c>
      <c r="BJ58" s="79">
        <f t="shared" si="65"/>
        <v>0</v>
      </c>
      <c r="BK58" s="49"/>
      <c r="BL58" s="84"/>
      <c r="BM58" s="81">
        <f t="shared" si="66"/>
        <v>0</v>
      </c>
      <c r="BN58" s="79">
        <f t="shared" si="67"/>
        <v>0</v>
      </c>
      <c r="BO58" s="49"/>
      <c r="BP58" s="84"/>
      <c r="BQ58" s="81">
        <f t="shared" si="68"/>
        <v>0</v>
      </c>
      <c r="BR58" s="79">
        <f t="shared" si="69"/>
        <v>0</v>
      </c>
      <c r="BS58" s="49"/>
      <c r="BT58" s="84"/>
      <c r="BU58" s="81">
        <f t="shared" si="70"/>
        <v>0</v>
      </c>
      <c r="BV58" s="79">
        <f t="shared" si="71"/>
        <v>0</v>
      </c>
      <c r="BW58" s="48">
        <v>2880</v>
      </c>
      <c r="BX58" s="84"/>
      <c r="BY58" s="81">
        <f t="shared" si="72"/>
        <v>0</v>
      </c>
      <c r="BZ58" s="79">
        <f t="shared" si="73"/>
        <v>0</v>
      </c>
      <c r="CA58" s="48"/>
      <c r="CB58" s="84"/>
      <c r="CC58" s="81">
        <f t="shared" si="74"/>
        <v>0</v>
      </c>
      <c r="CD58" s="79">
        <f t="shared" si="75"/>
        <v>0</v>
      </c>
      <c r="CE58" s="49">
        <v>12480</v>
      </c>
      <c r="CF58" s="84"/>
      <c r="CG58" s="81">
        <f t="shared" si="76"/>
        <v>0</v>
      </c>
      <c r="CH58" s="79">
        <f t="shared" si="77"/>
        <v>0</v>
      </c>
      <c r="CI58" s="33"/>
      <c r="CJ58" s="84"/>
      <c r="CK58" s="81">
        <f t="shared" si="78"/>
        <v>0</v>
      </c>
      <c r="CL58" s="79">
        <f t="shared" si="79"/>
        <v>0</v>
      </c>
      <c r="CM58" s="34"/>
      <c r="CN58" s="34"/>
      <c r="CO58" s="34"/>
      <c r="CP58" s="34"/>
      <c r="CQ58" s="50">
        <f t="shared" si="80"/>
        <v>1</v>
      </c>
      <c r="CR58" s="77">
        <f t="shared" si="81"/>
        <v>0</v>
      </c>
      <c r="CS58" s="28"/>
    </row>
    <row r="59" spans="1:97" ht="15.75" thickBot="1">
      <c r="A59" s="40" t="s">
        <v>157</v>
      </c>
      <c r="B59" s="57"/>
      <c r="C59" s="41" t="s">
        <v>121</v>
      </c>
      <c r="D59" s="42"/>
      <c r="E59" s="42"/>
      <c r="F59" s="88"/>
      <c r="G59" s="58"/>
      <c r="H59" s="85"/>
      <c r="I59" s="80">
        <f t="shared" si="38"/>
        <v>0</v>
      </c>
      <c r="J59" s="79">
        <f t="shared" si="39"/>
        <v>0</v>
      </c>
      <c r="K59" s="59"/>
      <c r="L59" s="85"/>
      <c r="M59" s="82">
        <f t="shared" si="44"/>
        <v>0</v>
      </c>
      <c r="N59" s="79">
        <f t="shared" si="45"/>
        <v>0</v>
      </c>
      <c r="O59" s="58"/>
      <c r="P59" s="85"/>
      <c r="Q59" s="82">
        <f t="shared" si="46"/>
        <v>0</v>
      </c>
      <c r="R59" s="79">
        <f t="shared" si="82"/>
        <v>0</v>
      </c>
      <c r="S59" s="59"/>
      <c r="T59" s="85"/>
      <c r="U59" s="82">
        <f t="shared" si="47"/>
        <v>0</v>
      </c>
      <c r="V59" s="79">
        <f t="shared" si="48"/>
        <v>0</v>
      </c>
      <c r="W59" s="59"/>
      <c r="X59" s="85"/>
      <c r="Y59" s="82">
        <f t="shared" si="41"/>
        <v>0</v>
      </c>
      <c r="Z59" s="79">
        <f t="shared" si="49"/>
        <v>0</v>
      </c>
      <c r="AA59" s="59"/>
      <c r="AB59" s="85"/>
      <c r="AC59" s="82">
        <f t="shared" si="42"/>
        <v>0</v>
      </c>
      <c r="AD59" s="79">
        <f t="shared" si="50"/>
        <v>0</v>
      </c>
      <c r="AE59" s="59"/>
      <c r="AF59" s="85"/>
      <c r="AG59" s="82">
        <f t="shared" si="43"/>
        <v>0</v>
      </c>
      <c r="AH59" s="79">
        <f t="shared" si="51"/>
        <v>0</v>
      </c>
      <c r="AI59" s="58"/>
      <c r="AJ59" s="85"/>
      <c r="AK59" s="82">
        <f t="shared" si="52"/>
        <v>0</v>
      </c>
      <c r="AL59" s="79">
        <f t="shared" si="53"/>
        <v>0</v>
      </c>
      <c r="AM59" s="58"/>
      <c r="AN59" s="85"/>
      <c r="AO59" s="82">
        <f t="shared" si="54"/>
        <v>0</v>
      </c>
      <c r="AP59" s="79">
        <f t="shared" si="55"/>
        <v>0</v>
      </c>
      <c r="AQ59" s="58"/>
      <c r="AR59" s="85"/>
      <c r="AS59" s="82">
        <f t="shared" si="56"/>
        <v>0</v>
      </c>
      <c r="AT59" s="79">
        <f t="shared" si="57"/>
        <v>0</v>
      </c>
      <c r="AU59" s="59"/>
      <c r="AV59" s="85"/>
      <c r="AW59" s="82">
        <f t="shared" si="58"/>
        <v>0</v>
      </c>
      <c r="AX59" s="79">
        <f t="shared" si="59"/>
        <v>0</v>
      </c>
      <c r="AY59" s="59"/>
      <c r="AZ59" s="85"/>
      <c r="BA59" s="82">
        <f t="shared" si="60"/>
        <v>0</v>
      </c>
      <c r="BB59" s="79">
        <f t="shared" si="61"/>
        <v>0</v>
      </c>
      <c r="BC59" s="59"/>
      <c r="BD59" s="85"/>
      <c r="BE59" s="82">
        <f t="shared" si="62"/>
        <v>0</v>
      </c>
      <c r="BF59" s="79">
        <f t="shared" si="63"/>
        <v>0</v>
      </c>
      <c r="BG59" s="59"/>
      <c r="BH59" s="85"/>
      <c r="BI59" s="82">
        <f t="shared" si="64"/>
        <v>0</v>
      </c>
      <c r="BJ59" s="79">
        <f t="shared" si="65"/>
        <v>0</v>
      </c>
      <c r="BK59" s="59"/>
      <c r="BL59" s="85"/>
      <c r="BM59" s="82">
        <f t="shared" si="66"/>
        <v>0</v>
      </c>
      <c r="BN59" s="79">
        <f t="shared" si="67"/>
        <v>0</v>
      </c>
      <c r="BO59" s="59"/>
      <c r="BP59" s="85"/>
      <c r="BQ59" s="82">
        <f t="shared" si="68"/>
        <v>0</v>
      </c>
      <c r="BR59" s="79">
        <f t="shared" si="69"/>
        <v>0</v>
      </c>
      <c r="BS59" s="59"/>
      <c r="BT59" s="85"/>
      <c r="BU59" s="82">
        <f t="shared" si="70"/>
        <v>0</v>
      </c>
      <c r="BV59" s="79">
        <f t="shared" si="71"/>
        <v>0</v>
      </c>
      <c r="BW59" s="58">
        <v>960</v>
      </c>
      <c r="BX59" s="85"/>
      <c r="BY59" s="82">
        <f t="shared" si="72"/>
        <v>0</v>
      </c>
      <c r="BZ59" s="79">
        <f t="shared" si="73"/>
        <v>0</v>
      </c>
      <c r="CA59" s="58"/>
      <c r="CB59" s="85"/>
      <c r="CC59" s="82">
        <f t="shared" si="74"/>
        <v>0</v>
      </c>
      <c r="CD59" s="79">
        <f t="shared" si="75"/>
        <v>0</v>
      </c>
      <c r="CE59" s="59"/>
      <c r="CF59" s="85"/>
      <c r="CG59" s="82">
        <f t="shared" si="76"/>
        <v>0</v>
      </c>
      <c r="CH59" s="79">
        <f t="shared" si="77"/>
        <v>0</v>
      </c>
      <c r="CI59" s="39"/>
      <c r="CJ59" s="85"/>
      <c r="CK59" s="82">
        <f t="shared" si="78"/>
        <v>0</v>
      </c>
      <c r="CL59" s="79">
        <f t="shared" si="79"/>
        <v>0</v>
      </c>
      <c r="CM59" s="44"/>
      <c r="CN59" s="44"/>
      <c r="CO59" s="44"/>
      <c r="CP59" s="44"/>
      <c r="CQ59" s="60">
        <f t="shared" si="80"/>
        <v>1</v>
      </c>
      <c r="CR59" s="77">
        <f t="shared" si="81"/>
        <v>0</v>
      </c>
      <c r="CS59" s="28"/>
    </row>
    <row r="60" spans="1:97" ht="15.75" thickBot="1">
      <c r="A60" s="45"/>
      <c r="B60" s="45"/>
      <c r="C60" s="45"/>
      <c r="D60" s="45"/>
      <c r="E60" s="45"/>
      <c r="F60" s="45"/>
      <c r="G60" s="45"/>
      <c r="H60" s="45"/>
      <c r="I60" s="45"/>
      <c r="J60" s="78">
        <f>SUM(J11:J59)</f>
        <v>0</v>
      </c>
      <c r="K60" s="45"/>
      <c r="L60" s="45"/>
      <c r="M60" s="45"/>
      <c r="N60" s="78">
        <f>SUM(N11:N59)</f>
        <v>0</v>
      </c>
      <c r="O60" s="45"/>
      <c r="P60" s="45"/>
      <c r="Q60" s="45"/>
      <c r="R60" s="78">
        <f>SUM(R11:R59)</f>
        <v>0</v>
      </c>
      <c r="S60" s="45"/>
      <c r="T60" s="45"/>
      <c r="U60" s="45"/>
      <c r="V60" s="78">
        <f>SUM(V11:V59)</f>
        <v>0</v>
      </c>
      <c r="W60" s="45"/>
      <c r="X60" s="45"/>
      <c r="Y60" s="45"/>
      <c r="Z60" s="78">
        <f>SUM(Z11:Z59)</f>
        <v>0</v>
      </c>
      <c r="AA60" s="45"/>
      <c r="AB60" s="45"/>
      <c r="AC60" s="45"/>
      <c r="AD60" s="78">
        <f>SUM(AD11:AD59)</f>
        <v>0</v>
      </c>
      <c r="AE60" s="45"/>
      <c r="AF60" s="45"/>
      <c r="AG60" s="45"/>
      <c r="AH60" s="78">
        <f>SUM(AH11:AH59)</f>
        <v>0</v>
      </c>
      <c r="AI60" s="45"/>
      <c r="AJ60" s="45"/>
      <c r="AK60" s="45"/>
      <c r="AL60" s="78">
        <f>SUM(AL11:AL59)</f>
        <v>0</v>
      </c>
      <c r="AM60" s="45"/>
      <c r="AN60" s="45"/>
      <c r="AO60" s="45"/>
      <c r="AP60" s="78">
        <f>SUM(AP11:AP59)</f>
        <v>0</v>
      </c>
      <c r="AQ60" s="45"/>
      <c r="AR60" s="45"/>
      <c r="AS60" s="45"/>
      <c r="AT60" s="78">
        <f>SUM(AT11:AT59)</f>
        <v>0</v>
      </c>
      <c r="AU60" s="45"/>
      <c r="AV60" s="45"/>
      <c r="AW60" s="45"/>
      <c r="AX60" s="78">
        <f>SUM(AX11:AX59)</f>
        <v>0</v>
      </c>
      <c r="AY60" s="45"/>
      <c r="AZ60" s="45"/>
      <c r="BA60" s="45"/>
      <c r="BB60" s="78">
        <f>SUM(BB11:BB59)</f>
        <v>0</v>
      </c>
      <c r="BC60" s="45"/>
      <c r="BD60" s="45"/>
      <c r="BE60" s="45"/>
      <c r="BF60" s="78">
        <f>SUM(BF11:BF59)</f>
        <v>0</v>
      </c>
      <c r="BG60" s="45"/>
      <c r="BH60" s="45"/>
      <c r="BI60" s="45"/>
      <c r="BJ60" s="78">
        <f>SUM(BJ11:BJ59)</f>
        <v>0</v>
      </c>
      <c r="BK60" s="45"/>
      <c r="BL60" s="45"/>
      <c r="BM60" s="45"/>
      <c r="BN60" s="78">
        <f>SUM(BN11:BN59)</f>
        <v>0</v>
      </c>
      <c r="BO60" s="45"/>
      <c r="BP60" s="45"/>
      <c r="BQ60" s="45"/>
      <c r="BR60" s="78">
        <f>SUM(BR11:BR59)</f>
        <v>0</v>
      </c>
      <c r="BS60" s="45"/>
      <c r="BT60" s="45"/>
      <c r="BU60" s="45"/>
      <c r="BV60" s="78">
        <f>SUM(BV11:BV59)</f>
        <v>0</v>
      </c>
      <c r="BW60" s="45"/>
      <c r="BX60" s="45"/>
      <c r="BY60" s="45"/>
      <c r="BZ60" s="78">
        <f>SUM(BZ11:BZ59)</f>
        <v>0</v>
      </c>
      <c r="CA60" s="45"/>
      <c r="CB60" s="45"/>
      <c r="CC60" s="45"/>
      <c r="CD60" s="78">
        <f>SUM(CD11:CD59)</f>
        <v>0</v>
      </c>
      <c r="CE60" s="45"/>
      <c r="CF60" s="45"/>
      <c r="CG60" s="45"/>
      <c r="CH60" s="78">
        <f>SUM(CH11:CH59)</f>
        <v>0</v>
      </c>
      <c r="CI60" s="45"/>
      <c r="CJ60" s="45"/>
      <c r="CK60" s="45"/>
      <c r="CL60" s="78">
        <f>SUM(CL11:CL59)</f>
        <v>0</v>
      </c>
      <c r="CM60" s="45"/>
      <c r="CN60" s="45"/>
      <c r="CO60" s="45"/>
      <c r="CP60" s="127" t="s">
        <v>158</v>
      </c>
      <c r="CQ60" s="128"/>
      <c r="CR60" s="46">
        <f>SUM(CR11:CR59)</f>
        <v>0</v>
      </c>
    </row>
    <row r="61" spans="1:97" ht="24" thickBot="1">
      <c r="A61" s="93" t="s">
        <v>159</v>
      </c>
      <c r="B61" s="96" t="s">
        <v>160</v>
      </c>
      <c r="C61" s="95" t="s">
        <v>161</v>
      </c>
    </row>
    <row r="62" spans="1:97">
      <c r="A62" s="92" t="s">
        <v>162</v>
      </c>
      <c r="B62" s="97">
        <f>J60</f>
        <v>0</v>
      </c>
      <c r="C62" s="100" t="e">
        <f>(B62/'Proposal Summary'!$D$10)</f>
        <v>#DIV/0!</v>
      </c>
    </row>
    <row r="63" spans="1:97">
      <c r="A63" s="90" t="s">
        <v>163</v>
      </c>
      <c r="B63" s="98">
        <f>N60</f>
        <v>0</v>
      </c>
      <c r="C63" s="100" t="e">
        <f>(B63/'Proposal Summary'!$D$10)</f>
        <v>#DIV/0!</v>
      </c>
      <c r="D63" s="115"/>
      <c r="E63" s="115"/>
    </row>
    <row r="64" spans="1:97">
      <c r="A64" s="90" t="s">
        <v>164</v>
      </c>
      <c r="B64" s="98">
        <f>R60</f>
        <v>0</v>
      </c>
      <c r="C64" s="100" t="e">
        <f>(B64/'Proposal Summary'!$D$10)</f>
        <v>#DIV/0!</v>
      </c>
      <c r="D64" s="115"/>
      <c r="E64" s="115"/>
    </row>
    <row r="65" spans="1:5">
      <c r="A65" s="90" t="s">
        <v>165</v>
      </c>
      <c r="B65" s="98">
        <f>V60</f>
        <v>0</v>
      </c>
      <c r="C65" s="100" t="e">
        <f>(B65/'Proposal Summary'!$D$10)</f>
        <v>#DIV/0!</v>
      </c>
      <c r="D65" s="115"/>
      <c r="E65" s="115"/>
    </row>
    <row r="66" spans="1:5">
      <c r="A66" s="91" t="s">
        <v>166</v>
      </c>
      <c r="B66" s="99">
        <f>Z60</f>
        <v>0</v>
      </c>
      <c r="C66" s="100" t="e">
        <f>(B66/'Proposal Summary'!$D$10)</f>
        <v>#DIV/0!</v>
      </c>
    </row>
    <row r="67" spans="1:5">
      <c r="A67" s="90" t="s">
        <v>167</v>
      </c>
      <c r="B67" s="99">
        <f>AD60</f>
        <v>0</v>
      </c>
      <c r="C67" s="100" t="e">
        <f>(B67/'Proposal Summary'!$D$10)</f>
        <v>#DIV/0!</v>
      </c>
    </row>
    <row r="68" spans="1:5">
      <c r="A68" s="90" t="s">
        <v>168</v>
      </c>
      <c r="B68" s="99">
        <f>AH60</f>
        <v>0</v>
      </c>
      <c r="C68" s="100" t="e">
        <f>(B68/'Proposal Summary'!$D$10)</f>
        <v>#DIV/0!</v>
      </c>
    </row>
    <row r="69" spans="1:5">
      <c r="A69" s="90" t="s">
        <v>169</v>
      </c>
      <c r="B69" s="99">
        <f>AL60</f>
        <v>0</v>
      </c>
      <c r="C69" s="100" t="e">
        <f>(B69/'Proposal Summary'!$D$10)</f>
        <v>#DIV/0!</v>
      </c>
    </row>
    <row r="70" spans="1:5">
      <c r="A70" s="90" t="s">
        <v>170</v>
      </c>
      <c r="B70" s="99">
        <f>AP60</f>
        <v>0</v>
      </c>
      <c r="C70" s="100" t="e">
        <f>(B70/'Proposal Summary'!$D$10)</f>
        <v>#DIV/0!</v>
      </c>
    </row>
    <row r="71" spans="1:5">
      <c r="A71" s="90" t="s">
        <v>171</v>
      </c>
      <c r="B71" s="99">
        <f>AT60</f>
        <v>0</v>
      </c>
      <c r="C71" s="100" t="e">
        <f>(B71/'Proposal Summary'!$D$10)</f>
        <v>#DIV/0!</v>
      </c>
    </row>
    <row r="72" spans="1:5">
      <c r="A72" s="90" t="s">
        <v>172</v>
      </c>
      <c r="B72" s="99">
        <f>AX60</f>
        <v>0</v>
      </c>
      <c r="C72" s="100" t="e">
        <f>(B72/'Proposal Summary'!$D$10)</f>
        <v>#DIV/0!</v>
      </c>
    </row>
    <row r="73" spans="1:5">
      <c r="A73" s="90" t="s">
        <v>173</v>
      </c>
      <c r="B73" s="99">
        <f>BB60</f>
        <v>0</v>
      </c>
      <c r="C73" s="100" t="e">
        <f>(B73/'Proposal Summary'!$D$10)</f>
        <v>#DIV/0!</v>
      </c>
    </row>
    <row r="74" spans="1:5">
      <c r="A74" s="90" t="s">
        <v>174</v>
      </c>
      <c r="B74" s="99">
        <f>BF60</f>
        <v>0</v>
      </c>
      <c r="C74" s="100" t="e">
        <f>(B74/'Proposal Summary'!$D$10)</f>
        <v>#DIV/0!</v>
      </c>
    </row>
    <row r="75" spans="1:5">
      <c r="A75" s="90" t="s">
        <v>175</v>
      </c>
      <c r="B75" s="99">
        <f>BJ60</f>
        <v>0</v>
      </c>
      <c r="C75" s="100" t="e">
        <f>(B75/'Proposal Summary'!$D$10)</f>
        <v>#DIV/0!</v>
      </c>
    </row>
    <row r="76" spans="1:5">
      <c r="A76" s="90" t="s">
        <v>176</v>
      </c>
      <c r="B76" s="99">
        <f>BN60</f>
        <v>0</v>
      </c>
      <c r="C76" s="100" t="e">
        <f>(B76/'Proposal Summary'!$D$10)</f>
        <v>#DIV/0!</v>
      </c>
    </row>
    <row r="77" spans="1:5">
      <c r="A77" s="90" t="s">
        <v>177</v>
      </c>
      <c r="B77" s="99">
        <f>BR60</f>
        <v>0</v>
      </c>
      <c r="C77" s="100" t="e">
        <f>(B77/'Proposal Summary'!$D$10)</f>
        <v>#DIV/0!</v>
      </c>
    </row>
    <row r="78" spans="1:5">
      <c r="A78" s="90" t="s">
        <v>178</v>
      </c>
      <c r="B78" s="99">
        <f>BV60</f>
        <v>0</v>
      </c>
      <c r="C78" s="100" t="e">
        <f>(B78/'Proposal Summary'!$D$10)</f>
        <v>#DIV/0!</v>
      </c>
    </row>
    <row r="79" spans="1:5">
      <c r="A79" s="90" t="s">
        <v>179</v>
      </c>
      <c r="B79" s="99">
        <f>BZ60</f>
        <v>0</v>
      </c>
      <c r="C79" s="100" t="e">
        <f>(B79/'Proposal Summary'!$D$10)</f>
        <v>#DIV/0!</v>
      </c>
    </row>
    <row r="80" spans="1:5">
      <c r="A80" s="90" t="s">
        <v>180</v>
      </c>
      <c r="B80" s="99">
        <f>CD60</f>
        <v>0</v>
      </c>
      <c r="C80" s="100" t="e">
        <f>(B80/'Proposal Summary'!$D$10)</f>
        <v>#DIV/0!</v>
      </c>
    </row>
    <row r="81" spans="1:3">
      <c r="A81" s="90" t="s">
        <v>181</v>
      </c>
      <c r="B81" s="99">
        <f>CH60</f>
        <v>0</v>
      </c>
      <c r="C81" s="100" t="e">
        <f>(B81/'Proposal Summary'!$D$10)</f>
        <v>#DIV/0!</v>
      </c>
    </row>
    <row r="82" spans="1:3">
      <c r="A82" s="90" t="s">
        <v>182</v>
      </c>
      <c r="B82" s="99">
        <f>CL60</f>
        <v>0</v>
      </c>
      <c r="C82" s="100" t="e">
        <f>(B82/'Proposal Summary'!$D$10)</f>
        <v>#DIV/0!</v>
      </c>
    </row>
  </sheetData>
  <mergeCells count="2">
    <mergeCell ref="A1:B1"/>
    <mergeCell ref="CP60:CQ60"/>
  </mergeCells>
  <dataValidations count="1">
    <dataValidation type="list" allowBlank="1" showInputMessage="1" showErrorMessage="1" sqref="D11:E59" xr:uid="{C71361E7-874B-45F9-9592-A4901E8F7E2F}">
      <formula1>"Yes, No"</formula1>
    </dataValidation>
  </dataValidations>
  <pageMargins left="0.25" right="0.25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56C8-B9FB-4911-A645-CBA0F7C684DB}">
  <sheetPr codeName="Sheet3">
    <pageSetUpPr fitToPage="1"/>
  </sheetPr>
  <dimension ref="A1:CS82"/>
  <sheetViews>
    <sheetView zoomScale="60" zoomScaleNormal="60" workbookViewId="0">
      <pane ySplit="615" activePane="bottomLeft"/>
      <selection pane="bottomLeft" activeCell="C3" sqref="C3"/>
    </sheetView>
  </sheetViews>
  <sheetFormatPr defaultColWidth="9.140625" defaultRowHeight="15"/>
  <cols>
    <col min="1" max="1" width="66.5703125" style="17" bestFit="1" customWidth="1"/>
    <col min="2" max="2" width="31.28515625" style="17" bestFit="1" customWidth="1"/>
    <col min="3" max="3" width="34.28515625" style="17" bestFit="1" customWidth="1"/>
    <col min="4" max="4" width="23.140625" style="17" bestFit="1" customWidth="1"/>
    <col min="5" max="5" width="18" style="17" bestFit="1" customWidth="1"/>
    <col min="6" max="6" width="15" style="17" bestFit="1" customWidth="1"/>
    <col min="7" max="7" width="21.140625" style="17" customWidth="1"/>
    <col min="8" max="10" width="20" style="17" customWidth="1"/>
    <col min="11" max="11" width="24.5703125" style="17" customWidth="1"/>
    <col min="12" max="12" width="25.42578125" style="17" customWidth="1"/>
    <col min="13" max="13" width="20" style="17" customWidth="1"/>
    <col min="14" max="27" width="20.28515625" style="17" customWidth="1"/>
    <col min="28" max="28" width="22.140625" style="17" customWidth="1"/>
    <col min="29" max="30" width="20" style="17" customWidth="1"/>
    <col min="31" max="31" width="22.140625" style="17" customWidth="1"/>
    <col min="32" max="32" width="24.5703125" style="17" customWidth="1"/>
    <col min="33" max="33" width="25.42578125" style="17" customWidth="1"/>
    <col min="34" max="57" width="20" style="17" customWidth="1"/>
    <col min="58" max="58" width="21.5703125" style="17" customWidth="1"/>
    <col min="59" max="60" width="23.28515625" style="17" customWidth="1"/>
    <col min="61" max="63" width="20" style="17" customWidth="1"/>
    <col min="64" max="65" width="26.85546875" style="17" bestFit="1" customWidth="1"/>
    <col min="66" max="66" width="20" style="17" customWidth="1"/>
    <col min="67" max="67" width="24.28515625" style="17" bestFit="1" customWidth="1"/>
    <col min="68" max="68" width="21.7109375" style="17" bestFit="1" customWidth="1"/>
    <col min="69" max="69" width="21.7109375" style="17" customWidth="1"/>
    <col min="70" max="70" width="22.7109375" style="17" bestFit="1" customWidth="1"/>
    <col min="71" max="72" width="20" style="17" customWidth="1"/>
    <col min="73" max="73" width="24.42578125" style="17" bestFit="1" customWidth="1"/>
    <col min="74" max="74" width="34.140625" style="17" bestFit="1" customWidth="1"/>
    <col min="75" max="75" width="35.42578125" style="17" bestFit="1" customWidth="1"/>
    <col min="76" max="76" width="30.5703125" style="17" bestFit="1" customWidth="1"/>
    <col min="77" max="78" width="9.140625" style="17"/>
    <col min="79" max="79" width="15.28515625" style="17" customWidth="1"/>
    <col min="80" max="85" width="9.140625" style="17"/>
    <col min="86" max="86" width="13.7109375" style="17" bestFit="1" customWidth="1"/>
    <col min="87" max="87" width="11.85546875" style="17" customWidth="1"/>
    <col min="88" max="95" width="9.140625" style="17"/>
    <col min="96" max="96" width="12.28515625" style="17" bestFit="1" customWidth="1"/>
    <col min="97" max="16384" width="9.140625" style="17"/>
  </cols>
  <sheetData>
    <row r="1" spans="1:97" ht="36">
      <c r="A1" s="138" t="s">
        <v>9</v>
      </c>
      <c r="B1" s="139"/>
    </row>
    <row r="2" spans="1:97">
      <c r="A2" s="18" t="s">
        <v>4</v>
      </c>
      <c r="B2" s="18" t="s">
        <v>5</v>
      </c>
      <c r="C2" s="18" t="s">
        <v>6</v>
      </c>
      <c r="D2" s="19"/>
      <c r="E2" s="19"/>
      <c r="F2" s="18" t="s">
        <v>21</v>
      </c>
      <c r="G2" s="18" t="s">
        <v>7</v>
      </c>
    </row>
    <row r="3" spans="1:97" s="1" customFormat="1">
      <c r="A3" s="101" t="s">
        <v>9</v>
      </c>
      <c r="B3" s="102">
        <v>46614</v>
      </c>
      <c r="C3" s="102">
        <v>46979</v>
      </c>
      <c r="D3" s="21"/>
      <c r="E3" s="21"/>
      <c r="F3" s="103">
        <v>0</v>
      </c>
      <c r="G3" s="23">
        <f>Q59</f>
        <v>0</v>
      </c>
    </row>
    <row r="6" spans="1:97">
      <c r="A6" s="24" t="s">
        <v>22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9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9" spans="1:97" ht="15.75" thickBot="1"/>
    <row r="10" spans="1:97" s="29" customFormat="1" ht="63.75" customHeight="1" thickBot="1">
      <c r="A10" s="69" t="s">
        <v>23</v>
      </c>
      <c r="B10" s="70" t="s">
        <v>24</v>
      </c>
      <c r="C10" s="70" t="s">
        <v>25</v>
      </c>
      <c r="D10" s="70" t="s">
        <v>26</v>
      </c>
      <c r="E10" s="70" t="s">
        <v>27</v>
      </c>
      <c r="F10" s="70" t="s">
        <v>28</v>
      </c>
      <c r="G10" s="116" t="s">
        <v>29</v>
      </c>
      <c r="H10" s="70" t="s">
        <v>183</v>
      </c>
      <c r="I10" s="72" t="s">
        <v>184</v>
      </c>
      <c r="J10" s="73" t="s">
        <v>185</v>
      </c>
      <c r="K10" s="72" t="s">
        <v>33</v>
      </c>
      <c r="L10" s="72" t="s">
        <v>34</v>
      </c>
      <c r="M10" s="72" t="s">
        <v>35</v>
      </c>
      <c r="N10" s="73" t="s">
        <v>36</v>
      </c>
      <c r="O10" s="116" t="s">
        <v>37</v>
      </c>
      <c r="P10" s="74" t="s">
        <v>186</v>
      </c>
      <c r="Q10" s="75" t="s">
        <v>187</v>
      </c>
      <c r="R10" s="73" t="s">
        <v>188</v>
      </c>
      <c r="S10" s="75" t="s">
        <v>41</v>
      </c>
      <c r="T10" s="75" t="s">
        <v>42</v>
      </c>
      <c r="U10" s="75" t="s">
        <v>43</v>
      </c>
      <c r="V10" s="73" t="s">
        <v>44</v>
      </c>
      <c r="W10" s="75" t="s">
        <v>45</v>
      </c>
      <c r="X10" s="75" t="s">
        <v>46</v>
      </c>
      <c r="Y10" s="75" t="s">
        <v>47</v>
      </c>
      <c r="Z10" s="73" t="s">
        <v>48</v>
      </c>
      <c r="AA10" s="75" t="s">
        <v>49</v>
      </c>
      <c r="AB10" s="75" t="s">
        <v>50</v>
      </c>
      <c r="AC10" s="75" t="s">
        <v>51</v>
      </c>
      <c r="AD10" s="73" t="s">
        <v>52</v>
      </c>
      <c r="AE10" s="75" t="s">
        <v>53</v>
      </c>
      <c r="AF10" s="75" t="s">
        <v>54</v>
      </c>
      <c r="AG10" s="75" t="s">
        <v>55</v>
      </c>
      <c r="AH10" s="73" t="s">
        <v>56</v>
      </c>
      <c r="AI10" s="116" t="s">
        <v>189</v>
      </c>
      <c r="AJ10" s="70" t="s">
        <v>190</v>
      </c>
      <c r="AK10" s="72" t="s">
        <v>191</v>
      </c>
      <c r="AL10" s="73" t="s">
        <v>192</v>
      </c>
      <c r="AM10" s="116" t="s">
        <v>61</v>
      </c>
      <c r="AN10" s="72" t="s">
        <v>62</v>
      </c>
      <c r="AO10" s="72" t="s">
        <v>63</v>
      </c>
      <c r="AP10" s="73" t="s">
        <v>64</v>
      </c>
      <c r="AQ10" s="117" t="s">
        <v>193</v>
      </c>
      <c r="AR10" s="70" t="s">
        <v>66</v>
      </c>
      <c r="AS10" s="72" t="s">
        <v>67</v>
      </c>
      <c r="AT10" s="73" t="s">
        <v>68</v>
      </c>
      <c r="AU10" s="72" t="s">
        <v>69</v>
      </c>
      <c r="AV10" s="72" t="s">
        <v>70</v>
      </c>
      <c r="AW10" s="72" t="s">
        <v>71</v>
      </c>
      <c r="AX10" s="73" t="s">
        <v>72</v>
      </c>
      <c r="AY10" s="72" t="s">
        <v>73</v>
      </c>
      <c r="AZ10" s="72" t="s">
        <v>74</v>
      </c>
      <c r="BA10" s="72" t="s">
        <v>75</v>
      </c>
      <c r="BB10" s="73" t="s">
        <v>76</v>
      </c>
      <c r="BC10" s="72" t="s">
        <v>77</v>
      </c>
      <c r="BD10" s="72" t="s">
        <v>78</v>
      </c>
      <c r="BE10" s="72" t="s">
        <v>79</v>
      </c>
      <c r="BF10" s="73" t="s">
        <v>80</v>
      </c>
      <c r="BG10" s="72" t="s">
        <v>81</v>
      </c>
      <c r="BH10" s="72" t="s">
        <v>82</v>
      </c>
      <c r="BI10" s="72" t="s">
        <v>83</v>
      </c>
      <c r="BJ10" s="73" t="s">
        <v>84</v>
      </c>
      <c r="BK10" s="72" t="s">
        <v>85</v>
      </c>
      <c r="BL10" s="72" t="s">
        <v>86</v>
      </c>
      <c r="BM10" s="72" t="s">
        <v>87</v>
      </c>
      <c r="BN10" s="73" t="s">
        <v>88</v>
      </c>
      <c r="BO10" s="72" t="s">
        <v>89</v>
      </c>
      <c r="BP10" s="72" t="s">
        <v>90</v>
      </c>
      <c r="BQ10" s="72" t="s">
        <v>91</v>
      </c>
      <c r="BR10" s="73" t="s">
        <v>92</v>
      </c>
      <c r="BS10" s="72" t="s">
        <v>93</v>
      </c>
      <c r="BT10" s="72" t="s">
        <v>94</v>
      </c>
      <c r="BU10" s="72" t="s">
        <v>95</v>
      </c>
      <c r="BV10" s="73" t="s">
        <v>96</v>
      </c>
      <c r="BW10" s="72" t="s">
        <v>97</v>
      </c>
      <c r="BX10" s="70" t="s">
        <v>98</v>
      </c>
      <c r="BY10" s="72" t="s">
        <v>99</v>
      </c>
      <c r="BZ10" s="73" t="s">
        <v>100</v>
      </c>
      <c r="CA10" s="117" t="s">
        <v>194</v>
      </c>
      <c r="CB10" s="70" t="s">
        <v>102</v>
      </c>
      <c r="CC10" s="72" t="s">
        <v>103</v>
      </c>
      <c r="CD10" s="73" t="s">
        <v>104</v>
      </c>
      <c r="CE10" s="72" t="s">
        <v>105</v>
      </c>
      <c r="CF10" s="72" t="s">
        <v>106</v>
      </c>
      <c r="CG10" s="72" t="s">
        <v>107</v>
      </c>
      <c r="CH10" s="73" t="s">
        <v>108</v>
      </c>
      <c r="CI10" s="71" t="s">
        <v>195</v>
      </c>
      <c r="CJ10" s="70" t="s">
        <v>196</v>
      </c>
      <c r="CK10" s="72" t="s">
        <v>197</v>
      </c>
      <c r="CL10" s="73" t="s">
        <v>198</v>
      </c>
      <c r="CM10" s="72" t="s">
        <v>113</v>
      </c>
      <c r="CN10" s="72" t="s">
        <v>114</v>
      </c>
      <c r="CO10" s="72" t="s">
        <v>115</v>
      </c>
      <c r="CP10" s="72" t="s">
        <v>116</v>
      </c>
      <c r="CQ10" s="70" t="s">
        <v>117</v>
      </c>
      <c r="CR10" s="76" t="s">
        <v>118</v>
      </c>
      <c r="CS10" s="28"/>
    </row>
    <row r="11" spans="1:97" s="1" customFormat="1">
      <c r="A11" s="61" t="s">
        <v>119</v>
      </c>
      <c r="B11" s="62"/>
      <c r="C11" s="63" t="s">
        <v>120</v>
      </c>
      <c r="D11" s="64"/>
      <c r="E11" s="64"/>
      <c r="F11" s="86"/>
      <c r="G11" s="65"/>
      <c r="H11" s="83"/>
      <c r="I11" s="80">
        <f>H11*CQ11</f>
        <v>0</v>
      </c>
      <c r="J11" s="79">
        <f>G11*I11</f>
        <v>0</v>
      </c>
      <c r="K11" s="66"/>
      <c r="L11" s="83"/>
      <c r="M11" s="80">
        <f t="shared" ref="M11:M26" si="0">L11*CQ11</f>
        <v>0</v>
      </c>
      <c r="N11" s="79">
        <f t="shared" ref="N11:N42" si="1">K11*M11</f>
        <v>0</v>
      </c>
      <c r="O11" s="65"/>
      <c r="P11" s="83"/>
      <c r="Q11" s="80">
        <f t="shared" ref="Q11:Q42" si="2">P11*CQ11</f>
        <v>0</v>
      </c>
      <c r="R11" s="79">
        <f t="shared" ref="R11:R42" si="3">O11*Q11</f>
        <v>0</v>
      </c>
      <c r="S11" s="66"/>
      <c r="T11" s="83"/>
      <c r="U11" s="80">
        <f t="shared" ref="U11:U42" si="4">T11*CQ11</f>
        <v>0</v>
      </c>
      <c r="V11" s="79">
        <f t="shared" ref="V11:V42" si="5">S11*U11</f>
        <v>0</v>
      </c>
      <c r="W11" s="66"/>
      <c r="X11" s="83"/>
      <c r="Y11" s="80">
        <f>X11*CQ11</f>
        <v>0</v>
      </c>
      <c r="Z11" s="79">
        <f t="shared" ref="Z11:Z42" si="6">W11*Y11</f>
        <v>0</v>
      </c>
      <c r="AA11" s="66"/>
      <c r="AB11" s="83"/>
      <c r="AC11" s="80">
        <f>AB11*CQ11</f>
        <v>0</v>
      </c>
      <c r="AD11" s="79">
        <f t="shared" ref="AD11:AD42" si="7">AA11*AC11</f>
        <v>0</v>
      </c>
      <c r="AE11" s="66"/>
      <c r="AF11" s="83"/>
      <c r="AG11" s="80">
        <f>AF11*CQ11</f>
        <v>0</v>
      </c>
      <c r="AH11" s="79">
        <f t="shared" ref="AH11:AH42" si="8">AE11*AG11</f>
        <v>0</v>
      </c>
      <c r="AI11" s="65"/>
      <c r="AJ11" s="83"/>
      <c r="AK11" s="80">
        <f t="shared" ref="AK11:AK42" si="9">AJ11*CQ11</f>
        <v>0</v>
      </c>
      <c r="AL11" s="79">
        <f t="shared" ref="AL11:AL42" si="10">AI11*AK11</f>
        <v>0</v>
      </c>
      <c r="AM11" s="65"/>
      <c r="AN11" s="83"/>
      <c r="AO11" s="80">
        <f t="shared" ref="AO11:AO42" si="11">AN11*CQ11</f>
        <v>0</v>
      </c>
      <c r="AP11" s="79">
        <f t="shared" ref="AP11:AP42" si="12">AM11*AO11</f>
        <v>0</v>
      </c>
      <c r="AQ11" s="65"/>
      <c r="AR11" s="83"/>
      <c r="AS11" s="80">
        <f t="shared" ref="AS11:AS42" si="13">AR11*CQ11</f>
        <v>0</v>
      </c>
      <c r="AT11" s="79">
        <f t="shared" ref="AT11:AT42" si="14">AQ11*AS11</f>
        <v>0</v>
      </c>
      <c r="AU11" s="66"/>
      <c r="AV11" s="83"/>
      <c r="AW11" s="80">
        <v>0</v>
      </c>
      <c r="AX11" s="79">
        <v>0</v>
      </c>
      <c r="AY11" s="66"/>
      <c r="AZ11" s="83"/>
      <c r="BA11" s="80">
        <v>0</v>
      </c>
      <c r="BB11" s="79">
        <v>0</v>
      </c>
      <c r="BC11" s="66"/>
      <c r="BD11" s="83"/>
      <c r="BE11" s="80">
        <v>0</v>
      </c>
      <c r="BF11" s="79">
        <v>0</v>
      </c>
      <c r="BG11" s="66"/>
      <c r="BH11" s="83"/>
      <c r="BI11" s="80">
        <v>0</v>
      </c>
      <c r="BJ11" s="79">
        <v>0</v>
      </c>
      <c r="BK11" s="66"/>
      <c r="BL11" s="83"/>
      <c r="BM11" s="80">
        <v>0</v>
      </c>
      <c r="BN11" s="79">
        <v>0</v>
      </c>
      <c r="BO11" s="66"/>
      <c r="BP11" s="83"/>
      <c r="BQ11" s="80">
        <v>0</v>
      </c>
      <c r="BR11" s="79">
        <v>0</v>
      </c>
      <c r="BS11" s="66"/>
      <c r="BT11" s="83"/>
      <c r="BU11" s="80">
        <f t="shared" ref="BU11:BU42" si="15">BT11*CQ11</f>
        <v>0</v>
      </c>
      <c r="BV11" s="79">
        <f t="shared" ref="BV11:BV42" si="16">BS11*BU11</f>
        <v>0</v>
      </c>
      <c r="BW11" s="65">
        <v>480</v>
      </c>
      <c r="BX11" s="83"/>
      <c r="BY11" s="80">
        <f t="shared" ref="BY11:BY42" si="17">BX11*CQ11</f>
        <v>0</v>
      </c>
      <c r="BZ11" s="79">
        <f t="shared" ref="BZ11:BZ42" si="18">BW11*BY11</f>
        <v>0</v>
      </c>
      <c r="CA11" s="65"/>
      <c r="CB11" s="83"/>
      <c r="CC11" s="80">
        <v>0</v>
      </c>
      <c r="CD11" s="79">
        <v>0</v>
      </c>
      <c r="CE11" s="66"/>
      <c r="CF11" s="83"/>
      <c r="CG11" s="80">
        <f t="shared" ref="CG11:CG42" si="19">CF11*CQ11</f>
        <v>0</v>
      </c>
      <c r="CH11" s="79">
        <f t="shared" ref="CH11:CH42" si="20">CE11*CG11</f>
        <v>0</v>
      </c>
      <c r="CI11" s="43"/>
      <c r="CJ11" s="83"/>
      <c r="CK11" s="80">
        <f t="shared" ref="CK11:CK42" si="21">CJ11*CQ11</f>
        <v>0</v>
      </c>
      <c r="CL11" s="79">
        <f t="shared" ref="CL11:CL42" si="22">CI11*CK11</f>
        <v>0</v>
      </c>
      <c r="CM11" s="67">
        <v>0.1</v>
      </c>
      <c r="CN11" s="67">
        <v>0.15</v>
      </c>
      <c r="CO11" s="67">
        <v>0.05</v>
      </c>
      <c r="CP11" s="67">
        <v>0.1</v>
      </c>
      <c r="CQ11" s="68">
        <f t="shared" ref="CQ11:CQ42" si="23">(1+CM11)*(1+CN11)*(1+CO11)*(1+CP11)</f>
        <v>1.4610750000000001</v>
      </c>
      <c r="CR11" s="77">
        <f t="shared" ref="CR11:CR42" si="24">J11+N11+R11+V11+Z11+AD11+AH11+AL11+AP11+AT11+AX11+BB11+BF11+BJ11+BN11+BR11+BV11+BZ11+CD11+CH11+CL11</f>
        <v>0</v>
      </c>
      <c r="CS11" s="35"/>
    </row>
    <row r="12" spans="1:97" s="1" customFormat="1">
      <c r="A12" s="30" t="s">
        <v>119</v>
      </c>
      <c r="B12" s="47"/>
      <c r="C12" s="31" t="s">
        <v>121</v>
      </c>
      <c r="D12" s="32"/>
      <c r="E12" s="32"/>
      <c r="F12" s="87"/>
      <c r="G12" s="48"/>
      <c r="H12" s="84"/>
      <c r="I12" s="80">
        <f t="shared" ref="I12:I59" si="25">H12*CQ12</f>
        <v>0</v>
      </c>
      <c r="J12" s="79">
        <f t="shared" ref="J12:J59" si="26">G12*I12</f>
        <v>0</v>
      </c>
      <c r="K12" s="49"/>
      <c r="L12" s="84"/>
      <c r="M12" s="81">
        <f t="shared" si="0"/>
        <v>0</v>
      </c>
      <c r="N12" s="79">
        <f t="shared" si="1"/>
        <v>0</v>
      </c>
      <c r="O12" s="48"/>
      <c r="P12" s="84"/>
      <c r="Q12" s="81">
        <f t="shared" si="2"/>
        <v>0</v>
      </c>
      <c r="R12" s="79">
        <f t="shared" si="3"/>
        <v>0</v>
      </c>
      <c r="S12" s="49"/>
      <c r="T12" s="84"/>
      <c r="U12" s="81">
        <f t="shared" si="4"/>
        <v>0</v>
      </c>
      <c r="V12" s="79">
        <f t="shared" si="5"/>
        <v>0</v>
      </c>
      <c r="W12" s="49"/>
      <c r="X12" s="84"/>
      <c r="Y12" s="81">
        <f t="shared" ref="Y12:Y59" si="27">X12*CT12</f>
        <v>0</v>
      </c>
      <c r="Z12" s="79">
        <f t="shared" si="6"/>
        <v>0</v>
      </c>
      <c r="AA12" s="49"/>
      <c r="AB12" s="84"/>
      <c r="AC12" s="81">
        <f t="shared" ref="AC12:AC59" si="28">AB12*CW12</f>
        <v>0</v>
      </c>
      <c r="AD12" s="79">
        <f t="shared" si="7"/>
        <v>0</v>
      </c>
      <c r="AE12" s="49"/>
      <c r="AF12" s="84"/>
      <c r="AG12" s="81">
        <f t="shared" ref="AG12:AG59" si="29">AF12*CZ12</f>
        <v>0</v>
      </c>
      <c r="AH12" s="79">
        <f t="shared" si="8"/>
        <v>0</v>
      </c>
      <c r="AI12" s="48"/>
      <c r="AJ12" s="84"/>
      <c r="AK12" s="81">
        <f t="shared" si="9"/>
        <v>0</v>
      </c>
      <c r="AL12" s="79">
        <f t="shared" si="10"/>
        <v>0</v>
      </c>
      <c r="AM12" s="48"/>
      <c r="AN12" s="84"/>
      <c r="AO12" s="81">
        <f t="shared" si="11"/>
        <v>0</v>
      </c>
      <c r="AP12" s="79">
        <f t="shared" si="12"/>
        <v>0</v>
      </c>
      <c r="AQ12" s="48"/>
      <c r="AR12" s="84"/>
      <c r="AS12" s="81">
        <f t="shared" si="13"/>
        <v>0</v>
      </c>
      <c r="AT12" s="79">
        <f t="shared" si="14"/>
        <v>0</v>
      </c>
      <c r="AU12" s="49"/>
      <c r="AV12" s="84"/>
      <c r="AW12" s="81">
        <v>0</v>
      </c>
      <c r="AX12" s="79">
        <v>0</v>
      </c>
      <c r="AY12" s="49"/>
      <c r="AZ12" s="84"/>
      <c r="BA12" s="81">
        <v>0</v>
      </c>
      <c r="BB12" s="79">
        <v>0</v>
      </c>
      <c r="BC12" s="49"/>
      <c r="BD12" s="84"/>
      <c r="BE12" s="81">
        <v>0</v>
      </c>
      <c r="BF12" s="79">
        <v>0</v>
      </c>
      <c r="BG12" s="49"/>
      <c r="BH12" s="84"/>
      <c r="BI12" s="81">
        <v>0</v>
      </c>
      <c r="BJ12" s="79">
        <v>0</v>
      </c>
      <c r="BK12" s="49"/>
      <c r="BL12" s="84"/>
      <c r="BM12" s="81">
        <v>0</v>
      </c>
      <c r="BN12" s="79">
        <v>0</v>
      </c>
      <c r="BO12" s="51"/>
      <c r="BP12" s="84"/>
      <c r="BQ12" s="81">
        <v>0</v>
      </c>
      <c r="BR12" s="79">
        <v>0</v>
      </c>
      <c r="BS12" s="49"/>
      <c r="BT12" s="84"/>
      <c r="BU12" s="81">
        <f t="shared" si="15"/>
        <v>0</v>
      </c>
      <c r="BV12" s="79">
        <f t="shared" si="16"/>
        <v>0</v>
      </c>
      <c r="BW12" s="48">
        <v>480</v>
      </c>
      <c r="BX12" s="84"/>
      <c r="BY12" s="81">
        <f t="shared" si="17"/>
        <v>0</v>
      </c>
      <c r="BZ12" s="79">
        <f t="shared" si="18"/>
        <v>0</v>
      </c>
      <c r="CA12" s="48"/>
      <c r="CB12" s="84"/>
      <c r="CC12" s="81">
        <v>0</v>
      </c>
      <c r="CD12" s="79">
        <v>0</v>
      </c>
      <c r="CE12" s="49"/>
      <c r="CF12" s="84"/>
      <c r="CG12" s="81">
        <f t="shared" si="19"/>
        <v>0</v>
      </c>
      <c r="CH12" s="79">
        <f t="shared" si="20"/>
        <v>0</v>
      </c>
      <c r="CI12" s="33"/>
      <c r="CJ12" s="84"/>
      <c r="CK12" s="81">
        <f t="shared" si="21"/>
        <v>0</v>
      </c>
      <c r="CL12" s="79">
        <f t="shared" si="22"/>
        <v>0</v>
      </c>
      <c r="CM12" s="34"/>
      <c r="CN12" s="34"/>
      <c r="CO12" s="34"/>
      <c r="CP12" s="34"/>
      <c r="CQ12" s="50">
        <f t="shared" si="23"/>
        <v>1</v>
      </c>
      <c r="CR12" s="77">
        <f t="shared" si="24"/>
        <v>0</v>
      </c>
      <c r="CS12" s="35"/>
    </row>
    <row r="13" spans="1:97" s="1" customFormat="1">
      <c r="A13" s="30" t="s">
        <v>122</v>
      </c>
      <c r="B13" s="47"/>
      <c r="C13" s="31" t="s">
        <v>121</v>
      </c>
      <c r="D13" s="32"/>
      <c r="E13" s="32"/>
      <c r="F13" s="87"/>
      <c r="G13" s="48"/>
      <c r="H13" s="84"/>
      <c r="I13" s="80">
        <f t="shared" si="25"/>
        <v>0</v>
      </c>
      <c r="J13" s="79">
        <f t="shared" si="26"/>
        <v>0</v>
      </c>
      <c r="K13" s="49"/>
      <c r="L13" s="84"/>
      <c r="M13" s="81">
        <f t="shared" si="0"/>
        <v>0</v>
      </c>
      <c r="N13" s="79">
        <f t="shared" si="1"/>
        <v>0</v>
      </c>
      <c r="O13" s="48">
        <v>3840</v>
      </c>
      <c r="P13" s="84"/>
      <c r="Q13" s="81">
        <f t="shared" si="2"/>
        <v>0</v>
      </c>
      <c r="R13" s="79">
        <f t="shared" si="3"/>
        <v>0</v>
      </c>
      <c r="S13" s="49"/>
      <c r="T13" s="84"/>
      <c r="U13" s="81">
        <f t="shared" si="4"/>
        <v>0</v>
      </c>
      <c r="V13" s="79">
        <f t="shared" si="5"/>
        <v>0</v>
      </c>
      <c r="W13" s="49"/>
      <c r="X13" s="84"/>
      <c r="Y13" s="81">
        <f t="shared" si="27"/>
        <v>0</v>
      </c>
      <c r="Z13" s="79">
        <f t="shared" si="6"/>
        <v>0</v>
      </c>
      <c r="AA13" s="49"/>
      <c r="AB13" s="84"/>
      <c r="AC13" s="81">
        <f t="shared" si="28"/>
        <v>0</v>
      </c>
      <c r="AD13" s="79">
        <f t="shared" si="7"/>
        <v>0</v>
      </c>
      <c r="AE13" s="49"/>
      <c r="AF13" s="84"/>
      <c r="AG13" s="81">
        <f t="shared" si="29"/>
        <v>0</v>
      </c>
      <c r="AH13" s="79">
        <f t="shared" si="8"/>
        <v>0</v>
      </c>
      <c r="AI13" s="48"/>
      <c r="AJ13" s="84"/>
      <c r="AK13" s="81">
        <f t="shared" si="9"/>
        <v>0</v>
      </c>
      <c r="AL13" s="79">
        <f t="shared" si="10"/>
        <v>0</v>
      </c>
      <c r="AM13" s="48"/>
      <c r="AN13" s="84"/>
      <c r="AO13" s="81">
        <f t="shared" si="11"/>
        <v>0</v>
      </c>
      <c r="AP13" s="79">
        <f t="shared" si="12"/>
        <v>0</v>
      </c>
      <c r="AQ13" s="48"/>
      <c r="AR13" s="84"/>
      <c r="AS13" s="81">
        <f t="shared" si="13"/>
        <v>0</v>
      </c>
      <c r="AT13" s="79">
        <f t="shared" si="14"/>
        <v>0</v>
      </c>
      <c r="AU13" s="49"/>
      <c r="AV13" s="84"/>
      <c r="AW13" s="81">
        <v>0</v>
      </c>
      <c r="AX13" s="79">
        <v>0</v>
      </c>
      <c r="AY13" s="49"/>
      <c r="AZ13" s="84"/>
      <c r="BA13" s="81">
        <v>0</v>
      </c>
      <c r="BB13" s="79">
        <v>0</v>
      </c>
      <c r="BC13" s="49"/>
      <c r="BD13" s="84"/>
      <c r="BE13" s="81">
        <v>0</v>
      </c>
      <c r="BF13" s="79">
        <v>0</v>
      </c>
      <c r="BG13" s="49"/>
      <c r="BH13" s="84"/>
      <c r="BI13" s="81">
        <v>0</v>
      </c>
      <c r="BJ13" s="79">
        <v>0</v>
      </c>
      <c r="BK13" s="49"/>
      <c r="BL13" s="84"/>
      <c r="BM13" s="81">
        <v>0</v>
      </c>
      <c r="BN13" s="79">
        <v>0</v>
      </c>
      <c r="BO13" s="49"/>
      <c r="BP13" s="84"/>
      <c r="BQ13" s="81">
        <v>0</v>
      </c>
      <c r="BR13" s="79">
        <v>0</v>
      </c>
      <c r="BS13" s="49"/>
      <c r="BT13" s="84"/>
      <c r="BU13" s="81">
        <f t="shared" si="15"/>
        <v>0</v>
      </c>
      <c r="BV13" s="79">
        <f t="shared" si="16"/>
        <v>0</v>
      </c>
      <c r="BW13" s="48"/>
      <c r="BX13" s="84"/>
      <c r="BY13" s="81">
        <f t="shared" si="17"/>
        <v>0</v>
      </c>
      <c r="BZ13" s="79">
        <f t="shared" si="18"/>
        <v>0</v>
      </c>
      <c r="CA13" s="48"/>
      <c r="CB13" s="84"/>
      <c r="CC13" s="81">
        <v>0</v>
      </c>
      <c r="CD13" s="79">
        <v>0</v>
      </c>
      <c r="CE13" s="49"/>
      <c r="CF13" s="84"/>
      <c r="CG13" s="81">
        <f t="shared" si="19"/>
        <v>0</v>
      </c>
      <c r="CH13" s="79">
        <f t="shared" si="20"/>
        <v>0</v>
      </c>
      <c r="CI13" s="33"/>
      <c r="CJ13" s="84"/>
      <c r="CK13" s="81">
        <f t="shared" si="21"/>
        <v>0</v>
      </c>
      <c r="CL13" s="79">
        <f t="shared" si="22"/>
        <v>0</v>
      </c>
      <c r="CM13" s="34"/>
      <c r="CN13" s="34"/>
      <c r="CO13" s="34"/>
      <c r="CP13" s="34"/>
      <c r="CQ13" s="50">
        <f t="shared" si="23"/>
        <v>1</v>
      </c>
      <c r="CR13" s="77">
        <f t="shared" si="24"/>
        <v>0</v>
      </c>
      <c r="CS13" s="28"/>
    </row>
    <row r="14" spans="1:97" s="1" customFormat="1">
      <c r="A14" s="30" t="s">
        <v>122</v>
      </c>
      <c r="B14" s="47"/>
      <c r="C14" s="31" t="s">
        <v>123</v>
      </c>
      <c r="D14" s="32"/>
      <c r="E14" s="32"/>
      <c r="F14" s="87"/>
      <c r="G14" s="48"/>
      <c r="H14" s="84"/>
      <c r="I14" s="80">
        <f t="shared" si="25"/>
        <v>0</v>
      </c>
      <c r="J14" s="79">
        <f t="shared" si="26"/>
        <v>0</v>
      </c>
      <c r="K14" s="49"/>
      <c r="L14" s="84"/>
      <c r="M14" s="81">
        <f t="shared" si="0"/>
        <v>0</v>
      </c>
      <c r="N14" s="79">
        <f t="shared" si="1"/>
        <v>0</v>
      </c>
      <c r="O14" s="48">
        <v>1920</v>
      </c>
      <c r="P14" s="84"/>
      <c r="Q14" s="81">
        <f t="shared" si="2"/>
        <v>0</v>
      </c>
      <c r="R14" s="79">
        <f t="shared" si="3"/>
        <v>0</v>
      </c>
      <c r="S14" s="49"/>
      <c r="T14" s="84"/>
      <c r="U14" s="81">
        <f t="shared" si="4"/>
        <v>0</v>
      </c>
      <c r="V14" s="79">
        <f t="shared" si="5"/>
        <v>0</v>
      </c>
      <c r="W14" s="49"/>
      <c r="X14" s="84"/>
      <c r="Y14" s="81">
        <f t="shared" si="27"/>
        <v>0</v>
      </c>
      <c r="Z14" s="79">
        <f t="shared" si="6"/>
        <v>0</v>
      </c>
      <c r="AA14" s="49"/>
      <c r="AB14" s="84"/>
      <c r="AC14" s="81">
        <f t="shared" si="28"/>
        <v>0</v>
      </c>
      <c r="AD14" s="79">
        <f t="shared" si="7"/>
        <v>0</v>
      </c>
      <c r="AE14" s="49"/>
      <c r="AF14" s="84"/>
      <c r="AG14" s="81">
        <f t="shared" si="29"/>
        <v>0</v>
      </c>
      <c r="AH14" s="79">
        <f t="shared" si="8"/>
        <v>0</v>
      </c>
      <c r="AI14" s="48"/>
      <c r="AJ14" s="84"/>
      <c r="AK14" s="81">
        <f t="shared" si="9"/>
        <v>0</v>
      </c>
      <c r="AL14" s="79">
        <f t="shared" si="10"/>
        <v>0</v>
      </c>
      <c r="AM14" s="48"/>
      <c r="AN14" s="84"/>
      <c r="AO14" s="81">
        <f t="shared" si="11"/>
        <v>0</v>
      </c>
      <c r="AP14" s="79">
        <f t="shared" si="12"/>
        <v>0</v>
      </c>
      <c r="AQ14" s="48"/>
      <c r="AR14" s="84"/>
      <c r="AS14" s="81">
        <f t="shared" si="13"/>
        <v>0</v>
      </c>
      <c r="AT14" s="79">
        <f t="shared" si="14"/>
        <v>0</v>
      </c>
      <c r="AU14" s="49"/>
      <c r="AV14" s="84"/>
      <c r="AW14" s="81">
        <v>0</v>
      </c>
      <c r="AX14" s="79">
        <v>0</v>
      </c>
      <c r="AY14" s="49"/>
      <c r="AZ14" s="84"/>
      <c r="BA14" s="81">
        <v>0</v>
      </c>
      <c r="BB14" s="79">
        <v>0</v>
      </c>
      <c r="BC14" s="49"/>
      <c r="BD14" s="84"/>
      <c r="BE14" s="81">
        <v>0</v>
      </c>
      <c r="BF14" s="79">
        <v>0</v>
      </c>
      <c r="BG14" s="49"/>
      <c r="BH14" s="84"/>
      <c r="BI14" s="81">
        <v>0</v>
      </c>
      <c r="BJ14" s="79">
        <v>0</v>
      </c>
      <c r="BK14" s="49"/>
      <c r="BL14" s="84"/>
      <c r="BM14" s="81">
        <v>0</v>
      </c>
      <c r="BN14" s="79">
        <v>0</v>
      </c>
      <c r="BO14" s="49"/>
      <c r="BP14" s="84"/>
      <c r="BQ14" s="81">
        <v>0</v>
      </c>
      <c r="BR14" s="79">
        <v>0</v>
      </c>
      <c r="BS14" s="49"/>
      <c r="BT14" s="84"/>
      <c r="BU14" s="81">
        <f t="shared" si="15"/>
        <v>0</v>
      </c>
      <c r="BV14" s="79">
        <f t="shared" si="16"/>
        <v>0</v>
      </c>
      <c r="BW14" s="48"/>
      <c r="BX14" s="84"/>
      <c r="BY14" s="81">
        <f t="shared" si="17"/>
        <v>0</v>
      </c>
      <c r="BZ14" s="79">
        <f t="shared" si="18"/>
        <v>0</v>
      </c>
      <c r="CA14" s="48"/>
      <c r="CB14" s="84"/>
      <c r="CC14" s="81">
        <v>0</v>
      </c>
      <c r="CD14" s="79">
        <v>0</v>
      </c>
      <c r="CE14" s="49"/>
      <c r="CF14" s="84"/>
      <c r="CG14" s="81">
        <f t="shared" si="19"/>
        <v>0</v>
      </c>
      <c r="CH14" s="79">
        <f t="shared" si="20"/>
        <v>0</v>
      </c>
      <c r="CI14" s="33"/>
      <c r="CJ14" s="84"/>
      <c r="CK14" s="81">
        <f t="shared" si="21"/>
        <v>0</v>
      </c>
      <c r="CL14" s="79">
        <f t="shared" si="22"/>
        <v>0</v>
      </c>
      <c r="CM14" s="34"/>
      <c r="CN14" s="34"/>
      <c r="CO14" s="34"/>
      <c r="CP14" s="34"/>
      <c r="CQ14" s="50">
        <f t="shared" si="23"/>
        <v>1</v>
      </c>
      <c r="CR14" s="77">
        <f t="shared" si="24"/>
        <v>0</v>
      </c>
      <c r="CS14" s="28"/>
    </row>
    <row r="15" spans="1:97" s="1" customFormat="1">
      <c r="A15" s="30" t="s">
        <v>124</v>
      </c>
      <c r="B15" s="47"/>
      <c r="C15" s="31" t="s">
        <v>123</v>
      </c>
      <c r="D15" s="32"/>
      <c r="E15" s="32"/>
      <c r="F15" s="87"/>
      <c r="G15" s="48"/>
      <c r="H15" s="84"/>
      <c r="I15" s="80">
        <f t="shared" si="25"/>
        <v>0</v>
      </c>
      <c r="J15" s="79">
        <f t="shared" si="26"/>
        <v>0</v>
      </c>
      <c r="K15" s="49"/>
      <c r="L15" s="84"/>
      <c r="M15" s="81">
        <f t="shared" si="0"/>
        <v>0</v>
      </c>
      <c r="N15" s="79">
        <f t="shared" si="1"/>
        <v>0</v>
      </c>
      <c r="O15" s="48"/>
      <c r="P15" s="84"/>
      <c r="Q15" s="81">
        <f t="shared" si="2"/>
        <v>0</v>
      </c>
      <c r="R15" s="79">
        <f t="shared" si="3"/>
        <v>0</v>
      </c>
      <c r="S15" s="49"/>
      <c r="T15" s="84"/>
      <c r="U15" s="81">
        <f t="shared" si="4"/>
        <v>0</v>
      </c>
      <c r="V15" s="79">
        <f t="shared" si="5"/>
        <v>0</v>
      </c>
      <c r="W15" s="49"/>
      <c r="X15" s="84"/>
      <c r="Y15" s="81">
        <f t="shared" si="27"/>
        <v>0</v>
      </c>
      <c r="Z15" s="79">
        <f t="shared" si="6"/>
        <v>0</v>
      </c>
      <c r="AA15" s="49"/>
      <c r="AB15" s="84"/>
      <c r="AC15" s="81">
        <f t="shared" si="28"/>
        <v>0</v>
      </c>
      <c r="AD15" s="79">
        <f t="shared" si="7"/>
        <v>0</v>
      </c>
      <c r="AE15" s="49"/>
      <c r="AF15" s="84"/>
      <c r="AG15" s="81">
        <f t="shared" si="29"/>
        <v>0</v>
      </c>
      <c r="AH15" s="79">
        <f t="shared" si="8"/>
        <v>0</v>
      </c>
      <c r="AI15" s="48"/>
      <c r="AJ15" s="84"/>
      <c r="AK15" s="81">
        <f t="shared" si="9"/>
        <v>0</v>
      </c>
      <c r="AL15" s="79">
        <f t="shared" si="10"/>
        <v>0</v>
      </c>
      <c r="AM15" s="48"/>
      <c r="AN15" s="84"/>
      <c r="AO15" s="81">
        <f t="shared" si="11"/>
        <v>0</v>
      </c>
      <c r="AP15" s="79">
        <f t="shared" si="12"/>
        <v>0</v>
      </c>
      <c r="AQ15" s="48"/>
      <c r="AR15" s="84"/>
      <c r="AS15" s="81">
        <f t="shared" si="13"/>
        <v>0</v>
      </c>
      <c r="AT15" s="79">
        <f t="shared" si="14"/>
        <v>0</v>
      </c>
      <c r="AU15" s="49"/>
      <c r="AV15" s="84"/>
      <c r="AW15" s="81">
        <v>0</v>
      </c>
      <c r="AX15" s="79">
        <v>0</v>
      </c>
      <c r="AY15" s="49"/>
      <c r="AZ15" s="84"/>
      <c r="BA15" s="81">
        <v>0</v>
      </c>
      <c r="BB15" s="79">
        <v>0</v>
      </c>
      <c r="BC15" s="49"/>
      <c r="BD15" s="84"/>
      <c r="BE15" s="81">
        <v>0</v>
      </c>
      <c r="BF15" s="79">
        <v>0</v>
      </c>
      <c r="BG15" s="49"/>
      <c r="BH15" s="84"/>
      <c r="BI15" s="81">
        <v>0</v>
      </c>
      <c r="BJ15" s="79">
        <v>0</v>
      </c>
      <c r="BK15" s="49"/>
      <c r="BL15" s="84"/>
      <c r="BM15" s="81">
        <v>0</v>
      </c>
      <c r="BN15" s="79">
        <v>0</v>
      </c>
      <c r="BO15" s="49"/>
      <c r="BP15" s="84"/>
      <c r="BQ15" s="81">
        <v>0</v>
      </c>
      <c r="BR15" s="79">
        <v>0</v>
      </c>
      <c r="BS15" s="49"/>
      <c r="BT15" s="84"/>
      <c r="BU15" s="81">
        <f t="shared" si="15"/>
        <v>0</v>
      </c>
      <c r="BV15" s="79">
        <f t="shared" si="16"/>
        <v>0</v>
      </c>
      <c r="BW15" s="48"/>
      <c r="BX15" s="84"/>
      <c r="BY15" s="81">
        <f t="shared" si="17"/>
        <v>0</v>
      </c>
      <c r="BZ15" s="79">
        <f t="shared" si="18"/>
        <v>0</v>
      </c>
      <c r="CA15" s="48"/>
      <c r="CB15" s="84"/>
      <c r="CC15" s="81">
        <v>0</v>
      </c>
      <c r="CD15" s="79">
        <v>0</v>
      </c>
      <c r="CE15" s="49"/>
      <c r="CF15" s="84"/>
      <c r="CG15" s="81">
        <f t="shared" si="19"/>
        <v>0</v>
      </c>
      <c r="CH15" s="79">
        <f t="shared" si="20"/>
        <v>0</v>
      </c>
      <c r="CI15" s="33"/>
      <c r="CJ15" s="84"/>
      <c r="CK15" s="81">
        <f t="shared" si="21"/>
        <v>0</v>
      </c>
      <c r="CL15" s="79">
        <f t="shared" si="22"/>
        <v>0</v>
      </c>
      <c r="CM15" s="34"/>
      <c r="CN15" s="34"/>
      <c r="CO15" s="34"/>
      <c r="CP15" s="34"/>
      <c r="CQ15" s="50">
        <f t="shared" si="23"/>
        <v>1</v>
      </c>
      <c r="CR15" s="77">
        <f t="shared" si="24"/>
        <v>0</v>
      </c>
      <c r="CS15" s="28"/>
    </row>
    <row r="16" spans="1:97" s="1" customFormat="1">
      <c r="A16" s="30" t="s">
        <v>125</v>
      </c>
      <c r="B16" s="47"/>
      <c r="C16" s="31" t="s">
        <v>123</v>
      </c>
      <c r="D16" s="32"/>
      <c r="E16" s="32"/>
      <c r="F16" s="87"/>
      <c r="G16" s="48"/>
      <c r="H16" s="84"/>
      <c r="I16" s="80">
        <f t="shared" si="25"/>
        <v>0</v>
      </c>
      <c r="J16" s="79">
        <f t="shared" si="26"/>
        <v>0</v>
      </c>
      <c r="K16" s="49"/>
      <c r="L16" s="84"/>
      <c r="M16" s="81">
        <f t="shared" si="0"/>
        <v>0</v>
      </c>
      <c r="N16" s="79">
        <f t="shared" si="1"/>
        <v>0</v>
      </c>
      <c r="O16" s="48"/>
      <c r="P16" s="84"/>
      <c r="Q16" s="81">
        <f t="shared" si="2"/>
        <v>0</v>
      </c>
      <c r="R16" s="79">
        <f t="shared" si="3"/>
        <v>0</v>
      </c>
      <c r="S16" s="49"/>
      <c r="T16" s="84"/>
      <c r="U16" s="81">
        <f t="shared" si="4"/>
        <v>0</v>
      </c>
      <c r="V16" s="79">
        <f t="shared" si="5"/>
        <v>0</v>
      </c>
      <c r="W16" s="49"/>
      <c r="X16" s="84"/>
      <c r="Y16" s="81">
        <f t="shared" si="27"/>
        <v>0</v>
      </c>
      <c r="Z16" s="79">
        <f t="shared" si="6"/>
        <v>0</v>
      </c>
      <c r="AA16" s="49"/>
      <c r="AB16" s="84"/>
      <c r="AC16" s="81">
        <f t="shared" si="28"/>
        <v>0</v>
      </c>
      <c r="AD16" s="79">
        <f t="shared" si="7"/>
        <v>0</v>
      </c>
      <c r="AE16" s="49"/>
      <c r="AF16" s="84"/>
      <c r="AG16" s="81">
        <f t="shared" si="29"/>
        <v>0</v>
      </c>
      <c r="AH16" s="79">
        <f t="shared" si="8"/>
        <v>0</v>
      </c>
      <c r="AI16" s="48"/>
      <c r="AJ16" s="84"/>
      <c r="AK16" s="81">
        <f t="shared" si="9"/>
        <v>0</v>
      </c>
      <c r="AL16" s="79">
        <f t="shared" si="10"/>
        <v>0</v>
      </c>
      <c r="AM16" s="48"/>
      <c r="AN16" s="84"/>
      <c r="AO16" s="81">
        <f t="shared" si="11"/>
        <v>0</v>
      </c>
      <c r="AP16" s="79">
        <f t="shared" si="12"/>
        <v>0</v>
      </c>
      <c r="AQ16" s="48"/>
      <c r="AR16" s="84"/>
      <c r="AS16" s="81">
        <f t="shared" si="13"/>
        <v>0</v>
      </c>
      <c r="AT16" s="79">
        <f t="shared" si="14"/>
        <v>0</v>
      </c>
      <c r="AU16" s="49"/>
      <c r="AV16" s="84"/>
      <c r="AW16" s="81">
        <v>0</v>
      </c>
      <c r="AX16" s="79">
        <v>0</v>
      </c>
      <c r="AY16" s="49"/>
      <c r="AZ16" s="84"/>
      <c r="BA16" s="81">
        <v>0</v>
      </c>
      <c r="BB16" s="79">
        <v>0</v>
      </c>
      <c r="BC16" s="49"/>
      <c r="BD16" s="84"/>
      <c r="BE16" s="81">
        <v>0</v>
      </c>
      <c r="BF16" s="79">
        <v>0</v>
      </c>
      <c r="BG16" s="49"/>
      <c r="BH16" s="84"/>
      <c r="BI16" s="81">
        <v>0</v>
      </c>
      <c r="BJ16" s="79">
        <v>0</v>
      </c>
      <c r="BK16" s="49"/>
      <c r="BL16" s="84"/>
      <c r="BM16" s="81">
        <v>0</v>
      </c>
      <c r="BN16" s="79">
        <v>0</v>
      </c>
      <c r="BO16" s="49"/>
      <c r="BP16" s="84"/>
      <c r="BQ16" s="81">
        <v>0</v>
      </c>
      <c r="BR16" s="79">
        <v>0</v>
      </c>
      <c r="BS16" s="49"/>
      <c r="BT16" s="84"/>
      <c r="BU16" s="81">
        <f t="shared" si="15"/>
        <v>0</v>
      </c>
      <c r="BV16" s="79">
        <f t="shared" si="16"/>
        <v>0</v>
      </c>
      <c r="BW16" s="48"/>
      <c r="BX16" s="84"/>
      <c r="BY16" s="81">
        <f t="shared" si="17"/>
        <v>0</v>
      </c>
      <c r="BZ16" s="79">
        <f t="shared" si="18"/>
        <v>0</v>
      </c>
      <c r="CA16" s="48">
        <v>1920</v>
      </c>
      <c r="CB16" s="84"/>
      <c r="CC16" s="81">
        <v>0</v>
      </c>
      <c r="CD16" s="79">
        <v>0</v>
      </c>
      <c r="CE16" s="49"/>
      <c r="CF16" s="84"/>
      <c r="CG16" s="81">
        <f t="shared" si="19"/>
        <v>0</v>
      </c>
      <c r="CH16" s="79">
        <f t="shared" si="20"/>
        <v>0</v>
      </c>
      <c r="CI16" s="33"/>
      <c r="CJ16" s="84"/>
      <c r="CK16" s="81">
        <f t="shared" si="21"/>
        <v>0</v>
      </c>
      <c r="CL16" s="79">
        <f t="shared" si="22"/>
        <v>0</v>
      </c>
      <c r="CM16" s="34"/>
      <c r="CN16" s="34"/>
      <c r="CO16" s="34"/>
      <c r="CP16" s="34"/>
      <c r="CQ16" s="50">
        <f t="shared" si="23"/>
        <v>1</v>
      </c>
      <c r="CR16" s="77">
        <f t="shared" si="24"/>
        <v>0</v>
      </c>
      <c r="CS16" s="28"/>
    </row>
    <row r="17" spans="1:97" s="1" customFormat="1">
      <c r="A17" s="30" t="s">
        <v>126</v>
      </c>
      <c r="B17" s="47"/>
      <c r="C17" s="63" t="s">
        <v>120</v>
      </c>
      <c r="D17" s="32"/>
      <c r="E17" s="32"/>
      <c r="F17" s="87"/>
      <c r="G17" s="52">
        <v>1920</v>
      </c>
      <c r="H17" s="84"/>
      <c r="I17" s="80">
        <f t="shared" si="25"/>
        <v>0</v>
      </c>
      <c r="J17" s="79">
        <f t="shared" si="26"/>
        <v>0</v>
      </c>
      <c r="K17" s="49"/>
      <c r="L17" s="84"/>
      <c r="M17" s="81">
        <f t="shared" si="0"/>
        <v>0</v>
      </c>
      <c r="N17" s="79">
        <f t="shared" si="1"/>
        <v>0</v>
      </c>
      <c r="O17" s="48"/>
      <c r="P17" s="84"/>
      <c r="Q17" s="81">
        <f t="shared" si="2"/>
        <v>0</v>
      </c>
      <c r="R17" s="79">
        <f t="shared" si="3"/>
        <v>0</v>
      </c>
      <c r="S17" s="49"/>
      <c r="T17" s="84"/>
      <c r="U17" s="81">
        <f t="shared" si="4"/>
        <v>0</v>
      </c>
      <c r="V17" s="79">
        <f t="shared" si="5"/>
        <v>0</v>
      </c>
      <c r="W17" s="49"/>
      <c r="X17" s="84"/>
      <c r="Y17" s="81">
        <f t="shared" si="27"/>
        <v>0</v>
      </c>
      <c r="Z17" s="79">
        <f t="shared" si="6"/>
        <v>0</v>
      </c>
      <c r="AA17" s="49"/>
      <c r="AB17" s="84"/>
      <c r="AC17" s="81">
        <f t="shared" si="28"/>
        <v>0</v>
      </c>
      <c r="AD17" s="79">
        <f t="shared" si="7"/>
        <v>0</v>
      </c>
      <c r="AE17" s="49"/>
      <c r="AF17" s="84"/>
      <c r="AG17" s="81">
        <f t="shared" si="29"/>
        <v>0</v>
      </c>
      <c r="AH17" s="79">
        <f t="shared" si="8"/>
        <v>0</v>
      </c>
      <c r="AI17" s="48"/>
      <c r="AJ17" s="84"/>
      <c r="AK17" s="81">
        <f t="shared" si="9"/>
        <v>0</v>
      </c>
      <c r="AL17" s="79">
        <f t="shared" si="10"/>
        <v>0</v>
      </c>
      <c r="AM17" s="48"/>
      <c r="AN17" s="84"/>
      <c r="AO17" s="81">
        <f t="shared" si="11"/>
        <v>0</v>
      </c>
      <c r="AP17" s="79">
        <f t="shared" si="12"/>
        <v>0</v>
      </c>
      <c r="AQ17" s="48"/>
      <c r="AR17" s="84"/>
      <c r="AS17" s="81">
        <f t="shared" si="13"/>
        <v>0</v>
      </c>
      <c r="AT17" s="79">
        <f t="shared" si="14"/>
        <v>0</v>
      </c>
      <c r="AU17" s="49"/>
      <c r="AV17" s="84"/>
      <c r="AW17" s="81">
        <v>0</v>
      </c>
      <c r="AX17" s="79">
        <v>0</v>
      </c>
      <c r="AY17" s="49"/>
      <c r="AZ17" s="84"/>
      <c r="BA17" s="81">
        <v>0</v>
      </c>
      <c r="BB17" s="79">
        <v>0</v>
      </c>
      <c r="BC17" s="49"/>
      <c r="BD17" s="84"/>
      <c r="BE17" s="81">
        <v>0</v>
      </c>
      <c r="BF17" s="79">
        <v>0</v>
      </c>
      <c r="BG17" s="49"/>
      <c r="BH17" s="84"/>
      <c r="BI17" s="81">
        <v>0</v>
      </c>
      <c r="BJ17" s="79">
        <v>0</v>
      </c>
      <c r="BK17" s="49"/>
      <c r="BL17" s="84"/>
      <c r="BM17" s="81">
        <v>0</v>
      </c>
      <c r="BN17" s="79">
        <v>0</v>
      </c>
      <c r="BO17" s="49"/>
      <c r="BP17" s="84"/>
      <c r="BQ17" s="81">
        <v>0</v>
      </c>
      <c r="BR17" s="79">
        <v>0</v>
      </c>
      <c r="BS17" s="49"/>
      <c r="BT17" s="84"/>
      <c r="BU17" s="81">
        <f t="shared" si="15"/>
        <v>0</v>
      </c>
      <c r="BV17" s="79">
        <f t="shared" si="16"/>
        <v>0</v>
      </c>
      <c r="BW17" s="48"/>
      <c r="BX17" s="84"/>
      <c r="BY17" s="81">
        <f t="shared" si="17"/>
        <v>0</v>
      </c>
      <c r="BZ17" s="79">
        <f t="shared" si="18"/>
        <v>0</v>
      </c>
      <c r="CA17" s="48"/>
      <c r="CB17" s="84"/>
      <c r="CC17" s="81">
        <v>0</v>
      </c>
      <c r="CD17" s="79">
        <v>0</v>
      </c>
      <c r="CE17" s="49"/>
      <c r="CF17" s="84"/>
      <c r="CG17" s="81">
        <f t="shared" si="19"/>
        <v>0</v>
      </c>
      <c r="CH17" s="79">
        <f t="shared" si="20"/>
        <v>0</v>
      </c>
      <c r="CI17" s="33"/>
      <c r="CJ17" s="84"/>
      <c r="CK17" s="81">
        <f t="shared" si="21"/>
        <v>0</v>
      </c>
      <c r="CL17" s="79">
        <f t="shared" si="22"/>
        <v>0</v>
      </c>
      <c r="CM17" s="34"/>
      <c r="CN17" s="34"/>
      <c r="CO17" s="34"/>
      <c r="CP17" s="34"/>
      <c r="CQ17" s="50">
        <f t="shared" si="23"/>
        <v>1</v>
      </c>
      <c r="CR17" s="77">
        <f t="shared" si="24"/>
        <v>0</v>
      </c>
      <c r="CS17" s="28"/>
    </row>
    <row r="18" spans="1:97" s="1" customFormat="1">
      <c r="A18" s="30" t="s">
        <v>126</v>
      </c>
      <c r="B18" s="47"/>
      <c r="C18" s="31" t="s">
        <v>121</v>
      </c>
      <c r="D18" s="32"/>
      <c r="E18" s="32"/>
      <c r="F18" s="87"/>
      <c r="G18" s="48">
        <v>5760</v>
      </c>
      <c r="H18" s="84"/>
      <c r="I18" s="80">
        <f t="shared" si="25"/>
        <v>0</v>
      </c>
      <c r="J18" s="79">
        <f t="shared" si="26"/>
        <v>0</v>
      </c>
      <c r="K18" s="49"/>
      <c r="L18" s="84"/>
      <c r="M18" s="81">
        <f t="shared" si="0"/>
        <v>0</v>
      </c>
      <c r="N18" s="79">
        <f t="shared" si="1"/>
        <v>0</v>
      </c>
      <c r="O18" s="48"/>
      <c r="P18" s="84"/>
      <c r="Q18" s="81">
        <f t="shared" si="2"/>
        <v>0</v>
      </c>
      <c r="R18" s="79">
        <f t="shared" si="3"/>
        <v>0</v>
      </c>
      <c r="S18" s="49"/>
      <c r="T18" s="84"/>
      <c r="U18" s="81">
        <f t="shared" si="4"/>
        <v>0</v>
      </c>
      <c r="V18" s="79">
        <f t="shared" si="5"/>
        <v>0</v>
      </c>
      <c r="W18" s="49"/>
      <c r="X18" s="84"/>
      <c r="Y18" s="81">
        <f t="shared" si="27"/>
        <v>0</v>
      </c>
      <c r="Z18" s="79">
        <f t="shared" si="6"/>
        <v>0</v>
      </c>
      <c r="AA18" s="49"/>
      <c r="AB18" s="84"/>
      <c r="AC18" s="81">
        <f t="shared" si="28"/>
        <v>0</v>
      </c>
      <c r="AD18" s="79">
        <f t="shared" si="7"/>
        <v>0</v>
      </c>
      <c r="AE18" s="49"/>
      <c r="AF18" s="84"/>
      <c r="AG18" s="81">
        <f t="shared" si="29"/>
        <v>0</v>
      </c>
      <c r="AH18" s="79">
        <f t="shared" si="8"/>
        <v>0</v>
      </c>
      <c r="AI18" s="48">
        <v>1920</v>
      </c>
      <c r="AJ18" s="84"/>
      <c r="AK18" s="81">
        <f t="shared" si="9"/>
        <v>0</v>
      </c>
      <c r="AL18" s="79">
        <f t="shared" si="10"/>
        <v>0</v>
      </c>
      <c r="AM18" s="48"/>
      <c r="AN18" s="84"/>
      <c r="AO18" s="81">
        <f t="shared" si="11"/>
        <v>0</v>
      </c>
      <c r="AP18" s="79">
        <f t="shared" si="12"/>
        <v>0</v>
      </c>
      <c r="AQ18" s="48"/>
      <c r="AR18" s="84"/>
      <c r="AS18" s="81">
        <f t="shared" si="13"/>
        <v>0</v>
      </c>
      <c r="AT18" s="79">
        <f t="shared" si="14"/>
        <v>0</v>
      </c>
      <c r="AU18" s="49"/>
      <c r="AV18" s="84"/>
      <c r="AW18" s="81">
        <v>0</v>
      </c>
      <c r="AX18" s="79">
        <v>0</v>
      </c>
      <c r="AY18" s="49"/>
      <c r="AZ18" s="84"/>
      <c r="BA18" s="81">
        <v>0</v>
      </c>
      <c r="BB18" s="79">
        <v>0</v>
      </c>
      <c r="BC18" s="49"/>
      <c r="BD18" s="84"/>
      <c r="BE18" s="81">
        <v>0</v>
      </c>
      <c r="BF18" s="79">
        <v>0</v>
      </c>
      <c r="BG18" s="49"/>
      <c r="BH18" s="84"/>
      <c r="BI18" s="81">
        <v>0</v>
      </c>
      <c r="BJ18" s="79">
        <v>0</v>
      </c>
      <c r="BK18" s="49"/>
      <c r="BL18" s="84"/>
      <c r="BM18" s="81">
        <v>0</v>
      </c>
      <c r="BN18" s="79">
        <v>0</v>
      </c>
      <c r="BO18" s="49"/>
      <c r="BP18" s="84"/>
      <c r="BQ18" s="81">
        <v>0</v>
      </c>
      <c r="BR18" s="79">
        <v>0</v>
      </c>
      <c r="BS18" s="49"/>
      <c r="BT18" s="84"/>
      <c r="BU18" s="81">
        <f t="shared" si="15"/>
        <v>0</v>
      </c>
      <c r="BV18" s="79">
        <f t="shared" si="16"/>
        <v>0</v>
      </c>
      <c r="BW18" s="48"/>
      <c r="BX18" s="84"/>
      <c r="BY18" s="81">
        <f t="shared" si="17"/>
        <v>0</v>
      </c>
      <c r="BZ18" s="79">
        <f t="shared" si="18"/>
        <v>0</v>
      </c>
      <c r="CA18" s="48"/>
      <c r="CB18" s="84"/>
      <c r="CC18" s="81">
        <v>0</v>
      </c>
      <c r="CD18" s="79">
        <v>0</v>
      </c>
      <c r="CE18" s="49"/>
      <c r="CF18" s="84"/>
      <c r="CG18" s="81">
        <f t="shared" si="19"/>
        <v>0</v>
      </c>
      <c r="CH18" s="79">
        <f t="shared" si="20"/>
        <v>0</v>
      </c>
      <c r="CI18" s="33"/>
      <c r="CJ18" s="84"/>
      <c r="CK18" s="81">
        <f t="shared" si="21"/>
        <v>0</v>
      </c>
      <c r="CL18" s="79">
        <f t="shared" si="22"/>
        <v>0</v>
      </c>
      <c r="CM18" s="34"/>
      <c r="CN18" s="34"/>
      <c r="CO18" s="34"/>
      <c r="CP18" s="34"/>
      <c r="CQ18" s="50">
        <f t="shared" si="23"/>
        <v>1</v>
      </c>
      <c r="CR18" s="77">
        <f t="shared" si="24"/>
        <v>0</v>
      </c>
      <c r="CS18" s="28"/>
    </row>
    <row r="19" spans="1:97" s="1" customFormat="1">
      <c r="A19" s="30" t="s">
        <v>126</v>
      </c>
      <c r="B19" s="47"/>
      <c r="C19" s="31" t="s">
        <v>123</v>
      </c>
      <c r="D19" s="32"/>
      <c r="E19" s="32"/>
      <c r="F19" s="87"/>
      <c r="G19" s="48">
        <v>21120</v>
      </c>
      <c r="H19" s="84"/>
      <c r="I19" s="80">
        <f t="shared" si="25"/>
        <v>0</v>
      </c>
      <c r="J19" s="79">
        <f t="shared" si="26"/>
        <v>0</v>
      </c>
      <c r="K19" s="49"/>
      <c r="L19" s="84"/>
      <c r="M19" s="81">
        <f t="shared" si="0"/>
        <v>0</v>
      </c>
      <c r="N19" s="79">
        <f t="shared" si="1"/>
        <v>0</v>
      </c>
      <c r="O19" s="48"/>
      <c r="P19" s="84"/>
      <c r="Q19" s="81">
        <f t="shared" si="2"/>
        <v>0</v>
      </c>
      <c r="R19" s="79">
        <f t="shared" si="3"/>
        <v>0</v>
      </c>
      <c r="S19" s="49"/>
      <c r="T19" s="84"/>
      <c r="U19" s="81">
        <f t="shared" si="4"/>
        <v>0</v>
      </c>
      <c r="V19" s="79">
        <f t="shared" si="5"/>
        <v>0</v>
      </c>
      <c r="W19" s="49"/>
      <c r="X19" s="84"/>
      <c r="Y19" s="81">
        <f t="shared" si="27"/>
        <v>0</v>
      </c>
      <c r="Z19" s="79">
        <f t="shared" si="6"/>
        <v>0</v>
      </c>
      <c r="AA19" s="49"/>
      <c r="AB19" s="84"/>
      <c r="AC19" s="81">
        <f t="shared" si="28"/>
        <v>0</v>
      </c>
      <c r="AD19" s="79">
        <f t="shared" si="7"/>
        <v>0</v>
      </c>
      <c r="AE19" s="49"/>
      <c r="AF19" s="84"/>
      <c r="AG19" s="81">
        <f t="shared" si="29"/>
        <v>0</v>
      </c>
      <c r="AH19" s="79">
        <f t="shared" si="8"/>
        <v>0</v>
      </c>
      <c r="AI19" s="48"/>
      <c r="AJ19" s="84"/>
      <c r="AK19" s="81">
        <f t="shared" si="9"/>
        <v>0</v>
      </c>
      <c r="AL19" s="79">
        <f t="shared" si="10"/>
        <v>0</v>
      </c>
      <c r="AM19" s="48"/>
      <c r="AN19" s="84"/>
      <c r="AO19" s="81">
        <f t="shared" si="11"/>
        <v>0</v>
      </c>
      <c r="AP19" s="79">
        <f t="shared" si="12"/>
        <v>0</v>
      </c>
      <c r="AQ19" s="48"/>
      <c r="AR19" s="84"/>
      <c r="AS19" s="81">
        <f t="shared" si="13"/>
        <v>0</v>
      </c>
      <c r="AT19" s="79">
        <f t="shared" si="14"/>
        <v>0</v>
      </c>
      <c r="AU19" s="49"/>
      <c r="AV19" s="84"/>
      <c r="AW19" s="81">
        <v>0</v>
      </c>
      <c r="AX19" s="79">
        <v>0</v>
      </c>
      <c r="AY19" s="49"/>
      <c r="AZ19" s="84"/>
      <c r="BA19" s="81">
        <v>0</v>
      </c>
      <c r="BB19" s="79">
        <v>0</v>
      </c>
      <c r="BC19" s="49"/>
      <c r="BD19" s="84"/>
      <c r="BE19" s="81">
        <v>0</v>
      </c>
      <c r="BF19" s="79">
        <v>0</v>
      </c>
      <c r="BG19" s="49"/>
      <c r="BH19" s="84"/>
      <c r="BI19" s="81">
        <v>0</v>
      </c>
      <c r="BJ19" s="79">
        <v>0</v>
      </c>
      <c r="BK19" s="49"/>
      <c r="BL19" s="84"/>
      <c r="BM19" s="81">
        <v>0</v>
      </c>
      <c r="BN19" s="79">
        <v>0</v>
      </c>
      <c r="BO19" s="49"/>
      <c r="BP19" s="84"/>
      <c r="BQ19" s="81">
        <v>0</v>
      </c>
      <c r="BR19" s="79">
        <v>0</v>
      </c>
      <c r="BS19" s="49"/>
      <c r="BT19" s="84"/>
      <c r="BU19" s="81">
        <f t="shared" si="15"/>
        <v>0</v>
      </c>
      <c r="BV19" s="79">
        <f t="shared" si="16"/>
        <v>0</v>
      </c>
      <c r="BW19" s="48"/>
      <c r="BX19" s="84"/>
      <c r="BY19" s="81">
        <f t="shared" si="17"/>
        <v>0</v>
      </c>
      <c r="BZ19" s="79">
        <f t="shared" si="18"/>
        <v>0</v>
      </c>
      <c r="CA19" s="48"/>
      <c r="CB19" s="84"/>
      <c r="CC19" s="81">
        <v>0</v>
      </c>
      <c r="CD19" s="79">
        <v>0</v>
      </c>
      <c r="CE19" s="49"/>
      <c r="CF19" s="84"/>
      <c r="CG19" s="81">
        <f t="shared" si="19"/>
        <v>0</v>
      </c>
      <c r="CH19" s="79">
        <f t="shared" si="20"/>
        <v>0</v>
      </c>
      <c r="CI19" s="33"/>
      <c r="CJ19" s="84"/>
      <c r="CK19" s="81">
        <f t="shared" si="21"/>
        <v>0</v>
      </c>
      <c r="CL19" s="79">
        <f t="shared" si="22"/>
        <v>0</v>
      </c>
      <c r="CM19" s="34"/>
      <c r="CN19" s="34"/>
      <c r="CO19" s="34"/>
      <c r="CP19" s="53"/>
      <c r="CQ19" s="50">
        <f t="shared" si="23"/>
        <v>1</v>
      </c>
      <c r="CR19" s="77">
        <f t="shared" si="24"/>
        <v>0</v>
      </c>
      <c r="CS19" s="28"/>
    </row>
    <row r="20" spans="1:97" s="1" customFormat="1">
      <c r="A20" s="30" t="s">
        <v>127</v>
      </c>
      <c r="B20" s="47"/>
      <c r="C20" s="31" t="s">
        <v>128</v>
      </c>
      <c r="D20" s="32"/>
      <c r="E20" s="32"/>
      <c r="F20" s="87"/>
      <c r="G20" s="48"/>
      <c r="H20" s="84"/>
      <c r="I20" s="80">
        <f t="shared" si="25"/>
        <v>0</v>
      </c>
      <c r="J20" s="79">
        <f t="shared" si="26"/>
        <v>0</v>
      </c>
      <c r="K20" s="49"/>
      <c r="L20" s="84"/>
      <c r="M20" s="81">
        <f t="shared" si="0"/>
        <v>0</v>
      </c>
      <c r="N20" s="79">
        <f t="shared" si="1"/>
        <v>0</v>
      </c>
      <c r="O20" s="48">
        <v>11520</v>
      </c>
      <c r="P20" s="84"/>
      <c r="Q20" s="81">
        <f t="shared" si="2"/>
        <v>0</v>
      </c>
      <c r="R20" s="79">
        <f t="shared" si="3"/>
        <v>0</v>
      </c>
      <c r="S20" s="49"/>
      <c r="T20" s="84"/>
      <c r="U20" s="81">
        <f t="shared" si="4"/>
        <v>0</v>
      </c>
      <c r="V20" s="79">
        <f t="shared" si="5"/>
        <v>0</v>
      </c>
      <c r="W20" s="49"/>
      <c r="X20" s="84"/>
      <c r="Y20" s="81">
        <f t="shared" si="27"/>
        <v>0</v>
      </c>
      <c r="Z20" s="79">
        <f t="shared" si="6"/>
        <v>0</v>
      </c>
      <c r="AA20" s="49"/>
      <c r="AB20" s="84"/>
      <c r="AC20" s="81">
        <f t="shared" si="28"/>
        <v>0</v>
      </c>
      <c r="AD20" s="79">
        <f t="shared" si="7"/>
        <v>0</v>
      </c>
      <c r="AE20" s="49"/>
      <c r="AF20" s="84"/>
      <c r="AG20" s="81">
        <f t="shared" si="29"/>
        <v>0</v>
      </c>
      <c r="AH20" s="79">
        <f t="shared" si="8"/>
        <v>0</v>
      </c>
      <c r="AI20" s="48"/>
      <c r="AJ20" s="84"/>
      <c r="AK20" s="81">
        <f t="shared" si="9"/>
        <v>0</v>
      </c>
      <c r="AL20" s="79">
        <f t="shared" si="10"/>
        <v>0</v>
      </c>
      <c r="AM20" s="48"/>
      <c r="AN20" s="84"/>
      <c r="AO20" s="81">
        <f t="shared" si="11"/>
        <v>0</v>
      </c>
      <c r="AP20" s="79">
        <f t="shared" si="12"/>
        <v>0</v>
      </c>
      <c r="AQ20" s="48"/>
      <c r="AR20" s="84"/>
      <c r="AS20" s="81">
        <f t="shared" si="13"/>
        <v>0</v>
      </c>
      <c r="AT20" s="79">
        <f t="shared" si="14"/>
        <v>0</v>
      </c>
      <c r="AU20" s="49"/>
      <c r="AV20" s="84"/>
      <c r="AW20" s="81">
        <v>0</v>
      </c>
      <c r="AX20" s="79">
        <v>0</v>
      </c>
      <c r="AY20" s="49"/>
      <c r="AZ20" s="84"/>
      <c r="BA20" s="81">
        <v>0</v>
      </c>
      <c r="BB20" s="79">
        <v>0</v>
      </c>
      <c r="BC20" s="49"/>
      <c r="BD20" s="84"/>
      <c r="BE20" s="81">
        <v>0</v>
      </c>
      <c r="BF20" s="79">
        <v>0</v>
      </c>
      <c r="BG20" s="49"/>
      <c r="BH20" s="84"/>
      <c r="BI20" s="81">
        <v>0</v>
      </c>
      <c r="BJ20" s="79">
        <v>0</v>
      </c>
      <c r="BK20" s="49"/>
      <c r="BL20" s="84"/>
      <c r="BM20" s="81">
        <v>0</v>
      </c>
      <c r="BN20" s="79">
        <v>0</v>
      </c>
      <c r="BO20" s="49"/>
      <c r="BP20" s="84"/>
      <c r="BQ20" s="81">
        <v>0</v>
      </c>
      <c r="BR20" s="79">
        <v>0</v>
      </c>
      <c r="BS20" s="49"/>
      <c r="BT20" s="84"/>
      <c r="BU20" s="81">
        <f t="shared" si="15"/>
        <v>0</v>
      </c>
      <c r="BV20" s="79">
        <f t="shared" si="16"/>
        <v>0</v>
      </c>
      <c r="BW20" s="48"/>
      <c r="BX20" s="84"/>
      <c r="BY20" s="81">
        <f t="shared" si="17"/>
        <v>0</v>
      </c>
      <c r="BZ20" s="79">
        <f t="shared" si="18"/>
        <v>0</v>
      </c>
      <c r="CA20" s="48"/>
      <c r="CB20" s="84"/>
      <c r="CC20" s="81">
        <v>0</v>
      </c>
      <c r="CD20" s="79">
        <v>0</v>
      </c>
      <c r="CE20" s="49"/>
      <c r="CF20" s="84"/>
      <c r="CG20" s="81">
        <f t="shared" si="19"/>
        <v>0</v>
      </c>
      <c r="CH20" s="79">
        <f t="shared" si="20"/>
        <v>0</v>
      </c>
      <c r="CI20" s="33"/>
      <c r="CJ20" s="84"/>
      <c r="CK20" s="81">
        <f t="shared" si="21"/>
        <v>0</v>
      </c>
      <c r="CL20" s="79">
        <f t="shared" si="22"/>
        <v>0</v>
      </c>
      <c r="CM20" s="34"/>
      <c r="CN20" s="34"/>
      <c r="CO20" s="34"/>
      <c r="CP20" s="34"/>
      <c r="CQ20" s="50">
        <f t="shared" si="23"/>
        <v>1</v>
      </c>
      <c r="CR20" s="77">
        <f t="shared" si="24"/>
        <v>0</v>
      </c>
      <c r="CS20" s="28"/>
    </row>
    <row r="21" spans="1:97" s="1" customFormat="1">
      <c r="A21" s="30" t="s">
        <v>127</v>
      </c>
      <c r="B21" s="47"/>
      <c r="C21" s="31" t="s">
        <v>123</v>
      </c>
      <c r="D21" s="32"/>
      <c r="E21" s="32"/>
      <c r="F21" s="87"/>
      <c r="G21" s="48"/>
      <c r="H21" s="84"/>
      <c r="I21" s="80">
        <f t="shared" si="25"/>
        <v>0</v>
      </c>
      <c r="J21" s="79">
        <f t="shared" si="26"/>
        <v>0</v>
      </c>
      <c r="K21" s="49"/>
      <c r="L21" s="84"/>
      <c r="M21" s="81">
        <f t="shared" si="0"/>
        <v>0</v>
      </c>
      <c r="N21" s="79">
        <f t="shared" si="1"/>
        <v>0</v>
      </c>
      <c r="O21" s="48"/>
      <c r="P21" s="84"/>
      <c r="Q21" s="81">
        <f t="shared" si="2"/>
        <v>0</v>
      </c>
      <c r="R21" s="79">
        <f t="shared" si="3"/>
        <v>0</v>
      </c>
      <c r="S21" s="49"/>
      <c r="T21" s="84"/>
      <c r="U21" s="81">
        <f t="shared" si="4"/>
        <v>0</v>
      </c>
      <c r="V21" s="79">
        <f t="shared" si="5"/>
        <v>0</v>
      </c>
      <c r="W21" s="49"/>
      <c r="X21" s="84"/>
      <c r="Y21" s="81">
        <f t="shared" si="27"/>
        <v>0</v>
      </c>
      <c r="Z21" s="79">
        <f t="shared" si="6"/>
        <v>0</v>
      </c>
      <c r="AA21" s="49"/>
      <c r="AB21" s="84"/>
      <c r="AC21" s="81">
        <f t="shared" si="28"/>
        <v>0</v>
      </c>
      <c r="AD21" s="79">
        <f t="shared" si="7"/>
        <v>0</v>
      </c>
      <c r="AE21" s="49"/>
      <c r="AF21" s="84"/>
      <c r="AG21" s="81">
        <f t="shared" si="29"/>
        <v>0</v>
      </c>
      <c r="AH21" s="79">
        <f t="shared" si="8"/>
        <v>0</v>
      </c>
      <c r="AI21" s="48"/>
      <c r="AJ21" s="84"/>
      <c r="AK21" s="81">
        <f t="shared" si="9"/>
        <v>0</v>
      </c>
      <c r="AL21" s="79">
        <f t="shared" si="10"/>
        <v>0</v>
      </c>
      <c r="AM21" s="48"/>
      <c r="AN21" s="84"/>
      <c r="AO21" s="81">
        <f t="shared" si="11"/>
        <v>0</v>
      </c>
      <c r="AP21" s="79">
        <f t="shared" si="12"/>
        <v>0</v>
      </c>
      <c r="AQ21" s="48"/>
      <c r="AR21" s="84"/>
      <c r="AS21" s="81">
        <f t="shared" si="13"/>
        <v>0</v>
      </c>
      <c r="AT21" s="79">
        <f t="shared" si="14"/>
        <v>0</v>
      </c>
      <c r="AU21" s="49"/>
      <c r="AV21" s="84"/>
      <c r="AW21" s="81">
        <v>0</v>
      </c>
      <c r="AX21" s="79">
        <v>0</v>
      </c>
      <c r="AY21" s="49"/>
      <c r="AZ21" s="84"/>
      <c r="BA21" s="81">
        <v>0</v>
      </c>
      <c r="BB21" s="79">
        <v>0</v>
      </c>
      <c r="BC21" s="49"/>
      <c r="BD21" s="84"/>
      <c r="BE21" s="81">
        <v>0</v>
      </c>
      <c r="BF21" s="79">
        <v>0</v>
      </c>
      <c r="BG21" s="49"/>
      <c r="BH21" s="84"/>
      <c r="BI21" s="81">
        <v>0</v>
      </c>
      <c r="BJ21" s="79">
        <v>0</v>
      </c>
      <c r="BK21" s="49"/>
      <c r="BL21" s="84"/>
      <c r="BM21" s="81">
        <v>0</v>
      </c>
      <c r="BN21" s="79">
        <v>0</v>
      </c>
      <c r="BO21" s="49"/>
      <c r="BP21" s="84"/>
      <c r="BQ21" s="81">
        <v>0</v>
      </c>
      <c r="BR21" s="79">
        <v>0</v>
      </c>
      <c r="BS21" s="49"/>
      <c r="BT21" s="84"/>
      <c r="BU21" s="81">
        <f t="shared" si="15"/>
        <v>0</v>
      </c>
      <c r="BV21" s="79">
        <f t="shared" si="16"/>
        <v>0</v>
      </c>
      <c r="BW21" s="48"/>
      <c r="BX21" s="84"/>
      <c r="BY21" s="81">
        <f t="shared" si="17"/>
        <v>0</v>
      </c>
      <c r="BZ21" s="79">
        <f t="shared" si="18"/>
        <v>0</v>
      </c>
      <c r="CA21" s="48"/>
      <c r="CB21" s="84"/>
      <c r="CC21" s="81">
        <v>0</v>
      </c>
      <c r="CD21" s="79">
        <v>0</v>
      </c>
      <c r="CE21" s="49"/>
      <c r="CF21" s="84"/>
      <c r="CG21" s="81">
        <f t="shared" si="19"/>
        <v>0</v>
      </c>
      <c r="CH21" s="79">
        <f t="shared" si="20"/>
        <v>0</v>
      </c>
      <c r="CI21" s="33"/>
      <c r="CJ21" s="84"/>
      <c r="CK21" s="81">
        <f t="shared" si="21"/>
        <v>0</v>
      </c>
      <c r="CL21" s="79">
        <f t="shared" si="22"/>
        <v>0</v>
      </c>
      <c r="CM21" s="34"/>
      <c r="CN21" s="34"/>
      <c r="CO21" s="34"/>
      <c r="CP21" s="34"/>
      <c r="CQ21" s="50">
        <f t="shared" si="23"/>
        <v>1</v>
      </c>
      <c r="CR21" s="77">
        <f t="shared" si="24"/>
        <v>0</v>
      </c>
      <c r="CS21" s="28"/>
    </row>
    <row r="22" spans="1:97" s="1" customFormat="1">
      <c r="A22" s="30" t="s">
        <v>129</v>
      </c>
      <c r="B22" s="47"/>
      <c r="C22" s="31" t="s">
        <v>123</v>
      </c>
      <c r="D22" s="32"/>
      <c r="E22" s="32"/>
      <c r="F22" s="87"/>
      <c r="G22" s="48"/>
      <c r="H22" s="84"/>
      <c r="I22" s="80">
        <f t="shared" si="25"/>
        <v>0</v>
      </c>
      <c r="J22" s="79">
        <f t="shared" si="26"/>
        <v>0</v>
      </c>
      <c r="K22" s="49"/>
      <c r="L22" s="84"/>
      <c r="M22" s="81">
        <f t="shared" si="0"/>
        <v>0</v>
      </c>
      <c r="N22" s="79">
        <f t="shared" si="1"/>
        <v>0</v>
      </c>
      <c r="O22" s="48"/>
      <c r="P22" s="84"/>
      <c r="Q22" s="81">
        <f t="shared" si="2"/>
        <v>0</v>
      </c>
      <c r="R22" s="79">
        <f t="shared" si="3"/>
        <v>0</v>
      </c>
      <c r="S22" s="49"/>
      <c r="T22" s="84"/>
      <c r="U22" s="81">
        <f t="shared" si="4"/>
        <v>0</v>
      </c>
      <c r="V22" s="79">
        <f t="shared" si="5"/>
        <v>0</v>
      </c>
      <c r="W22" s="49"/>
      <c r="X22" s="84"/>
      <c r="Y22" s="81">
        <f t="shared" si="27"/>
        <v>0</v>
      </c>
      <c r="Z22" s="79">
        <f t="shared" si="6"/>
        <v>0</v>
      </c>
      <c r="AA22" s="49"/>
      <c r="AB22" s="84"/>
      <c r="AC22" s="81">
        <f t="shared" si="28"/>
        <v>0</v>
      </c>
      <c r="AD22" s="79">
        <f t="shared" si="7"/>
        <v>0</v>
      </c>
      <c r="AE22" s="49"/>
      <c r="AF22" s="84"/>
      <c r="AG22" s="81">
        <f t="shared" si="29"/>
        <v>0</v>
      </c>
      <c r="AH22" s="79">
        <f t="shared" si="8"/>
        <v>0</v>
      </c>
      <c r="AI22" s="48">
        <v>1920</v>
      </c>
      <c r="AJ22" s="84"/>
      <c r="AK22" s="81">
        <f t="shared" si="9"/>
        <v>0</v>
      </c>
      <c r="AL22" s="79">
        <f t="shared" si="10"/>
        <v>0</v>
      </c>
      <c r="AM22" s="48"/>
      <c r="AN22" s="84"/>
      <c r="AO22" s="81">
        <f t="shared" si="11"/>
        <v>0</v>
      </c>
      <c r="AP22" s="79">
        <f t="shared" si="12"/>
        <v>0</v>
      </c>
      <c r="AQ22" s="48"/>
      <c r="AR22" s="84"/>
      <c r="AS22" s="81">
        <f t="shared" si="13"/>
        <v>0</v>
      </c>
      <c r="AT22" s="79">
        <f t="shared" si="14"/>
        <v>0</v>
      </c>
      <c r="AU22" s="49"/>
      <c r="AV22" s="84"/>
      <c r="AW22" s="81">
        <v>0</v>
      </c>
      <c r="AX22" s="79">
        <v>0</v>
      </c>
      <c r="AY22" s="49"/>
      <c r="AZ22" s="84"/>
      <c r="BA22" s="81">
        <v>0</v>
      </c>
      <c r="BB22" s="79">
        <v>0</v>
      </c>
      <c r="BC22" s="49"/>
      <c r="BD22" s="84"/>
      <c r="BE22" s="81">
        <v>0</v>
      </c>
      <c r="BF22" s="79">
        <v>0</v>
      </c>
      <c r="BG22" s="49"/>
      <c r="BH22" s="84"/>
      <c r="BI22" s="81">
        <v>0</v>
      </c>
      <c r="BJ22" s="79">
        <v>0</v>
      </c>
      <c r="BK22" s="49"/>
      <c r="BL22" s="84"/>
      <c r="BM22" s="81">
        <v>0</v>
      </c>
      <c r="BN22" s="79">
        <v>0</v>
      </c>
      <c r="BO22" s="49"/>
      <c r="BP22" s="84"/>
      <c r="BQ22" s="81">
        <v>0</v>
      </c>
      <c r="BR22" s="79">
        <v>0</v>
      </c>
      <c r="BS22" s="49"/>
      <c r="BT22" s="84"/>
      <c r="BU22" s="81">
        <f t="shared" si="15"/>
        <v>0</v>
      </c>
      <c r="BV22" s="79">
        <f t="shared" si="16"/>
        <v>0</v>
      </c>
      <c r="BW22" s="48"/>
      <c r="BX22" s="84"/>
      <c r="BY22" s="81">
        <f t="shared" si="17"/>
        <v>0</v>
      </c>
      <c r="BZ22" s="79">
        <f t="shared" si="18"/>
        <v>0</v>
      </c>
      <c r="CA22" s="48"/>
      <c r="CB22" s="84"/>
      <c r="CC22" s="81">
        <v>0</v>
      </c>
      <c r="CD22" s="79">
        <v>0</v>
      </c>
      <c r="CE22" s="49"/>
      <c r="CF22" s="84"/>
      <c r="CG22" s="81">
        <f t="shared" si="19"/>
        <v>0</v>
      </c>
      <c r="CH22" s="79">
        <f t="shared" si="20"/>
        <v>0</v>
      </c>
      <c r="CI22" s="33"/>
      <c r="CJ22" s="84"/>
      <c r="CK22" s="81">
        <f t="shared" si="21"/>
        <v>0</v>
      </c>
      <c r="CL22" s="79">
        <f t="shared" si="22"/>
        <v>0</v>
      </c>
      <c r="CM22" s="34"/>
      <c r="CN22" s="34"/>
      <c r="CO22" s="34"/>
      <c r="CP22" s="34"/>
      <c r="CQ22" s="50">
        <f t="shared" si="23"/>
        <v>1</v>
      </c>
      <c r="CR22" s="77">
        <f t="shared" si="24"/>
        <v>0</v>
      </c>
      <c r="CS22" s="28"/>
    </row>
    <row r="23" spans="1:97" s="1" customFormat="1">
      <c r="A23" s="30" t="s">
        <v>130</v>
      </c>
      <c r="B23" s="47"/>
      <c r="C23" s="31" t="s">
        <v>123</v>
      </c>
      <c r="D23" s="32"/>
      <c r="E23" s="32"/>
      <c r="F23" s="87"/>
      <c r="G23" s="48"/>
      <c r="H23" s="84"/>
      <c r="I23" s="80">
        <f t="shared" si="25"/>
        <v>0</v>
      </c>
      <c r="J23" s="79">
        <f t="shared" si="26"/>
        <v>0</v>
      </c>
      <c r="K23" s="48">
        <v>1920</v>
      </c>
      <c r="L23" s="84"/>
      <c r="M23" s="81">
        <f t="shared" si="0"/>
        <v>0</v>
      </c>
      <c r="N23" s="79">
        <f t="shared" si="1"/>
        <v>0</v>
      </c>
      <c r="O23" s="48"/>
      <c r="P23" s="84"/>
      <c r="Q23" s="81">
        <f t="shared" si="2"/>
        <v>0</v>
      </c>
      <c r="R23" s="79">
        <f t="shared" si="3"/>
        <v>0</v>
      </c>
      <c r="S23" s="49"/>
      <c r="T23" s="84"/>
      <c r="U23" s="81">
        <f t="shared" si="4"/>
        <v>0</v>
      </c>
      <c r="V23" s="79">
        <f t="shared" si="5"/>
        <v>0</v>
      </c>
      <c r="W23" s="49"/>
      <c r="X23" s="84"/>
      <c r="Y23" s="81">
        <f t="shared" si="27"/>
        <v>0</v>
      </c>
      <c r="Z23" s="79">
        <f t="shared" si="6"/>
        <v>0</v>
      </c>
      <c r="AA23" s="49"/>
      <c r="AB23" s="84"/>
      <c r="AC23" s="81">
        <f t="shared" si="28"/>
        <v>0</v>
      </c>
      <c r="AD23" s="79">
        <f t="shared" si="7"/>
        <v>0</v>
      </c>
      <c r="AE23" s="49"/>
      <c r="AF23" s="84"/>
      <c r="AG23" s="81">
        <f t="shared" si="29"/>
        <v>0</v>
      </c>
      <c r="AH23" s="79">
        <f t="shared" si="8"/>
        <v>0</v>
      </c>
      <c r="AI23" s="48"/>
      <c r="AJ23" s="84"/>
      <c r="AK23" s="81">
        <f t="shared" si="9"/>
        <v>0</v>
      </c>
      <c r="AL23" s="79">
        <f t="shared" si="10"/>
        <v>0</v>
      </c>
      <c r="AM23" s="48"/>
      <c r="AN23" s="84"/>
      <c r="AO23" s="81">
        <f t="shared" si="11"/>
        <v>0</v>
      </c>
      <c r="AP23" s="79">
        <f t="shared" si="12"/>
        <v>0</v>
      </c>
      <c r="AQ23" s="48"/>
      <c r="AR23" s="84"/>
      <c r="AS23" s="81">
        <f t="shared" si="13"/>
        <v>0</v>
      </c>
      <c r="AT23" s="79">
        <f t="shared" si="14"/>
        <v>0</v>
      </c>
      <c r="AU23" s="49"/>
      <c r="AV23" s="84"/>
      <c r="AW23" s="81">
        <v>0</v>
      </c>
      <c r="AX23" s="79">
        <v>0</v>
      </c>
      <c r="AY23" s="49"/>
      <c r="AZ23" s="84"/>
      <c r="BA23" s="81">
        <v>0</v>
      </c>
      <c r="BB23" s="79">
        <v>0</v>
      </c>
      <c r="BC23" s="49"/>
      <c r="BD23" s="84"/>
      <c r="BE23" s="81">
        <v>0</v>
      </c>
      <c r="BF23" s="79">
        <v>0</v>
      </c>
      <c r="BG23" s="49"/>
      <c r="BH23" s="84"/>
      <c r="BI23" s="81">
        <v>0</v>
      </c>
      <c r="BJ23" s="79">
        <v>0</v>
      </c>
      <c r="BK23" s="49"/>
      <c r="BL23" s="84"/>
      <c r="BM23" s="81">
        <v>0</v>
      </c>
      <c r="BN23" s="79">
        <v>0</v>
      </c>
      <c r="BO23" s="49"/>
      <c r="BP23" s="84"/>
      <c r="BQ23" s="81">
        <v>0</v>
      </c>
      <c r="BR23" s="79">
        <v>0</v>
      </c>
      <c r="BS23" s="49"/>
      <c r="BT23" s="84"/>
      <c r="BU23" s="81">
        <f t="shared" si="15"/>
        <v>0</v>
      </c>
      <c r="BV23" s="79">
        <f t="shared" si="16"/>
        <v>0</v>
      </c>
      <c r="BW23" s="48"/>
      <c r="BX23" s="84"/>
      <c r="BY23" s="81">
        <f t="shared" si="17"/>
        <v>0</v>
      </c>
      <c r="BZ23" s="79">
        <f t="shared" si="18"/>
        <v>0</v>
      </c>
      <c r="CA23" s="48"/>
      <c r="CB23" s="84"/>
      <c r="CC23" s="81">
        <v>0</v>
      </c>
      <c r="CD23" s="79">
        <v>0</v>
      </c>
      <c r="CE23" s="49"/>
      <c r="CF23" s="84"/>
      <c r="CG23" s="81">
        <f t="shared" si="19"/>
        <v>0</v>
      </c>
      <c r="CH23" s="79">
        <f t="shared" si="20"/>
        <v>0</v>
      </c>
      <c r="CI23" s="33"/>
      <c r="CJ23" s="84"/>
      <c r="CK23" s="81">
        <f t="shared" si="21"/>
        <v>0</v>
      </c>
      <c r="CL23" s="79">
        <f t="shared" si="22"/>
        <v>0</v>
      </c>
      <c r="CM23" s="34"/>
      <c r="CN23" s="34"/>
      <c r="CO23" s="34"/>
      <c r="CP23" s="34"/>
      <c r="CQ23" s="50">
        <f t="shared" si="23"/>
        <v>1</v>
      </c>
      <c r="CR23" s="77">
        <f t="shared" si="24"/>
        <v>0</v>
      </c>
      <c r="CS23" s="28"/>
    </row>
    <row r="24" spans="1:97" s="1" customFormat="1">
      <c r="A24" s="30" t="s">
        <v>131</v>
      </c>
      <c r="B24" s="47"/>
      <c r="C24" s="31" t="s">
        <v>121</v>
      </c>
      <c r="D24" s="32"/>
      <c r="E24" s="32"/>
      <c r="F24" s="87"/>
      <c r="G24" s="48"/>
      <c r="H24" s="84"/>
      <c r="I24" s="80">
        <f t="shared" si="25"/>
        <v>0</v>
      </c>
      <c r="J24" s="79">
        <f t="shared" si="26"/>
        <v>0</v>
      </c>
      <c r="K24" s="49"/>
      <c r="L24" s="84"/>
      <c r="M24" s="81">
        <f t="shared" si="0"/>
        <v>0</v>
      </c>
      <c r="N24" s="79">
        <f t="shared" si="1"/>
        <v>0</v>
      </c>
      <c r="O24" s="48">
        <v>1920</v>
      </c>
      <c r="P24" s="84"/>
      <c r="Q24" s="81">
        <f t="shared" si="2"/>
        <v>0</v>
      </c>
      <c r="R24" s="79">
        <f t="shared" si="3"/>
        <v>0</v>
      </c>
      <c r="S24" s="49"/>
      <c r="T24" s="84"/>
      <c r="U24" s="81">
        <f t="shared" si="4"/>
        <v>0</v>
      </c>
      <c r="V24" s="79">
        <f t="shared" si="5"/>
        <v>0</v>
      </c>
      <c r="W24" s="49"/>
      <c r="X24" s="84"/>
      <c r="Y24" s="81">
        <f t="shared" si="27"/>
        <v>0</v>
      </c>
      <c r="Z24" s="79">
        <f t="shared" si="6"/>
        <v>0</v>
      </c>
      <c r="AA24" s="49"/>
      <c r="AB24" s="84"/>
      <c r="AC24" s="81">
        <f t="shared" si="28"/>
        <v>0</v>
      </c>
      <c r="AD24" s="79">
        <f t="shared" si="7"/>
        <v>0</v>
      </c>
      <c r="AE24" s="49"/>
      <c r="AF24" s="84"/>
      <c r="AG24" s="81">
        <f t="shared" si="29"/>
        <v>0</v>
      </c>
      <c r="AH24" s="79">
        <f t="shared" si="8"/>
        <v>0</v>
      </c>
      <c r="AI24" s="48"/>
      <c r="AJ24" s="84"/>
      <c r="AK24" s="81">
        <f t="shared" si="9"/>
        <v>0</v>
      </c>
      <c r="AL24" s="79">
        <f t="shared" si="10"/>
        <v>0</v>
      </c>
      <c r="AM24" s="48"/>
      <c r="AN24" s="84"/>
      <c r="AO24" s="81">
        <f t="shared" si="11"/>
        <v>0</v>
      </c>
      <c r="AP24" s="79">
        <f t="shared" si="12"/>
        <v>0</v>
      </c>
      <c r="AQ24" s="48"/>
      <c r="AR24" s="84"/>
      <c r="AS24" s="81">
        <f t="shared" si="13"/>
        <v>0</v>
      </c>
      <c r="AT24" s="79">
        <f t="shared" si="14"/>
        <v>0</v>
      </c>
      <c r="AU24" s="49"/>
      <c r="AV24" s="84"/>
      <c r="AW24" s="81">
        <v>0</v>
      </c>
      <c r="AX24" s="79">
        <v>0</v>
      </c>
      <c r="AY24" s="49"/>
      <c r="AZ24" s="84"/>
      <c r="BA24" s="81">
        <v>0</v>
      </c>
      <c r="BB24" s="79">
        <v>0</v>
      </c>
      <c r="BC24" s="49"/>
      <c r="BD24" s="84"/>
      <c r="BE24" s="81">
        <v>0</v>
      </c>
      <c r="BF24" s="79">
        <v>0</v>
      </c>
      <c r="BG24" s="49"/>
      <c r="BH24" s="84"/>
      <c r="BI24" s="81">
        <v>0</v>
      </c>
      <c r="BJ24" s="79">
        <v>0</v>
      </c>
      <c r="BK24" s="49"/>
      <c r="BL24" s="84"/>
      <c r="BM24" s="81">
        <v>0</v>
      </c>
      <c r="BN24" s="79">
        <v>0</v>
      </c>
      <c r="BO24" s="49"/>
      <c r="BP24" s="84"/>
      <c r="BQ24" s="81">
        <v>0</v>
      </c>
      <c r="BR24" s="79">
        <v>0</v>
      </c>
      <c r="BS24" s="49"/>
      <c r="BT24" s="84"/>
      <c r="BU24" s="81">
        <f t="shared" si="15"/>
        <v>0</v>
      </c>
      <c r="BV24" s="79">
        <f t="shared" si="16"/>
        <v>0</v>
      </c>
      <c r="BW24" s="48"/>
      <c r="BX24" s="84"/>
      <c r="BY24" s="81">
        <f t="shared" si="17"/>
        <v>0</v>
      </c>
      <c r="BZ24" s="79">
        <f t="shared" si="18"/>
        <v>0</v>
      </c>
      <c r="CA24" s="48"/>
      <c r="CB24" s="84"/>
      <c r="CC24" s="81">
        <v>0</v>
      </c>
      <c r="CD24" s="79">
        <v>0</v>
      </c>
      <c r="CE24" s="49"/>
      <c r="CF24" s="84"/>
      <c r="CG24" s="81">
        <f t="shared" si="19"/>
        <v>0</v>
      </c>
      <c r="CH24" s="79">
        <f t="shared" si="20"/>
        <v>0</v>
      </c>
      <c r="CI24" s="33"/>
      <c r="CJ24" s="84"/>
      <c r="CK24" s="81">
        <f t="shared" si="21"/>
        <v>0</v>
      </c>
      <c r="CL24" s="79">
        <f t="shared" si="22"/>
        <v>0</v>
      </c>
      <c r="CM24" s="34"/>
      <c r="CN24" s="34"/>
      <c r="CO24" s="34"/>
      <c r="CP24" s="34"/>
      <c r="CQ24" s="50">
        <f t="shared" si="23"/>
        <v>1</v>
      </c>
      <c r="CR24" s="77">
        <f t="shared" si="24"/>
        <v>0</v>
      </c>
      <c r="CS24" s="28"/>
    </row>
    <row r="25" spans="1:97" s="1" customFormat="1">
      <c r="A25" s="30" t="s">
        <v>131</v>
      </c>
      <c r="B25" s="47"/>
      <c r="C25" s="31" t="s">
        <v>123</v>
      </c>
      <c r="D25" s="32"/>
      <c r="E25" s="32"/>
      <c r="F25" s="87"/>
      <c r="G25" s="48"/>
      <c r="H25" s="84"/>
      <c r="I25" s="80">
        <f t="shared" si="25"/>
        <v>0</v>
      </c>
      <c r="J25" s="79">
        <f t="shared" si="26"/>
        <v>0</v>
      </c>
      <c r="K25" s="49"/>
      <c r="L25" s="84"/>
      <c r="M25" s="81">
        <f t="shared" si="0"/>
        <v>0</v>
      </c>
      <c r="N25" s="79">
        <f t="shared" si="1"/>
        <v>0</v>
      </c>
      <c r="O25" s="48">
        <v>3840</v>
      </c>
      <c r="P25" s="84"/>
      <c r="Q25" s="81">
        <f t="shared" si="2"/>
        <v>0</v>
      </c>
      <c r="R25" s="79">
        <f t="shared" si="3"/>
        <v>0</v>
      </c>
      <c r="S25" s="49"/>
      <c r="T25" s="84"/>
      <c r="U25" s="81">
        <f t="shared" si="4"/>
        <v>0</v>
      </c>
      <c r="V25" s="79">
        <f t="shared" si="5"/>
        <v>0</v>
      </c>
      <c r="W25" s="49"/>
      <c r="X25" s="84"/>
      <c r="Y25" s="81">
        <f t="shared" si="27"/>
        <v>0</v>
      </c>
      <c r="Z25" s="79">
        <f t="shared" si="6"/>
        <v>0</v>
      </c>
      <c r="AA25" s="49"/>
      <c r="AB25" s="84"/>
      <c r="AC25" s="81">
        <f t="shared" si="28"/>
        <v>0</v>
      </c>
      <c r="AD25" s="79">
        <f t="shared" si="7"/>
        <v>0</v>
      </c>
      <c r="AE25" s="49"/>
      <c r="AF25" s="84"/>
      <c r="AG25" s="81">
        <f t="shared" si="29"/>
        <v>0</v>
      </c>
      <c r="AH25" s="79">
        <f t="shared" si="8"/>
        <v>0</v>
      </c>
      <c r="AI25" s="48"/>
      <c r="AJ25" s="84"/>
      <c r="AK25" s="81">
        <f t="shared" si="9"/>
        <v>0</v>
      </c>
      <c r="AL25" s="79">
        <f t="shared" si="10"/>
        <v>0</v>
      </c>
      <c r="AM25" s="48"/>
      <c r="AN25" s="84"/>
      <c r="AO25" s="81">
        <f t="shared" si="11"/>
        <v>0</v>
      </c>
      <c r="AP25" s="79">
        <f t="shared" si="12"/>
        <v>0</v>
      </c>
      <c r="AQ25" s="48"/>
      <c r="AR25" s="84"/>
      <c r="AS25" s="81">
        <f t="shared" si="13"/>
        <v>0</v>
      </c>
      <c r="AT25" s="79">
        <f t="shared" si="14"/>
        <v>0</v>
      </c>
      <c r="AU25" s="49"/>
      <c r="AV25" s="84"/>
      <c r="AW25" s="81">
        <v>0</v>
      </c>
      <c r="AX25" s="79">
        <v>0</v>
      </c>
      <c r="AY25" s="49"/>
      <c r="AZ25" s="84"/>
      <c r="BA25" s="81">
        <v>0</v>
      </c>
      <c r="BB25" s="79">
        <v>0</v>
      </c>
      <c r="BC25" s="49"/>
      <c r="BD25" s="84"/>
      <c r="BE25" s="81">
        <v>0</v>
      </c>
      <c r="BF25" s="79">
        <v>0</v>
      </c>
      <c r="BG25" s="49"/>
      <c r="BH25" s="84"/>
      <c r="BI25" s="81">
        <v>0</v>
      </c>
      <c r="BJ25" s="79">
        <v>0</v>
      </c>
      <c r="BK25" s="49"/>
      <c r="BL25" s="84"/>
      <c r="BM25" s="81">
        <v>0</v>
      </c>
      <c r="BN25" s="79">
        <v>0</v>
      </c>
      <c r="BO25" s="49"/>
      <c r="BP25" s="84"/>
      <c r="BQ25" s="81">
        <v>0</v>
      </c>
      <c r="BR25" s="79">
        <v>0</v>
      </c>
      <c r="BS25" s="49"/>
      <c r="BT25" s="84"/>
      <c r="BU25" s="81">
        <f t="shared" si="15"/>
        <v>0</v>
      </c>
      <c r="BV25" s="79">
        <f t="shared" si="16"/>
        <v>0</v>
      </c>
      <c r="BW25" s="48"/>
      <c r="BX25" s="84"/>
      <c r="BY25" s="81">
        <f t="shared" si="17"/>
        <v>0</v>
      </c>
      <c r="BZ25" s="79">
        <f t="shared" si="18"/>
        <v>0</v>
      </c>
      <c r="CA25" s="48"/>
      <c r="CB25" s="84"/>
      <c r="CC25" s="81">
        <v>0</v>
      </c>
      <c r="CD25" s="79">
        <v>0</v>
      </c>
      <c r="CE25" s="49"/>
      <c r="CF25" s="84"/>
      <c r="CG25" s="81">
        <f t="shared" si="19"/>
        <v>0</v>
      </c>
      <c r="CH25" s="79">
        <f t="shared" si="20"/>
        <v>0</v>
      </c>
      <c r="CI25" s="33"/>
      <c r="CJ25" s="84"/>
      <c r="CK25" s="81">
        <f t="shared" si="21"/>
        <v>0</v>
      </c>
      <c r="CL25" s="79">
        <f t="shared" si="22"/>
        <v>0</v>
      </c>
      <c r="CM25" s="34"/>
      <c r="CN25" s="34"/>
      <c r="CO25" s="34"/>
      <c r="CP25" s="34"/>
      <c r="CQ25" s="50">
        <f t="shared" si="23"/>
        <v>1</v>
      </c>
      <c r="CR25" s="77">
        <f t="shared" si="24"/>
        <v>0</v>
      </c>
      <c r="CS25" s="28"/>
    </row>
    <row r="26" spans="1:97" s="1" customFormat="1">
      <c r="A26" s="30" t="s">
        <v>132</v>
      </c>
      <c r="B26" s="47"/>
      <c r="C26" s="31" t="s">
        <v>123</v>
      </c>
      <c r="D26" s="32"/>
      <c r="E26" s="32"/>
      <c r="F26" s="87"/>
      <c r="G26" s="48"/>
      <c r="H26" s="84"/>
      <c r="I26" s="80">
        <f t="shared" si="25"/>
        <v>0</v>
      </c>
      <c r="J26" s="79">
        <f t="shared" si="26"/>
        <v>0</v>
      </c>
      <c r="K26" s="49"/>
      <c r="L26" s="84"/>
      <c r="M26" s="81">
        <f t="shared" si="0"/>
        <v>0</v>
      </c>
      <c r="N26" s="79">
        <f t="shared" si="1"/>
        <v>0</v>
      </c>
      <c r="O26" s="48"/>
      <c r="P26" s="84"/>
      <c r="Q26" s="81">
        <f t="shared" si="2"/>
        <v>0</v>
      </c>
      <c r="R26" s="79">
        <f t="shared" si="3"/>
        <v>0</v>
      </c>
      <c r="S26" s="49"/>
      <c r="T26" s="84"/>
      <c r="U26" s="81">
        <f t="shared" si="4"/>
        <v>0</v>
      </c>
      <c r="V26" s="79">
        <f t="shared" si="5"/>
        <v>0</v>
      </c>
      <c r="W26" s="49"/>
      <c r="X26" s="84"/>
      <c r="Y26" s="81">
        <f t="shared" si="27"/>
        <v>0</v>
      </c>
      <c r="Z26" s="79">
        <f t="shared" si="6"/>
        <v>0</v>
      </c>
      <c r="AA26" s="49"/>
      <c r="AB26" s="84"/>
      <c r="AC26" s="81">
        <f t="shared" si="28"/>
        <v>0</v>
      </c>
      <c r="AD26" s="79">
        <f t="shared" si="7"/>
        <v>0</v>
      </c>
      <c r="AE26" s="49"/>
      <c r="AF26" s="84"/>
      <c r="AG26" s="81">
        <f t="shared" si="29"/>
        <v>0</v>
      </c>
      <c r="AH26" s="79">
        <f t="shared" si="8"/>
        <v>0</v>
      </c>
      <c r="AI26" s="48"/>
      <c r="AJ26" s="84"/>
      <c r="AK26" s="81">
        <f t="shared" si="9"/>
        <v>0</v>
      </c>
      <c r="AL26" s="79">
        <f t="shared" si="10"/>
        <v>0</v>
      </c>
      <c r="AM26" s="48"/>
      <c r="AN26" s="84"/>
      <c r="AO26" s="81">
        <f t="shared" si="11"/>
        <v>0</v>
      </c>
      <c r="AP26" s="79">
        <f t="shared" si="12"/>
        <v>0</v>
      </c>
      <c r="AQ26" s="48"/>
      <c r="AR26" s="84"/>
      <c r="AS26" s="81">
        <f t="shared" si="13"/>
        <v>0</v>
      </c>
      <c r="AT26" s="79">
        <f t="shared" si="14"/>
        <v>0</v>
      </c>
      <c r="AU26" s="49"/>
      <c r="AV26" s="84"/>
      <c r="AW26" s="81">
        <v>0</v>
      </c>
      <c r="AX26" s="79">
        <v>0</v>
      </c>
      <c r="AY26" s="49"/>
      <c r="AZ26" s="84"/>
      <c r="BA26" s="81">
        <v>0</v>
      </c>
      <c r="BB26" s="79">
        <v>0</v>
      </c>
      <c r="BC26" s="49"/>
      <c r="BD26" s="84"/>
      <c r="BE26" s="81">
        <v>0</v>
      </c>
      <c r="BF26" s="79">
        <v>0</v>
      </c>
      <c r="BG26" s="49"/>
      <c r="BH26" s="84"/>
      <c r="BI26" s="81">
        <v>0</v>
      </c>
      <c r="BJ26" s="79">
        <v>0</v>
      </c>
      <c r="BK26" s="49"/>
      <c r="BL26" s="84"/>
      <c r="BM26" s="81">
        <v>0</v>
      </c>
      <c r="BN26" s="79">
        <v>0</v>
      </c>
      <c r="BO26" s="49"/>
      <c r="BP26" s="84"/>
      <c r="BQ26" s="81">
        <v>0</v>
      </c>
      <c r="BR26" s="79">
        <v>0</v>
      </c>
      <c r="BS26" s="49"/>
      <c r="BT26" s="84"/>
      <c r="BU26" s="81">
        <f t="shared" si="15"/>
        <v>0</v>
      </c>
      <c r="BV26" s="79">
        <f t="shared" si="16"/>
        <v>0</v>
      </c>
      <c r="BW26" s="48">
        <v>1920</v>
      </c>
      <c r="BX26" s="84"/>
      <c r="BY26" s="81">
        <f t="shared" si="17"/>
        <v>0</v>
      </c>
      <c r="BZ26" s="79">
        <f t="shared" si="18"/>
        <v>0</v>
      </c>
      <c r="CA26" s="48"/>
      <c r="CB26" s="84"/>
      <c r="CC26" s="81">
        <v>0</v>
      </c>
      <c r="CD26" s="79">
        <v>0</v>
      </c>
      <c r="CE26" s="49"/>
      <c r="CF26" s="84"/>
      <c r="CG26" s="81">
        <f t="shared" si="19"/>
        <v>0</v>
      </c>
      <c r="CH26" s="79">
        <f t="shared" si="20"/>
        <v>0</v>
      </c>
      <c r="CI26" s="33"/>
      <c r="CJ26" s="84"/>
      <c r="CK26" s="81">
        <f t="shared" si="21"/>
        <v>0</v>
      </c>
      <c r="CL26" s="79">
        <f t="shared" si="22"/>
        <v>0</v>
      </c>
      <c r="CM26" s="34"/>
      <c r="CN26" s="34"/>
      <c r="CO26" s="34"/>
      <c r="CP26" s="34"/>
      <c r="CQ26" s="50">
        <f t="shared" si="23"/>
        <v>1</v>
      </c>
      <c r="CR26" s="77">
        <f t="shared" si="24"/>
        <v>0</v>
      </c>
      <c r="CS26" s="28"/>
    </row>
    <row r="27" spans="1:97" s="1" customFormat="1">
      <c r="A27" s="30" t="s">
        <v>133</v>
      </c>
      <c r="B27" s="47"/>
      <c r="C27" s="31" t="s">
        <v>123</v>
      </c>
      <c r="D27" s="32"/>
      <c r="E27" s="32"/>
      <c r="F27" s="87"/>
      <c r="G27" s="48"/>
      <c r="H27" s="84"/>
      <c r="I27" s="80">
        <f t="shared" si="25"/>
        <v>0</v>
      </c>
      <c r="J27" s="79">
        <f t="shared" si="26"/>
        <v>0</v>
      </c>
      <c r="K27" s="49"/>
      <c r="L27" s="84"/>
      <c r="M27" s="81">
        <v>87</v>
      </c>
      <c r="N27" s="79">
        <f t="shared" si="1"/>
        <v>0</v>
      </c>
      <c r="O27" s="48">
        <v>3840</v>
      </c>
      <c r="P27" s="84"/>
      <c r="Q27" s="81">
        <f t="shared" si="2"/>
        <v>0</v>
      </c>
      <c r="R27" s="79">
        <f t="shared" si="3"/>
        <v>0</v>
      </c>
      <c r="S27" s="49"/>
      <c r="T27" s="84"/>
      <c r="U27" s="81">
        <f t="shared" si="4"/>
        <v>0</v>
      </c>
      <c r="V27" s="79">
        <f t="shared" si="5"/>
        <v>0</v>
      </c>
      <c r="W27" s="49"/>
      <c r="X27" s="84"/>
      <c r="Y27" s="81">
        <f t="shared" si="27"/>
        <v>0</v>
      </c>
      <c r="Z27" s="79">
        <f t="shared" si="6"/>
        <v>0</v>
      </c>
      <c r="AA27" s="49"/>
      <c r="AB27" s="84"/>
      <c r="AC27" s="81">
        <f t="shared" si="28"/>
        <v>0</v>
      </c>
      <c r="AD27" s="79">
        <f t="shared" si="7"/>
        <v>0</v>
      </c>
      <c r="AE27" s="49"/>
      <c r="AF27" s="84"/>
      <c r="AG27" s="81">
        <f t="shared" si="29"/>
        <v>0</v>
      </c>
      <c r="AH27" s="79">
        <f t="shared" si="8"/>
        <v>0</v>
      </c>
      <c r="AI27" s="48"/>
      <c r="AJ27" s="84"/>
      <c r="AK27" s="81">
        <f t="shared" si="9"/>
        <v>0</v>
      </c>
      <c r="AL27" s="79">
        <f t="shared" si="10"/>
        <v>0</v>
      </c>
      <c r="AM27" s="48"/>
      <c r="AN27" s="84"/>
      <c r="AO27" s="81">
        <f t="shared" si="11"/>
        <v>0</v>
      </c>
      <c r="AP27" s="79">
        <f t="shared" si="12"/>
        <v>0</v>
      </c>
      <c r="AQ27" s="48"/>
      <c r="AR27" s="84"/>
      <c r="AS27" s="81">
        <f t="shared" si="13"/>
        <v>0</v>
      </c>
      <c r="AT27" s="79">
        <f t="shared" si="14"/>
        <v>0</v>
      </c>
      <c r="AU27" s="49"/>
      <c r="AV27" s="84"/>
      <c r="AW27" s="81">
        <v>0</v>
      </c>
      <c r="AX27" s="79">
        <v>0</v>
      </c>
      <c r="AY27" s="49"/>
      <c r="AZ27" s="84"/>
      <c r="BA27" s="81">
        <v>0</v>
      </c>
      <c r="BB27" s="79">
        <v>0</v>
      </c>
      <c r="BC27" s="49"/>
      <c r="BD27" s="84"/>
      <c r="BE27" s="81">
        <v>0</v>
      </c>
      <c r="BF27" s="79">
        <v>0</v>
      </c>
      <c r="BG27" s="49"/>
      <c r="BH27" s="84"/>
      <c r="BI27" s="81">
        <v>0</v>
      </c>
      <c r="BJ27" s="79">
        <v>0</v>
      </c>
      <c r="BK27" s="49"/>
      <c r="BL27" s="84"/>
      <c r="BM27" s="81">
        <v>0</v>
      </c>
      <c r="BN27" s="79">
        <v>0</v>
      </c>
      <c r="BO27" s="49"/>
      <c r="BP27" s="84"/>
      <c r="BQ27" s="81">
        <v>0</v>
      </c>
      <c r="BR27" s="79">
        <v>0</v>
      </c>
      <c r="BS27" s="49"/>
      <c r="BT27" s="84"/>
      <c r="BU27" s="81">
        <f t="shared" si="15"/>
        <v>0</v>
      </c>
      <c r="BV27" s="79">
        <f t="shared" si="16"/>
        <v>0</v>
      </c>
      <c r="BW27" s="48"/>
      <c r="BX27" s="84"/>
      <c r="BY27" s="81">
        <f t="shared" si="17"/>
        <v>0</v>
      </c>
      <c r="BZ27" s="79">
        <f t="shared" si="18"/>
        <v>0</v>
      </c>
      <c r="CA27" s="48"/>
      <c r="CB27" s="84"/>
      <c r="CC27" s="81">
        <v>0</v>
      </c>
      <c r="CD27" s="79">
        <v>0</v>
      </c>
      <c r="CE27" s="49"/>
      <c r="CF27" s="84"/>
      <c r="CG27" s="81">
        <f t="shared" si="19"/>
        <v>0</v>
      </c>
      <c r="CH27" s="79">
        <f t="shared" si="20"/>
        <v>0</v>
      </c>
      <c r="CI27" s="33"/>
      <c r="CJ27" s="84"/>
      <c r="CK27" s="81">
        <f t="shared" si="21"/>
        <v>0</v>
      </c>
      <c r="CL27" s="79">
        <f t="shared" si="22"/>
        <v>0</v>
      </c>
      <c r="CM27" s="34"/>
      <c r="CN27" s="34"/>
      <c r="CO27" s="34"/>
      <c r="CP27" s="34"/>
      <c r="CQ27" s="50">
        <f t="shared" si="23"/>
        <v>1</v>
      </c>
      <c r="CR27" s="77">
        <f t="shared" si="24"/>
        <v>0</v>
      </c>
      <c r="CS27" s="28"/>
    </row>
    <row r="28" spans="1:97" s="1" customFormat="1">
      <c r="A28" s="30" t="s">
        <v>134</v>
      </c>
      <c r="B28" s="47"/>
      <c r="C28" s="36" t="s">
        <v>123</v>
      </c>
      <c r="D28" s="32"/>
      <c r="E28" s="32"/>
      <c r="F28" s="87"/>
      <c r="G28" s="48"/>
      <c r="H28" s="84"/>
      <c r="I28" s="80">
        <f t="shared" si="25"/>
        <v>0</v>
      </c>
      <c r="J28" s="79">
        <f t="shared" si="26"/>
        <v>0</v>
      </c>
      <c r="K28" s="48">
        <v>1920</v>
      </c>
      <c r="L28" s="84"/>
      <c r="M28" s="81">
        <f t="shared" ref="M28:M59" si="30">L28*CQ28</f>
        <v>0</v>
      </c>
      <c r="N28" s="79">
        <f t="shared" si="1"/>
        <v>0</v>
      </c>
      <c r="O28" s="48"/>
      <c r="P28" s="84"/>
      <c r="Q28" s="81">
        <f t="shared" si="2"/>
        <v>0</v>
      </c>
      <c r="R28" s="79">
        <f t="shared" si="3"/>
        <v>0</v>
      </c>
      <c r="S28" s="49"/>
      <c r="T28" s="84"/>
      <c r="U28" s="81">
        <f t="shared" si="4"/>
        <v>0</v>
      </c>
      <c r="V28" s="79">
        <f t="shared" si="5"/>
        <v>0</v>
      </c>
      <c r="W28" s="49"/>
      <c r="X28" s="84"/>
      <c r="Y28" s="81">
        <f t="shared" si="27"/>
        <v>0</v>
      </c>
      <c r="Z28" s="79">
        <f t="shared" si="6"/>
        <v>0</v>
      </c>
      <c r="AA28" s="49"/>
      <c r="AB28" s="84"/>
      <c r="AC28" s="81">
        <f t="shared" si="28"/>
        <v>0</v>
      </c>
      <c r="AD28" s="79">
        <f t="shared" si="7"/>
        <v>0</v>
      </c>
      <c r="AE28" s="49"/>
      <c r="AF28" s="84"/>
      <c r="AG28" s="81">
        <f t="shared" si="29"/>
        <v>0</v>
      </c>
      <c r="AH28" s="79">
        <f t="shared" si="8"/>
        <v>0</v>
      </c>
      <c r="AI28" s="48"/>
      <c r="AJ28" s="84"/>
      <c r="AK28" s="81">
        <f t="shared" si="9"/>
        <v>0</v>
      </c>
      <c r="AL28" s="79">
        <f t="shared" si="10"/>
        <v>0</v>
      </c>
      <c r="AM28" s="48"/>
      <c r="AN28" s="84"/>
      <c r="AO28" s="81">
        <f t="shared" si="11"/>
        <v>0</v>
      </c>
      <c r="AP28" s="79">
        <f t="shared" si="12"/>
        <v>0</v>
      </c>
      <c r="AQ28" s="48"/>
      <c r="AR28" s="84"/>
      <c r="AS28" s="81">
        <f t="shared" si="13"/>
        <v>0</v>
      </c>
      <c r="AT28" s="79">
        <f t="shared" si="14"/>
        <v>0</v>
      </c>
      <c r="AU28" s="49"/>
      <c r="AV28" s="84"/>
      <c r="AW28" s="81">
        <v>0</v>
      </c>
      <c r="AX28" s="79">
        <v>0</v>
      </c>
      <c r="AY28" s="49"/>
      <c r="AZ28" s="84"/>
      <c r="BA28" s="81">
        <v>0</v>
      </c>
      <c r="BB28" s="79">
        <v>0</v>
      </c>
      <c r="BC28" s="49"/>
      <c r="BD28" s="84"/>
      <c r="BE28" s="81">
        <v>0</v>
      </c>
      <c r="BF28" s="79">
        <v>0</v>
      </c>
      <c r="BG28" s="49"/>
      <c r="BH28" s="84"/>
      <c r="BI28" s="81">
        <v>0</v>
      </c>
      <c r="BJ28" s="79">
        <v>0</v>
      </c>
      <c r="BK28" s="49"/>
      <c r="BL28" s="84"/>
      <c r="BM28" s="81">
        <v>0</v>
      </c>
      <c r="BN28" s="79">
        <v>0</v>
      </c>
      <c r="BO28" s="49"/>
      <c r="BP28" s="84"/>
      <c r="BQ28" s="81">
        <v>0</v>
      </c>
      <c r="BR28" s="79">
        <v>0</v>
      </c>
      <c r="BS28" s="49"/>
      <c r="BT28" s="84"/>
      <c r="BU28" s="81">
        <f t="shared" si="15"/>
        <v>0</v>
      </c>
      <c r="BV28" s="79">
        <f t="shared" si="16"/>
        <v>0</v>
      </c>
      <c r="BW28" s="48"/>
      <c r="BX28" s="84"/>
      <c r="BY28" s="81">
        <f t="shared" si="17"/>
        <v>0</v>
      </c>
      <c r="BZ28" s="79">
        <f t="shared" si="18"/>
        <v>0</v>
      </c>
      <c r="CA28" s="48"/>
      <c r="CB28" s="84"/>
      <c r="CC28" s="81">
        <v>0</v>
      </c>
      <c r="CD28" s="79">
        <v>0</v>
      </c>
      <c r="CE28" s="49"/>
      <c r="CF28" s="84"/>
      <c r="CG28" s="81">
        <f t="shared" si="19"/>
        <v>0</v>
      </c>
      <c r="CH28" s="79">
        <f t="shared" si="20"/>
        <v>0</v>
      </c>
      <c r="CI28" s="33"/>
      <c r="CJ28" s="84"/>
      <c r="CK28" s="81">
        <f t="shared" si="21"/>
        <v>0</v>
      </c>
      <c r="CL28" s="79">
        <f t="shared" si="22"/>
        <v>0</v>
      </c>
      <c r="CM28" s="34"/>
      <c r="CN28" s="34"/>
      <c r="CO28" s="34"/>
      <c r="CP28" s="34"/>
      <c r="CQ28" s="50">
        <f t="shared" si="23"/>
        <v>1</v>
      </c>
      <c r="CR28" s="77">
        <f t="shared" si="24"/>
        <v>0</v>
      </c>
      <c r="CS28" s="28"/>
    </row>
    <row r="29" spans="1:97" s="1" customFormat="1">
      <c r="A29" s="30" t="s">
        <v>135</v>
      </c>
      <c r="B29" s="47"/>
      <c r="C29" s="31" t="s">
        <v>121</v>
      </c>
      <c r="D29" s="32"/>
      <c r="E29" s="32"/>
      <c r="F29" s="87"/>
      <c r="G29" s="48"/>
      <c r="H29" s="84"/>
      <c r="I29" s="80">
        <f t="shared" si="25"/>
        <v>0</v>
      </c>
      <c r="J29" s="79">
        <f t="shared" si="26"/>
        <v>0</v>
      </c>
      <c r="K29" s="49"/>
      <c r="L29" s="84"/>
      <c r="M29" s="81">
        <f t="shared" si="30"/>
        <v>0</v>
      </c>
      <c r="N29" s="79">
        <f t="shared" si="1"/>
        <v>0</v>
      </c>
      <c r="O29" s="48">
        <v>1920</v>
      </c>
      <c r="P29" s="84"/>
      <c r="Q29" s="81">
        <f t="shared" si="2"/>
        <v>0</v>
      </c>
      <c r="R29" s="79">
        <f t="shared" si="3"/>
        <v>0</v>
      </c>
      <c r="S29" s="49"/>
      <c r="T29" s="84"/>
      <c r="U29" s="81">
        <f t="shared" si="4"/>
        <v>0</v>
      </c>
      <c r="V29" s="79">
        <f t="shared" si="5"/>
        <v>0</v>
      </c>
      <c r="W29" s="49"/>
      <c r="X29" s="84"/>
      <c r="Y29" s="81">
        <f t="shared" si="27"/>
        <v>0</v>
      </c>
      <c r="Z29" s="79">
        <f t="shared" si="6"/>
        <v>0</v>
      </c>
      <c r="AA29" s="49"/>
      <c r="AB29" s="84"/>
      <c r="AC29" s="81">
        <f t="shared" si="28"/>
        <v>0</v>
      </c>
      <c r="AD29" s="79">
        <f t="shared" si="7"/>
        <v>0</v>
      </c>
      <c r="AE29" s="49"/>
      <c r="AF29" s="84"/>
      <c r="AG29" s="81">
        <f t="shared" si="29"/>
        <v>0</v>
      </c>
      <c r="AH29" s="79">
        <f t="shared" si="8"/>
        <v>0</v>
      </c>
      <c r="AI29" s="48"/>
      <c r="AJ29" s="84"/>
      <c r="AK29" s="81">
        <f t="shared" si="9"/>
        <v>0</v>
      </c>
      <c r="AL29" s="79">
        <f t="shared" si="10"/>
        <v>0</v>
      </c>
      <c r="AM29" s="48"/>
      <c r="AN29" s="84"/>
      <c r="AO29" s="81">
        <f t="shared" si="11"/>
        <v>0</v>
      </c>
      <c r="AP29" s="79">
        <f t="shared" si="12"/>
        <v>0</v>
      </c>
      <c r="AQ29" s="48"/>
      <c r="AR29" s="84"/>
      <c r="AS29" s="81">
        <f t="shared" si="13"/>
        <v>0</v>
      </c>
      <c r="AT29" s="79">
        <f t="shared" si="14"/>
        <v>0</v>
      </c>
      <c r="AU29" s="49"/>
      <c r="AV29" s="84"/>
      <c r="AW29" s="81">
        <v>0</v>
      </c>
      <c r="AX29" s="79">
        <v>0</v>
      </c>
      <c r="AY29" s="49"/>
      <c r="AZ29" s="84"/>
      <c r="BA29" s="81">
        <v>0</v>
      </c>
      <c r="BB29" s="79">
        <v>0</v>
      </c>
      <c r="BC29" s="49"/>
      <c r="BD29" s="84"/>
      <c r="BE29" s="81">
        <v>0</v>
      </c>
      <c r="BF29" s="79">
        <v>0</v>
      </c>
      <c r="BG29" s="49"/>
      <c r="BH29" s="84"/>
      <c r="BI29" s="81">
        <v>0</v>
      </c>
      <c r="BJ29" s="79">
        <v>0</v>
      </c>
      <c r="BK29" s="49"/>
      <c r="BL29" s="84"/>
      <c r="BM29" s="81">
        <v>0</v>
      </c>
      <c r="BN29" s="79">
        <v>0</v>
      </c>
      <c r="BO29" s="49"/>
      <c r="BP29" s="84"/>
      <c r="BQ29" s="81">
        <v>0</v>
      </c>
      <c r="BR29" s="79">
        <v>0</v>
      </c>
      <c r="BS29" s="49"/>
      <c r="BT29" s="84"/>
      <c r="BU29" s="81">
        <f t="shared" si="15"/>
        <v>0</v>
      </c>
      <c r="BV29" s="79">
        <f t="shared" si="16"/>
        <v>0</v>
      </c>
      <c r="BW29" s="48"/>
      <c r="BX29" s="84"/>
      <c r="BY29" s="81">
        <f t="shared" si="17"/>
        <v>0</v>
      </c>
      <c r="BZ29" s="79">
        <f t="shared" si="18"/>
        <v>0</v>
      </c>
      <c r="CA29" s="48"/>
      <c r="CB29" s="84"/>
      <c r="CC29" s="81">
        <v>0</v>
      </c>
      <c r="CD29" s="79">
        <v>0</v>
      </c>
      <c r="CE29" s="49"/>
      <c r="CF29" s="84"/>
      <c r="CG29" s="81">
        <f t="shared" si="19"/>
        <v>0</v>
      </c>
      <c r="CH29" s="79">
        <f t="shared" si="20"/>
        <v>0</v>
      </c>
      <c r="CI29" s="33"/>
      <c r="CJ29" s="84"/>
      <c r="CK29" s="81">
        <f t="shared" si="21"/>
        <v>0</v>
      </c>
      <c r="CL29" s="79">
        <f t="shared" si="22"/>
        <v>0</v>
      </c>
      <c r="CM29" s="34"/>
      <c r="CN29" s="34"/>
      <c r="CO29" s="34"/>
      <c r="CP29" s="34"/>
      <c r="CQ29" s="50">
        <f t="shared" si="23"/>
        <v>1</v>
      </c>
      <c r="CR29" s="77">
        <f t="shared" si="24"/>
        <v>0</v>
      </c>
      <c r="CS29" s="28"/>
    </row>
    <row r="30" spans="1:97" s="1" customFormat="1">
      <c r="A30" s="30" t="s">
        <v>136</v>
      </c>
      <c r="B30" s="47"/>
      <c r="C30" s="31" t="s">
        <v>123</v>
      </c>
      <c r="D30" s="32"/>
      <c r="E30" s="32"/>
      <c r="F30" s="87"/>
      <c r="G30" s="48"/>
      <c r="H30" s="84"/>
      <c r="I30" s="80">
        <f t="shared" si="25"/>
        <v>0</v>
      </c>
      <c r="J30" s="79">
        <f t="shared" si="26"/>
        <v>0</v>
      </c>
      <c r="K30" s="49"/>
      <c r="L30" s="84"/>
      <c r="M30" s="81">
        <f t="shared" si="30"/>
        <v>0</v>
      </c>
      <c r="N30" s="79">
        <f t="shared" si="1"/>
        <v>0</v>
      </c>
      <c r="O30" s="48">
        <v>1920</v>
      </c>
      <c r="P30" s="84"/>
      <c r="Q30" s="81">
        <f t="shared" si="2"/>
        <v>0</v>
      </c>
      <c r="R30" s="79">
        <f t="shared" si="3"/>
        <v>0</v>
      </c>
      <c r="S30" s="49"/>
      <c r="T30" s="84"/>
      <c r="U30" s="81">
        <f t="shared" si="4"/>
        <v>0</v>
      </c>
      <c r="V30" s="79">
        <f t="shared" si="5"/>
        <v>0</v>
      </c>
      <c r="W30" s="49"/>
      <c r="X30" s="84"/>
      <c r="Y30" s="81">
        <f t="shared" si="27"/>
        <v>0</v>
      </c>
      <c r="Z30" s="79">
        <f t="shared" si="6"/>
        <v>0</v>
      </c>
      <c r="AA30" s="49"/>
      <c r="AB30" s="84"/>
      <c r="AC30" s="81">
        <f t="shared" si="28"/>
        <v>0</v>
      </c>
      <c r="AD30" s="79">
        <f t="shared" si="7"/>
        <v>0</v>
      </c>
      <c r="AE30" s="49"/>
      <c r="AF30" s="84"/>
      <c r="AG30" s="81">
        <f t="shared" si="29"/>
        <v>0</v>
      </c>
      <c r="AH30" s="79">
        <f t="shared" si="8"/>
        <v>0</v>
      </c>
      <c r="AI30" s="48"/>
      <c r="AJ30" s="84"/>
      <c r="AK30" s="81">
        <f t="shared" si="9"/>
        <v>0</v>
      </c>
      <c r="AL30" s="79">
        <f t="shared" si="10"/>
        <v>0</v>
      </c>
      <c r="AM30" s="48"/>
      <c r="AN30" s="84"/>
      <c r="AO30" s="81">
        <f t="shared" si="11"/>
        <v>0</v>
      </c>
      <c r="AP30" s="79">
        <f t="shared" si="12"/>
        <v>0</v>
      </c>
      <c r="AQ30" s="48"/>
      <c r="AR30" s="84"/>
      <c r="AS30" s="81">
        <f t="shared" si="13"/>
        <v>0</v>
      </c>
      <c r="AT30" s="79">
        <f t="shared" si="14"/>
        <v>0</v>
      </c>
      <c r="AU30" s="49"/>
      <c r="AV30" s="84"/>
      <c r="AW30" s="81">
        <v>0</v>
      </c>
      <c r="AX30" s="79">
        <v>0</v>
      </c>
      <c r="AY30" s="49"/>
      <c r="AZ30" s="84"/>
      <c r="BA30" s="81">
        <v>0</v>
      </c>
      <c r="BB30" s="79">
        <v>0</v>
      </c>
      <c r="BC30" s="49"/>
      <c r="BD30" s="84"/>
      <c r="BE30" s="81">
        <v>0</v>
      </c>
      <c r="BF30" s="79">
        <v>0</v>
      </c>
      <c r="BG30" s="49"/>
      <c r="BH30" s="84"/>
      <c r="BI30" s="81">
        <v>0</v>
      </c>
      <c r="BJ30" s="79">
        <v>0</v>
      </c>
      <c r="BK30" s="49"/>
      <c r="BL30" s="84"/>
      <c r="BM30" s="81">
        <v>0</v>
      </c>
      <c r="BN30" s="79">
        <v>0</v>
      </c>
      <c r="BO30" s="49"/>
      <c r="BP30" s="84"/>
      <c r="BQ30" s="81">
        <v>0</v>
      </c>
      <c r="BR30" s="79">
        <v>0</v>
      </c>
      <c r="BS30" s="49"/>
      <c r="BT30" s="84"/>
      <c r="BU30" s="81">
        <f t="shared" si="15"/>
        <v>0</v>
      </c>
      <c r="BV30" s="79">
        <f t="shared" si="16"/>
        <v>0</v>
      </c>
      <c r="BW30" s="48"/>
      <c r="BX30" s="84"/>
      <c r="BY30" s="81">
        <f t="shared" si="17"/>
        <v>0</v>
      </c>
      <c r="BZ30" s="79">
        <f t="shared" si="18"/>
        <v>0</v>
      </c>
      <c r="CA30" s="48"/>
      <c r="CB30" s="84"/>
      <c r="CC30" s="81">
        <v>0</v>
      </c>
      <c r="CD30" s="79">
        <v>0</v>
      </c>
      <c r="CE30" s="49"/>
      <c r="CF30" s="84"/>
      <c r="CG30" s="81">
        <f t="shared" si="19"/>
        <v>0</v>
      </c>
      <c r="CH30" s="79">
        <f t="shared" si="20"/>
        <v>0</v>
      </c>
      <c r="CI30" s="33"/>
      <c r="CJ30" s="84"/>
      <c r="CK30" s="81">
        <f t="shared" si="21"/>
        <v>0</v>
      </c>
      <c r="CL30" s="79">
        <f t="shared" si="22"/>
        <v>0</v>
      </c>
      <c r="CM30" s="34"/>
      <c r="CN30" s="34"/>
      <c r="CO30" s="34"/>
      <c r="CP30" s="34"/>
      <c r="CQ30" s="50">
        <f t="shared" si="23"/>
        <v>1</v>
      </c>
      <c r="CR30" s="77">
        <f t="shared" si="24"/>
        <v>0</v>
      </c>
      <c r="CS30" s="28"/>
    </row>
    <row r="31" spans="1:97" s="1" customFormat="1">
      <c r="A31" s="30" t="s">
        <v>137</v>
      </c>
      <c r="B31" s="47"/>
      <c r="C31" s="31" t="s">
        <v>123</v>
      </c>
      <c r="D31" s="32"/>
      <c r="E31" s="32"/>
      <c r="F31" s="87"/>
      <c r="G31" s="48">
        <v>960</v>
      </c>
      <c r="H31" s="84"/>
      <c r="I31" s="80">
        <f t="shared" si="25"/>
        <v>0</v>
      </c>
      <c r="J31" s="79">
        <f t="shared" si="26"/>
        <v>0</v>
      </c>
      <c r="K31" s="49"/>
      <c r="L31" s="84"/>
      <c r="M31" s="81">
        <f t="shared" si="30"/>
        <v>0</v>
      </c>
      <c r="N31" s="79">
        <f t="shared" si="1"/>
        <v>0</v>
      </c>
      <c r="O31" s="48">
        <v>1920</v>
      </c>
      <c r="P31" s="84"/>
      <c r="Q31" s="81">
        <f t="shared" si="2"/>
        <v>0</v>
      </c>
      <c r="R31" s="79">
        <f t="shared" si="3"/>
        <v>0</v>
      </c>
      <c r="S31" s="49"/>
      <c r="T31" s="84"/>
      <c r="U31" s="81">
        <f t="shared" si="4"/>
        <v>0</v>
      </c>
      <c r="V31" s="79">
        <f t="shared" si="5"/>
        <v>0</v>
      </c>
      <c r="W31" s="49"/>
      <c r="X31" s="84"/>
      <c r="Y31" s="81">
        <f t="shared" si="27"/>
        <v>0</v>
      </c>
      <c r="Z31" s="79">
        <f t="shared" si="6"/>
        <v>0</v>
      </c>
      <c r="AA31" s="49"/>
      <c r="AB31" s="84"/>
      <c r="AC31" s="81">
        <f t="shared" si="28"/>
        <v>0</v>
      </c>
      <c r="AD31" s="79">
        <f t="shared" si="7"/>
        <v>0</v>
      </c>
      <c r="AE31" s="49"/>
      <c r="AF31" s="84"/>
      <c r="AG31" s="81">
        <f t="shared" si="29"/>
        <v>0</v>
      </c>
      <c r="AH31" s="79">
        <f t="shared" si="8"/>
        <v>0</v>
      </c>
      <c r="AI31" s="48"/>
      <c r="AJ31" s="84"/>
      <c r="AK31" s="81">
        <f t="shared" si="9"/>
        <v>0</v>
      </c>
      <c r="AL31" s="79">
        <f t="shared" si="10"/>
        <v>0</v>
      </c>
      <c r="AM31" s="48"/>
      <c r="AN31" s="84"/>
      <c r="AO31" s="81">
        <f t="shared" si="11"/>
        <v>0</v>
      </c>
      <c r="AP31" s="79">
        <f t="shared" si="12"/>
        <v>0</v>
      </c>
      <c r="AQ31" s="48"/>
      <c r="AR31" s="84"/>
      <c r="AS31" s="81">
        <f t="shared" si="13"/>
        <v>0</v>
      </c>
      <c r="AT31" s="79">
        <f t="shared" si="14"/>
        <v>0</v>
      </c>
      <c r="AU31" s="49"/>
      <c r="AV31" s="84"/>
      <c r="AW31" s="81">
        <v>0</v>
      </c>
      <c r="AX31" s="79">
        <v>0</v>
      </c>
      <c r="AY31" s="49"/>
      <c r="AZ31" s="84"/>
      <c r="BA31" s="81">
        <v>0</v>
      </c>
      <c r="BB31" s="79">
        <v>0</v>
      </c>
      <c r="BC31" s="49"/>
      <c r="BD31" s="84"/>
      <c r="BE31" s="81">
        <v>0</v>
      </c>
      <c r="BF31" s="79">
        <v>0</v>
      </c>
      <c r="BG31" s="49"/>
      <c r="BH31" s="84"/>
      <c r="BI31" s="81">
        <v>0</v>
      </c>
      <c r="BJ31" s="79">
        <v>0</v>
      </c>
      <c r="BK31" s="49"/>
      <c r="BL31" s="84"/>
      <c r="BM31" s="81">
        <v>0</v>
      </c>
      <c r="BN31" s="79">
        <v>0</v>
      </c>
      <c r="BO31" s="49"/>
      <c r="BP31" s="84"/>
      <c r="BQ31" s="81">
        <v>0</v>
      </c>
      <c r="BR31" s="79">
        <v>0</v>
      </c>
      <c r="BS31" s="49"/>
      <c r="BT31" s="84"/>
      <c r="BU31" s="81">
        <f t="shared" si="15"/>
        <v>0</v>
      </c>
      <c r="BV31" s="79">
        <f t="shared" si="16"/>
        <v>0</v>
      </c>
      <c r="BW31" s="48"/>
      <c r="BX31" s="84"/>
      <c r="BY31" s="81">
        <f t="shared" si="17"/>
        <v>0</v>
      </c>
      <c r="BZ31" s="79">
        <f t="shared" si="18"/>
        <v>0</v>
      </c>
      <c r="CA31" s="48"/>
      <c r="CB31" s="84"/>
      <c r="CC31" s="81">
        <v>0</v>
      </c>
      <c r="CD31" s="79">
        <v>0</v>
      </c>
      <c r="CE31" s="49"/>
      <c r="CF31" s="84"/>
      <c r="CG31" s="81">
        <f t="shared" si="19"/>
        <v>0</v>
      </c>
      <c r="CH31" s="79">
        <f t="shared" si="20"/>
        <v>0</v>
      </c>
      <c r="CI31" s="33"/>
      <c r="CJ31" s="84"/>
      <c r="CK31" s="81">
        <f t="shared" si="21"/>
        <v>0</v>
      </c>
      <c r="CL31" s="79">
        <f t="shared" si="22"/>
        <v>0</v>
      </c>
      <c r="CM31" s="34"/>
      <c r="CN31" s="34"/>
      <c r="CO31" s="34"/>
      <c r="CP31" s="34"/>
      <c r="CQ31" s="50">
        <f t="shared" si="23"/>
        <v>1</v>
      </c>
      <c r="CR31" s="77">
        <f t="shared" si="24"/>
        <v>0</v>
      </c>
      <c r="CS31" s="28"/>
    </row>
    <row r="32" spans="1:97" s="1" customFormat="1">
      <c r="A32" s="30" t="s">
        <v>138</v>
      </c>
      <c r="B32" s="47"/>
      <c r="C32" s="31" t="s">
        <v>121</v>
      </c>
      <c r="D32" s="32"/>
      <c r="E32" s="32"/>
      <c r="F32" s="87"/>
      <c r="G32" s="48"/>
      <c r="H32" s="84"/>
      <c r="I32" s="80">
        <f t="shared" si="25"/>
        <v>0</v>
      </c>
      <c r="J32" s="79">
        <f t="shared" si="26"/>
        <v>0</v>
      </c>
      <c r="K32" s="49"/>
      <c r="L32" s="84"/>
      <c r="M32" s="81">
        <f t="shared" si="30"/>
        <v>0</v>
      </c>
      <c r="N32" s="79">
        <f t="shared" si="1"/>
        <v>0</v>
      </c>
      <c r="O32" s="48">
        <v>1920</v>
      </c>
      <c r="P32" s="84"/>
      <c r="Q32" s="81">
        <f t="shared" si="2"/>
        <v>0</v>
      </c>
      <c r="R32" s="79">
        <f t="shared" si="3"/>
        <v>0</v>
      </c>
      <c r="S32" s="49"/>
      <c r="T32" s="84"/>
      <c r="U32" s="81">
        <f t="shared" si="4"/>
        <v>0</v>
      </c>
      <c r="V32" s="79">
        <f t="shared" si="5"/>
        <v>0</v>
      </c>
      <c r="W32" s="49"/>
      <c r="X32" s="84"/>
      <c r="Y32" s="81">
        <f t="shared" si="27"/>
        <v>0</v>
      </c>
      <c r="Z32" s="79">
        <f t="shared" si="6"/>
        <v>0</v>
      </c>
      <c r="AA32" s="49"/>
      <c r="AB32" s="84"/>
      <c r="AC32" s="81">
        <f t="shared" si="28"/>
        <v>0</v>
      </c>
      <c r="AD32" s="79">
        <f t="shared" si="7"/>
        <v>0</v>
      </c>
      <c r="AE32" s="49"/>
      <c r="AF32" s="84"/>
      <c r="AG32" s="81">
        <f t="shared" si="29"/>
        <v>0</v>
      </c>
      <c r="AH32" s="79">
        <f t="shared" si="8"/>
        <v>0</v>
      </c>
      <c r="AI32" s="48"/>
      <c r="AJ32" s="84"/>
      <c r="AK32" s="81">
        <f t="shared" si="9"/>
        <v>0</v>
      </c>
      <c r="AL32" s="79">
        <f t="shared" si="10"/>
        <v>0</v>
      </c>
      <c r="AM32" s="48"/>
      <c r="AN32" s="84"/>
      <c r="AO32" s="81">
        <f t="shared" si="11"/>
        <v>0</v>
      </c>
      <c r="AP32" s="79">
        <f t="shared" si="12"/>
        <v>0</v>
      </c>
      <c r="AQ32" s="48"/>
      <c r="AR32" s="84"/>
      <c r="AS32" s="81">
        <f t="shared" si="13"/>
        <v>0</v>
      </c>
      <c r="AT32" s="79">
        <f t="shared" si="14"/>
        <v>0</v>
      </c>
      <c r="AU32" s="49"/>
      <c r="AV32" s="84"/>
      <c r="AW32" s="81">
        <v>0</v>
      </c>
      <c r="AX32" s="79">
        <v>0</v>
      </c>
      <c r="AY32" s="49"/>
      <c r="AZ32" s="84"/>
      <c r="BA32" s="81">
        <v>0</v>
      </c>
      <c r="BB32" s="79">
        <v>0</v>
      </c>
      <c r="BC32" s="49"/>
      <c r="BD32" s="84"/>
      <c r="BE32" s="81">
        <v>0</v>
      </c>
      <c r="BF32" s="79">
        <v>0</v>
      </c>
      <c r="BG32" s="49"/>
      <c r="BH32" s="84"/>
      <c r="BI32" s="81">
        <v>0</v>
      </c>
      <c r="BJ32" s="79">
        <v>0</v>
      </c>
      <c r="BK32" s="49"/>
      <c r="BL32" s="84"/>
      <c r="BM32" s="81">
        <v>0</v>
      </c>
      <c r="BN32" s="79">
        <v>0</v>
      </c>
      <c r="BO32" s="49"/>
      <c r="BP32" s="84"/>
      <c r="BQ32" s="81">
        <v>0</v>
      </c>
      <c r="BR32" s="79">
        <v>0</v>
      </c>
      <c r="BS32" s="49"/>
      <c r="BT32" s="84"/>
      <c r="BU32" s="81">
        <f t="shared" si="15"/>
        <v>0</v>
      </c>
      <c r="BV32" s="79">
        <f t="shared" si="16"/>
        <v>0</v>
      </c>
      <c r="BW32" s="48"/>
      <c r="BX32" s="84"/>
      <c r="BY32" s="81">
        <f t="shared" si="17"/>
        <v>0</v>
      </c>
      <c r="BZ32" s="79">
        <f t="shared" si="18"/>
        <v>0</v>
      </c>
      <c r="CA32" s="48"/>
      <c r="CB32" s="84"/>
      <c r="CC32" s="81">
        <v>0</v>
      </c>
      <c r="CD32" s="79">
        <v>0</v>
      </c>
      <c r="CE32" s="49"/>
      <c r="CF32" s="84"/>
      <c r="CG32" s="81">
        <f t="shared" si="19"/>
        <v>0</v>
      </c>
      <c r="CH32" s="79">
        <f t="shared" si="20"/>
        <v>0</v>
      </c>
      <c r="CI32" s="33"/>
      <c r="CJ32" s="84"/>
      <c r="CK32" s="81">
        <f t="shared" si="21"/>
        <v>0</v>
      </c>
      <c r="CL32" s="79">
        <f t="shared" si="22"/>
        <v>0</v>
      </c>
      <c r="CM32" s="34"/>
      <c r="CN32" s="34"/>
      <c r="CO32" s="34"/>
      <c r="CP32" s="34"/>
      <c r="CQ32" s="50">
        <f t="shared" si="23"/>
        <v>1</v>
      </c>
      <c r="CR32" s="77">
        <f t="shared" si="24"/>
        <v>0</v>
      </c>
      <c r="CS32" s="28"/>
    </row>
    <row r="33" spans="1:97" s="1" customFormat="1">
      <c r="A33" s="30" t="s">
        <v>138</v>
      </c>
      <c r="B33" s="47"/>
      <c r="C33" s="31" t="s">
        <v>123</v>
      </c>
      <c r="D33" s="32"/>
      <c r="E33" s="32"/>
      <c r="F33" s="87"/>
      <c r="G33" s="48"/>
      <c r="H33" s="84"/>
      <c r="I33" s="80">
        <f t="shared" si="25"/>
        <v>0</v>
      </c>
      <c r="J33" s="79">
        <f t="shared" si="26"/>
        <v>0</v>
      </c>
      <c r="K33" s="49"/>
      <c r="L33" s="84"/>
      <c r="M33" s="81">
        <f t="shared" si="30"/>
        <v>0</v>
      </c>
      <c r="N33" s="79">
        <f t="shared" si="1"/>
        <v>0</v>
      </c>
      <c r="O33" s="48"/>
      <c r="P33" s="84"/>
      <c r="Q33" s="81">
        <f t="shared" si="2"/>
        <v>0</v>
      </c>
      <c r="R33" s="79">
        <f t="shared" si="3"/>
        <v>0</v>
      </c>
      <c r="S33" s="49"/>
      <c r="T33" s="84"/>
      <c r="U33" s="81">
        <f t="shared" si="4"/>
        <v>0</v>
      </c>
      <c r="V33" s="79">
        <f t="shared" si="5"/>
        <v>0</v>
      </c>
      <c r="W33" s="49"/>
      <c r="X33" s="84"/>
      <c r="Y33" s="81">
        <f t="shared" si="27"/>
        <v>0</v>
      </c>
      <c r="Z33" s="79">
        <f t="shared" si="6"/>
        <v>0</v>
      </c>
      <c r="AA33" s="49"/>
      <c r="AB33" s="84"/>
      <c r="AC33" s="81">
        <f t="shared" si="28"/>
        <v>0</v>
      </c>
      <c r="AD33" s="79">
        <f t="shared" si="7"/>
        <v>0</v>
      </c>
      <c r="AE33" s="49"/>
      <c r="AF33" s="84"/>
      <c r="AG33" s="81">
        <f t="shared" si="29"/>
        <v>0</v>
      </c>
      <c r="AH33" s="79">
        <f t="shared" si="8"/>
        <v>0</v>
      </c>
      <c r="AI33" s="48">
        <v>1920</v>
      </c>
      <c r="AJ33" s="84"/>
      <c r="AK33" s="81">
        <f t="shared" si="9"/>
        <v>0</v>
      </c>
      <c r="AL33" s="79">
        <f t="shared" si="10"/>
        <v>0</v>
      </c>
      <c r="AM33" s="48"/>
      <c r="AN33" s="84"/>
      <c r="AO33" s="81">
        <f t="shared" si="11"/>
        <v>0</v>
      </c>
      <c r="AP33" s="79">
        <f t="shared" si="12"/>
        <v>0</v>
      </c>
      <c r="AQ33" s="48"/>
      <c r="AR33" s="84"/>
      <c r="AS33" s="81">
        <f t="shared" si="13"/>
        <v>0</v>
      </c>
      <c r="AT33" s="79">
        <f t="shared" si="14"/>
        <v>0</v>
      </c>
      <c r="AU33" s="49"/>
      <c r="AV33" s="84"/>
      <c r="AW33" s="81">
        <v>0</v>
      </c>
      <c r="AX33" s="79">
        <v>0</v>
      </c>
      <c r="AY33" s="49"/>
      <c r="AZ33" s="84"/>
      <c r="BA33" s="81">
        <v>0</v>
      </c>
      <c r="BB33" s="79">
        <v>0</v>
      </c>
      <c r="BC33" s="49"/>
      <c r="BD33" s="84"/>
      <c r="BE33" s="81">
        <v>0</v>
      </c>
      <c r="BF33" s="79">
        <v>0</v>
      </c>
      <c r="BG33" s="49"/>
      <c r="BH33" s="84"/>
      <c r="BI33" s="81">
        <v>0</v>
      </c>
      <c r="BJ33" s="79">
        <v>0</v>
      </c>
      <c r="BK33" s="49"/>
      <c r="BL33" s="84"/>
      <c r="BM33" s="81">
        <v>0</v>
      </c>
      <c r="BN33" s="79">
        <v>0</v>
      </c>
      <c r="BO33" s="49"/>
      <c r="BP33" s="84"/>
      <c r="BQ33" s="81">
        <v>0</v>
      </c>
      <c r="BR33" s="79">
        <v>0</v>
      </c>
      <c r="BS33" s="49"/>
      <c r="BT33" s="84"/>
      <c r="BU33" s="81">
        <f t="shared" si="15"/>
        <v>0</v>
      </c>
      <c r="BV33" s="79">
        <f t="shared" si="16"/>
        <v>0</v>
      </c>
      <c r="BW33" s="48"/>
      <c r="BX33" s="84"/>
      <c r="BY33" s="81">
        <f t="shared" si="17"/>
        <v>0</v>
      </c>
      <c r="BZ33" s="79">
        <f t="shared" si="18"/>
        <v>0</v>
      </c>
      <c r="CA33" s="48"/>
      <c r="CB33" s="84"/>
      <c r="CC33" s="81">
        <v>0</v>
      </c>
      <c r="CD33" s="79">
        <v>0</v>
      </c>
      <c r="CE33" s="49"/>
      <c r="CF33" s="84"/>
      <c r="CG33" s="81">
        <f t="shared" si="19"/>
        <v>0</v>
      </c>
      <c r="CH33" s="79">
        <f t="shared" si="20"/>
        <v>0</v>
      </c>
      <c r="CI33" s="33"/>
      <c r="CJ33" s="84"/>
      <c r="CK33" s="81">
        <f t="shared" si="21"/>
        <v>0</v>
      </c>
      <c r="CL33" s="79">
        <f t="shared" si="22"/>
        <v>0</v>
      </c>
      <c r="CM33" s="34"/>
      <c r="CN33" s="34"/>
      <c r="CO33" s="34"/>
      <c r="CP33" s="34"/>
      <c r="CQ33" s="50">
        <f t="shared" si="23"/>
        <v>1</v>
      </c>
      <c r="CR33" s="77">
        <f t="shared" si="24"/>
        <v>0</v>
      </c>
      <c r="CS33" s="28"/>
    </row>
    <row r="34" spans="1:97" s="1" customFormat="1">
      <c r="A34" s="30" t="s">
        <v>139</v>
      </c>
      <c r="B34" s="47"/>
      <c r="C34" s="31" t="s">
        <v>140</v>
      </c>
      <c r="D34" s="32"/>
      <c r="E34" s="32"/>
      <c r="F34" s="87"/>
      <c r="G34" s="48">
        <v>1920</v>
      </c>
      <c r="H34" s="84"/>
      <c r="I34" s="80">
        <f t="shared" si="25"/>
        <v>0</v>
      </c>
      <c r="J34" s="79">
        <f t="shared" si="26"/>
        <v>0</v>
      </c>
      <c r="K34" s="49"/>
      <c r="L34" s="84"/>
      <c r="M34" s="81">
        <f t="shared" si="30"/>
        <v>0</v>
      </c>
      <c r="N34" s="79">
        <f t="shared" si="1"/>
        <v>0</v>
      </c>
      <c r="O34" s="48"/>
      <c r="P34" s="84"/>
      <c r="Q34" s="81">
        <f t="shared" si="2"/>
        <v>0</v>
      </c>
      <c r="R34" s="79">
        <f t="shared" si="3"/>
        <v>0</v>
      </c>
      <c r="S34" s="49"/>
      <c r="T34" s="84"/>
      <c r="U34" s="81">
        <f t="shared" si="4"/>
        <v>0</v>
      </c>
      <c r="V34" s="79">
        <f t="shared" si="5"/>
        <v>0</v>
      </c>
      <c r="W34" s="49"/>
      <c r="X34" s="84"/>
      <c r="Y34" s="81">
        <f t="shared" si="27"/>
        <v>0</v>
      </c>
      <c r="Z34" s="79">
        <f t="shared" si="6"/>
        <v>0</v>
      </c>
      <c r="AA34" s="49"/>
      <c r="AB34" s="84"/>
      <c r="AC34" s="81">
        <f t="shared" si="28"/>
        <v>0</v>
      </c>
      <c r="AD34" s="79">
        <f t="shared" si="7"/>
        <v>0</v>
      </c>
      <c r="AE34" s="49"/>
      <c r="AF34" s="84"/>
      <c r="AG34" s="81">
        <f t="shared" si="29"/>
        <v>0</v>
      </c>
      <c r="AH34" s="79">
        <f t="shared" si="8"/>
        <v>0</v>
      </c>
      <c r="AI34" s="48"/>
      <c r="AJ34" s="84"/>
      <c r="AK34" s="81">
        <f t="shared" si="9"/>
        <v>0</v>
      </c>
      <c r="AL34" s="79">
        <f t="shared" si="10"/>
        <v>0</v>
      </c>
      <c r="AM34" s="48"/>
      <c r="AN34" s="84"/>
      <c r="AO34" s="81">
        <f t="shared" si="11"/>
        <v>0</v>
      </c>
      <c r="AP34" s="79">
        <f t="shared" si="12"/>
        <v>0</v>
      </c>
      <c r="AQ34" s="48"/>
      <c r="AR34" s="84"/>
      <c r="AS34" s="81">
        <f t="shared" si="13"/>
        <v>0</v>
      </c>
      <c r="AT34" s="79">
        <f t="shared" si="14"/>
        <v>0</v>
      </c>
      <c r="AU34" s="49"/>
      <c r="AV34" s="84"/>
      <c r="AW34" s="81">
        <v>0</v>
      </c>
      <c r="AX34" s="79">
        <v>0</v>
      </c>
      <c r="AY34" s="49"/>
      <c r="AZ34" s="84"/>
      <c r="BA34" s="81">
        <v>0</v>
      </c>
      <c r="BB34" s="79">
        <v>0</v>
      </c>
      <c r="BC34" s="49"/>
      <c r="BD34" s="84"/>
      <c r="BE34" s="81">
        <v>0</v>
      </c>
      <c r="BF34" s="79">
        <v>0</v>
      </c>
      <c r="BG34" s="49"/>
      <c r="BH34" s="84"/>
      <c r="BI34" s="81">
        <v>0</v>
      </c>
      <c r="BJ34" s="79">
        <v>0</v>
      </c>
      <c r="BK34" s="49"/>
      <c r="BL34" s="84"/>
      <c r="BM34" s="81">
        <v>0</v>
      </c>
      <c r="BN34" s="79">
        <v>0</v>
      </c>
      <c r="BO34" s="49"/>
      <c r="BP34" s="84"/>
      <c r="BQ34" s="81">
        <v>0</v>
      </c>
      <c r="BR34" s="79">
        <v>0</v>
      </c>
      <c r="BS34" s="49"/>
      <c r="BT34" s="84"/>
      <c r="BU34" s="81">
        <f t="shared" si="15"/>
        <v>0</v>
      </c>
      <c r="BV34" s="79">
        <f t="shared" si="16"/>
        <v>0</v>
      </c>
      <c r="BW34" s="48"/>
      <c r="BX34" s="84"/>
      <c r="BY34" s="81">
        <f t="shared" si="17"/>
        <v>0</v>
      </c>
      <c r="BZ34" s="79">
        <f t="shared" si="18"/>
        <v>0</v>
      </c>
      <c r="CA34" s="48"/>
      <c r="CB34" s="84"/>
      <c r="CC34" s="81">
        <v>0</v>
      </c>
      <c r="CD34" s="79">
        <v>0</v>
      </c>
      <c r="CE34" s="49"/>
      <c r="CF34" s="84"/>
      <c r="CG34" s="81">
        <f t="shared" si="19"/>
        <v>0</v>
      </c>
      <c r="CH34" s="79">
        <f t="shared" si="20"/>
        <v>0</v>
      </c>
      <c r="CI34" s="33"/>
      <c r="CJ34" s="84"/>
      <c r="CK34" s="81">
        <f t="shared" si="21"/>
        <v>0</v>
      </c>
      <c r="CL34" s="79">
        <f t="shared" si="22"/>
        <v>0</v>
      </c>
      <c r="CM34" s="34"/>
      <c r="CN34" s="34"/>
      <c r="CO34" s="34"/>
      <c r="CP34" s="34"/>
      <c r="CQ34" s="50">
        <f t="shared" si="23"/>
        <v>1</v>
      </c>
      <c r="CR34" s="77">
        <f t="shared" si="24"/>
        <v>0</v>
      </c>
      <c r="CS34" s="28"/>
    </row>
    <row r="35" spans="1:97" s="1" customFormat="1">
      <c r="A35" s="30" t="s">
        <v>141</v>
      </c>
      <c r="B35" s="47"/>
      <c r="C35" s="63" t="s">
        <v>120</v>
      </c>
      <c r="D35" s="32"/>
      <c r="E35" s="32"/>
      <c r="F35" s="87"/>
      <c r="G35" s="48"/>
      <c r="H35" s="84"/>
      <c r="I35" s="80">
        <f t="shared" si="25"/>
        <v>0</v>
      </c>
      <c r="J35" s="79">
        <f t="shared" si="26"/>
        <v>0</v>
      </c>
      <c r="K35" s="49">
        <v>11520</v>
      </c>
      <c r="L35" s="84"/>
      <c r="M35" s="81">
        <f t="shared" si="30"/>
        <v>0</v>
      </c>
      <c r="N35" s="79">
        <f t="shared" si="1"/>
        <v>0</v>
      </c>
      <c r="O35" s="48"/>
      <c r="P35" s="84"/>
      <c r="Q35" s="81">
        <f t="shared" si="2"/>
        <v>0</v>
      </c>
      <c r="R35" s="79">
        <f t="shared" si="3"/>
        <v>0</v>
      </c>
      <c r="S35" s="49"/>
      <c r="T35" s="84"/>
      <c r="U35" s="81">
        <f t="shared" si="4"/>
        <v>0</v>
      </c>
      <c r="V35" s="79">
        <f t="shared" si="5"/>
        <v>0</v>
      </c>
      <c r="W35" s="49"/>
      <c r="X35" s="84"/>
      <c r="Y35" s="81">
        <f t="shared" si="27"/>
        <v>0</v>
      </c>
      <c r="Z35" s="79">
        <f t="shared" si="6"/>
        <v>0</v>
      </c>
      <c r="AA35" s="49"/>
      <c r="AB35" s="84"/>
      <c r="AC35" s="81">
        <f t="shared" si="28"/>
        <v>0</v>
      </c>
      <c r="AD35" s="79">
        <f t="shared" si="7"/>
        <v>0</v>
      </c>
      <c r="AE35" s="49"/>
      <c r="AF35" s="84"/>
      <c r="AG35" s="81">
        <f t="shared" si="29"/>
        <v>0</v>
      </c>
      <c r="AH35" s="79">
        <f t="shared" si="8"/>
        <v>0</v>
      </c>
      <c r="AI35" s="48"/>
      <c r="AJ35" s="84"/>
      <c r="AK35" s="81">
        <f t="shared" si="9"/>
        <v>0</v>
      </c>
      <c r="AL35" s="79">
        <f t="shared" si="10"/>
        <v>0</v>
      </c>
      <c r="AM35" s="48">
        <v>1920</v>
      </c>
      <c r="AN35" s="84"/>
      <c r="AO35" s="81">
        <f t="shared" si="11"/>
        <v>0</v>
      </c>
      <c r="AP35" s="79">
        <f t="shared" si="12"/>
        <v>0</v>
      </c>
      <c r="AQ35" s="48"/>
      <c r="AR35" s="84"/>
      <c r="AS35" s="81">
        <f t="shared" si="13"/>
        <v>0</v>
      </c>
      <c r="AT35" s="79">
        <f t="shared" si="14"/>
        <v>0</v>
      </c>
      <c r="AU35" s="49"/>
      <c r="AV35" s="84"/>
      <c r="AW35" s="81">
        <v>0</v>
      </c>
      <c r="AX35" s="79">
        <v>0</v>
      </c>
      <c r="AY35" s="49"/>
      <c r="AZ35" s="84"/>
      <c r="BA35" s="81">
        <v>0</v>
      </c>
      <c r="BB35" s="79">
        <v>0</v>
      </c>
      <c r="BC35" s="49"/>
      <c r="BD35" s="84"/>
      <c r="BE35" s="81">
        <v>0</v>
      </c>
      <c r="BF35" s="79">
        <v>0</v>
      </c>
      <c r="BG35" s="49"/>
      <c r="BH35" s="84"/>
      <c r="BI35" s="81">
        <v>0</v>
      </c>
      <c r="BJ35" s="79">
        <v>0</v>
      </c>
      <c r="BK35" s="49"/>
      <c r="BL35" s="84"/>
      <c r="BM35" s="81">
        <v>0</v>
      </c>
      <c r="BN35" s="79">
        <v>0</v>
      </c>
      <c r="BO35" s="49"/>
      <c r="BP35" s="84"/>
      <c r="BQ35" s="81">
        <v>0</v>
      </c>
      <c r="BR35" s="79">
        <v>0</v>
      </c>
      <c r="BS35" s="49"/>
      <c r="BT35" s="84"/>
      <c r="BU35" s="81">
        <f t="shared" si="15"/>
        <v>0</v>
      </c>
      <c r="BV35" s="79">
        <f t="shared" si="16"/>
        <v>0</v>
      </c>
      <c r="BW35" s="48"/>
      <c r="BX35" s="84"/>
      <c r="BY35" s="81">
        <f t="shared" si="17"/>
        <v>0</v>
      </c>
      <c r="BZ35" s="79">
        <f t="shared" si="18"/>
        <v>0</v>
      </c>
      <c r="CA35" s="48"/>
      <c r="CB35" s="84"/>
      <c r="CC35" s="81">
        <v>0</v>
      </c>
      <c r="CD35" s="79">
        <v>0</v>
      </c>
      <c r="CE35" s="49"/>
      <c r="CF35" s="84"/>
      <c r="CG35" s="81">
        <f t="shared" si="19"/>
        <v>0</v>
      </c>
      <c r="CH35" s="79">
        <f t="shared" si="20"/>
        <v>0</v>
      </c>
      <c r="CI35" s="33"/>
      <c r="CJ35" s="84"/>
      <c r="CK35" s="81">
        <f t="shared" si="21"/>
        <v>0</v>
      </c>
      <c r="CL35" s="79">
        <f t="shared" si="22"/>
        <v>0</v>
      </c>
      <c r="CM35" s="34"/>
      <c r="CN35" s="34"/>
      <c r="CO35" s="34"/>
      <c r="CP35" s="34"/>
      <c r="CQ35" s="50">
        <f t="shared" si="23"/>
        <v>1</v>
      </c>
      <c r="CR35" s="77">
        <f t="shared" si="24"/>
        <v>0</v>
      </c>
      <c r="CS35" s="28"/>
    </row>
    <row r="36" spans="1:97" s="1" customFormat="1">
      <c r="A36" s="30" t="s">
        <v>141</v>
      </c>
      <c r="B36" s="47"/>
      <c r="C36" s="31" t="s">
        <v>121</v>
      </c>
      <c r="D36" s="32"/>
      <c r="E36" s="32"/>
      <c r="F36" s="87"/>
      <c r="G36" s="48">
        <v>3840</v>
      </c>
      <c r="H36" s="84"/>
      <c r="I36" s="80">
        <f t="shared" si="25"/>
        <v>0</v>
      </c>
      <c r="J36" s="79">
        <f t="shared" si="26"/>
        <v>0</v>
      </c>
      <c r="K36" s="49"/>
      <c r="L36" s="84"/>
      <c r="M36" s="81">
        <f t="shared" si="30"/>
        <v>0</v>
      </c>
      <c r="N36" s="79">
        <f t="shared" si="1"/>
        <v>0</v>
      </c>
      <c r="O36" s="48"/>
      <c r="P36" s="84"/>
      <c r="Q36" s="81">
        <f t="shared" si="2"/>
        <v>0</v>
      </c>
      <c r="R36" s="79">
        <f t="shared" si="3"/>
        <v>0</v>
      </c>
      <c r="S36" s="49"/>
      <c r="T36" s="84"/>
      <c r="U36" s="81">
        <f t="shared" si="4"/>
        <v>0</v>
      </c>
      <c r="V36" s="79">
        <f t="shared" si="5"/>
        <v>0</v>
      </c>
      <c r="W36" s="49"/>
      <c r="X36" s="84"/>
      <c r="Y36" s="81">
        <f t="shared" si="27"/>
        <v>0</v>
      </c>
      <c r="Z36" s="79">
        <f t="shared" si="6"/>
        <v>0</v>
      </c>
      <c r="AA36" s="49"/>
      <c r="AB36" s="84"/>
      <c r="AC36" s="81">
        <f t="shared" si="28"/>
        <v>0</v>
      </c>
      <c r="AD36" s="79">
        <f t="shared" si="7"/>
        <v>0</v>
      </c>
      <c r="AE36" s="49"/>
      <c r="AF36" s="84"/>
      <c r="AG36" s="81">
        <f t="shared" si="29"/>
        <v>0</v>
      </c>
      <c r="AH36" s="79">
        <f t="shared" si="8"/>
        <v>0</v>
      </c>
      <c r="AI36" s="48"/>
      <c r="AJ36" s="84"/>
      <c r="AK36" s="81">
        <f t="shared" si="9"/>
        <v>0</v>
      </c>
      <c r="AL36" s="79">
        <f t="shared" si="10"/>
        <v>0</v>
      </c>
      <c r="AM36" s="48"/>
      <c r="AN36" s="84"/>
      <c r="AO36" s="81">
        <f t="shared" si="11"/>
        <v>0</v>
      </c>
      <c r="AP36" s="79">
        <f t="shared" si="12"/>
        <v>0</v>
      </c>
      <c r="AQ36" s="48"/>
      <c r="AR36" s="84"/>
      <c r="AS36" s="81">
        <f t="shared" si="13"/>
        <v>0</v>
      </c>
      <c r="AT36" s="79">
        <f t="shared" si="14"/>
        <v>0</v>
      </c>
      <c r="AU36" s="49"/>
      <c r="AV36" s="84"/>
      <c r="AW36" s="81">
        <v>0</v>
      </c>
      <c r="AX36" s="79">
        <v>0</v>
      </c>
      <c r="AY36" s="49"/>
      <c r="AZ36" s="84"/>
      <c r="BA36" s="81">
        <v>0</v>
      </c>
      <c r="BB36" s="79">
        <v>0</v>
      </c>
      <c r="BC36" s="49"/>
      <c r="BD36" s="84"/>
      <c r="BE36" s="81">
        <v>0</v>
      </c>
      <c r="BF36" s="79">
        <v>0</v>
      </c>
      <c r="BG36" s="49"/>
      <c r="BH36" s="84"/>
      <c r="BI36" s="81">
        <v>0</v>
      </c>
      <c r="BJ36" s="79">
        <v>0</v>
      </c>
      <c r="BK36" s="49"/>
      <c r="BL36" s="84"/>
      <c r="BM36" s="81">
        <v>0</v>
      </c>
      <c r="BN36" s="79">
        <v>0</v>
      </c>
      <c r="BO36" s="49"/>
      <c r="BP36" s="84"/>
      <c r="BQ36" s="81">
        <v>0</v>
      </c>
      <c r="BR36" s="79">
        <v>0</v>
      </c>
      <c r="BS36" s="49"/>
      <c r="BT36" s="84"/>
      <c r="BU36" s="81">
        <f t="shared" si="15"/>
        <v>0</v>
      </c>
      <c r="BV36" s="79">
        <f t="shared" si="16"/>
        <v>0</v>
      </c>
      <c r="BW36" s="48"/>
      <c r="BX36" s="84"/>
      <c r="BY36" s="81">
        <f t="shared" si="17"/>
        <v>0</v>
      </c>
      <c r="BZ36" s="79">
        <f t="shared" si="18"/>
        <v>0</v>
      </c>
      <c r="CA36" s="48"/>
      <c r="CB36" s="84"/>
      <c r="CC36" s="81">
        <v>0</v>
      </c>
      <c r="CD36" s="79">
        <v>0</v>
      </c>
      <c r="CE36" s="49"/>
      <c r="CF36" s="84"/>
      <c r="CG36" s="81">
        <f t="shared" si="19"/>
        <v>0</v>
      </c>
      <c r="CH36" s="79">
        <f t="shared" si="20"/>
        <v>0</v>
      </c>
      <c r="CI36" s="33"/>
      <c r="CJ36" s="84"/>
      <c r="CK36" s="81">
        <f t="shared" si="21"/>
        <v>0</v>
      </c>
      <c r="CL36" s="79">
        <f t="shared" si="22"/>
        <v>0</v>
      </c>
      <c r="CM36" s="34"/>
      <c r="CN36" s="34"/>
      <c r="CO36" s="34"/>
      <c r="CP36" s="34"/>
      <c r="CQ36" s="50">
        <f t="shared" si="23"/>
        <v>1</v>
      </c>
      <c r="CR36" s="77">
        <f t="shared" si="24"/>
        <v>0</v>
      </c>
      <c r="CS36" s="28"/>
    </row>
    <row r="37" spans="1:97" s="1" customFormat="1">
      <c r="A37" s="30" t="s">
        <v>141</v>
      </c>
      <c r="B37" s="47"/>
      <c r="C37" s="36" t="s">
        <v>123</v>
      </c>
      <c r="D37" s="32"/>
      <c r="E37" s="32"/>
      <c r="F37" s="87"/>
      <c r="G37" s="48">
        <v>11520</v>
      </c>
      <c r="H37" s="84"/>
      <c r="I37" s="80">
        <f t="shared" si="25"/>
        <v>0</v>
      </c>
      <c r="J37" s="79">
        <f t="shared" si="26"/>
        <v>0</v>
      </c>
      <c r="K37" s="49">
        <v>1920</v>
      </c>
      <c r="L37" s="84"/>
      <c r="M37" s="81">
        <f t="shared" si="30"/>
        <v>0</v>
      </c>
      <c r="N37" s="79">
        <f t="shared" si="1"/>
        <v>0</v>
      </c>
      <c r="O37" s="48"/>
      <c r="P37" s="84"/>
      <c r="Q37" s="81">
        <f t="shared" si="2"/>
        <v>0</v>
      </c>
      <c r="R37" s="79">
        <f t="shared" si="3"/>
        <v>0</v>
      </c>
      <c r="S37" s="49"/>
      <c r="T37" s="84"/>
      <c r="U37" s="81">
        <f t="shared" si="4"/>
        <v>0</v>
      </c>
      <c r="V37" s="79">
        <f t="shared" si="5"/>
        <v>0</v>
      </c>
      <c r="W37" s="49"/>
      <c r="X37" s="84"/>
      <c r="Y37" s="81">
        <f t="shared" si="27"/>
        <v>0</v>
      </c>
      <c r="Z37" s="79">
        <f t="shared" si="6"/>
        <v>0</v>
      </c>
      <c r="AA37" s="49"/>
      <c r="AB37" s="84"/>
      <c r="AC37" s="81">
        <f t="shared" si="28"/>
        <v>0</v>
      </c>
      <c r="AD37" s="79">
        <f t="shared" si="7"/>
        <v>0</v>
      </c>
      <c r="AE37" s="49"/>
      <c r="AF37" s="84"/>
      <c r="AG37" s="81">
        <f t="shared" si="29"/>
        <v>0</v>
      </c>
      <c r="AH37" s="79">
        <f t="shared" si="8"/>
        <v>0</v>
      </c>
      <c r="AI37" s="48">
        <v>1920</v>
      </c>
      <c r="AJ37" s="84"/>
      <c r="AK37" s="81">
        <f t="shared" si="9"/>
        <v>0</v>
      </c>
      <c r="AL37" s="79">
        <f t="shared" si="10"/>
        <v>0</v>
      </c>
      <c r="AM37" s="48"/>
      <c r="AN37" s="84"/>
      <c r="AO37" s="81">
        <f t="shared" si="11"/>
        <v>0</v>
      </c>
      <c r="AP37" s="79">
        <f t="shared" si="12"/>
        <v>0</v>
      </c>
      <c r="AQ37" s="48"/>
      <c r="AR37" s="84"/>
      <c r="AS37" s="81">
        <f t="shared" si="13"/>
        <v>0</v>
      </c>
      <c r="AT37" s="79">
        <f t="shared" si="14"/>
        <v>0</v>
      </c>
      <c r="AU37" s="49"/>
      <c r="AV37" s="84"/>
      <c r="AW37" s="81">
        <v>0</v>
      </c>
      <c r="AX37" s="79">
        <v>0</v>
      </c>
      <c r="AY37" s="49"/>
      <c r="AZ37" s="84"/>
      <c r="BA37" s="81">
        <v>0</v>
      </c>
      <c r="BB37" s="79">
        <v>0</v>
      </c>
      <c r="BC37" s="49"/>
      <c r="BD37" s="84"/>
      <c r="BE37" s="81">
        <v>0</v>
      </c>
      <c r="BF37" s="79">
        <v>0</v>
      </c>
      <c r="BG37" s="49"/>
      <c r="BH37" s="84"/>
      <c r="BI37" s="81">
        <v>0</v>
      </c>
      <c r="BJ37" s="79">
        <v>0</v>
      </c>
      <c r="BK37" s="49"/>
      <c r="BL37" s="84"/>
      <c r="BM37" s="81">
        <v>0</v>
      </c>
      <c r="BN37" s="79">
        <v>0</v>
      </c>
      <c r="BO37" s="49"/>
      <c r="BP37" s="84"/>
      <c r="BQ37" s="81">
        <v>0</v>
      </c>
      <c r="BR37" s="79">
        <v>0</v>
      </c>
      <c r="BS37" s="49"/>
      <c r="BT37" s="84"/>
      <c r="BU37" s="81">
        <f t="shared" si="15"/>
        <v>0</v>
      </c>
      <c r="BV37" s="79">
        <f t="shared" si="16"/>
        <v>0</v>
      </c>
      <c r="BW37" s="48"/>
      <c r="BX37" s="84"/>
      <c r="BY37" s="81">
        <f t="shared" si="17"/>
        <v>0</v>
      </c>
      <c r="BZ37" s="79">
        <f t="shared" si="18"/>
        <v>0</v>
      </c>
      <c r="CA37" s="48"/>
      <c r="CB37" s="84"/>
      <c r="CC37" s="81">
        <v>0</v>
      </c>
      <c r="CD37" s="79">
        <v>0</v>
      </c>
      <c r="CE37" s="49"/>
      <c r="CF37" s="84"/>
      <c r="CG37" s="81">
        <f t="shared" si="19"/>
        <v>0</v>
      </c>
      <c r="CH37" s="79">
        <f t="shared" si="20"/>
        <v>0</v>
      </c>
      <c r="CI37" s="33"/>
      <c r="CJ37" s="84"/>
      <c r="CK37" s="81">
        <f t="shared" si="21"/>
        <v>0</v>
      </c>
      <c r="CL37" s="79">
        <f t="shared" si="22"/>
        <v>0</v>
      </c>
      <c r="CM37" s="34"/>
      <c r="CN37" s="34"/>
      <c r="CO37" s="34"/>
      <c r="CP37" s="34"/>
      <c r="CQ37" s="50">
        <f t="shared" si="23"/>
        <v>1</v>
      </c>
      <c r="CR37" s="77">
        <f t="shared" si="24"/>
        <v>0</v>
      </c>
      <c r="CS37" s="28"/>
    </row>
    <row r="38" spans="1:97" s="1" customFormat="1">
      <c r="A38" s="30" t="s">
        <v>142</v>
      </c>
      <c r="B38" s="47"/>
      <c r="C38" s="31" t="s">
        <v>143</v>
      </c>
      <c r="D38" s="32"/>
      <c r="E38" s="32"/>
      <c r="F38" s="87"/>
      <c r="G38" s="48"/>
      <c r="H38" s="84"/>
      <c r="I38" s="80">
        <f t="shared" si="25"/>
        <v>0</v>
      </c>
      <c r="J38" s="79">
        <f t="shared" si="26"/>
        <v>0</v>
      </c>
      <c r="K38" s="49"/>
      <c r="L38" s="84"/>
      <c r="M38" s="81">
        <f t="shared" si="30"/>
        <v>0</v>
      </c>
      <c r="N38" s="79">
        <f t="shared" si="1"/>
        <v>0</v>
      </c>
      <c r="O38" s="48"/>
      <c r="P38" s="84"/>
      <c r="Q38" s="81">
        <f t="shared" si="2"/>
        <v>0</v>
      </c>
      <c r="R38" s="79">
        <f t="shared" si="3"/>
        <v>0</v>
      </c>
      <c r="S38" s="49"/>
      <c r="T38" s="84"/>
      <c r="U38" s="81">
        <f t="shared" si="4"/>
        <v>0</v>
      </c>
      <c r="V38" s="79">
        <f t="shared" si="5"/>
        <v>0</v>
      </c>
      <c r="W38" s="49"/>
      <c r="X38" s="84"/>
      <c r="Y38" s="81">
        <f t="shared" si="27"/>
        <v>0</v>
      </c>
      <c r="Z38" s="79">
        <f t="shared" si="6"/>
        <v>0</v>
      </c>
      <c r="AA38" s="49"/>
      <c r="AB38" s="84"/>
      <c r="AC38" s="81">
        <f t="shared" si="28"/>
        <v>0</v>
      </c>
      <c r="AD38" s="79">
        <f t="shared" si="7"/>
        <v>0</v>
      </c>
      <c r="AE38" s="49"/>
      <c r="AF38" s="84"/>
      <c r="AG38" s="81">
        <f t="shared" si="29"/>
        <v>0</v>
      </c>
      <c r="AH38" s="79">
        <f t="shared" si="8"/>
        <v>0</v>
      </c>
      <c r="AI38" s="48"/>
      <c r="AJ38" s="84"/>
      <c r="AK38" s="81">
        <f t="shared" si="9"/>
        <v>0</v>
      </c>
      <c r="AL38" s="79">
        <f t="shared" si="10"/>
        <v>0</v>
      </c>
      <c r="AM38" s="48"/>
      <c r="AN38" s="84"/>
      <c r="AO38" s="81">
        <f t="shared" si="11"/>
        <v>0</v>
      </c>
      <c r="AP38" s="79">
        <f t="shared" si="12"/>
        <v>0</v>
      </c>
      <c r="AQ38" s="48">
        <v>3840</v>
      </c>
      <c r="AR38" s="84"/>
      <c r="AS38" s="81">
        <f t="shared" si="13"/>
        <v>0</v>
      </c>
      <c r="AT38" s="79">
        <f t="shared" si="14"/>
        <v>0</v>
      </c>
      <c r="AU38" s="49"/>
      <c r="AV38" s="84"/>
      <c r="AW38" s="81">
        <v>0</v>
      </c>
      <c r="AX38" s="79">
        <v>0</v>
      </c>
      <c r="AY38" s="49"/>
      <c r="AZ38" s="84"/>
      <c r="BA38" s="81">
        <v>0</v>
      </c>
      <c r="BB38" s="79">
        <v>0</v>
      </c>
      <c r="BC38" s="49"/>
      <c r="BD38" s="84"/>
      <c r="BE38" s="81">
        <v>0</v>
      </c>
      <c r="BF38" s="79">
        <v>0</v>
      </c>
      <c r="BG38" s="49"/>
      <c r="BH38" s="84"/>
      <c r="BI38" s="81">
        <v>0</v>
      </c>
      <c r="BJ38" s="79">
        <v>0</v>
      </c>
      <c r="BK38" s="49"/>
      <c r="BL38" s="84"/>
      <c r="BM38" s="81">
        <v>0</v>
      </c>
      <c r="BN38" s="79">
        <v>0</v>
      </c>
      <c r="BO38" s="49"/>
      <c r="BP38" s="84"/>
      <c r="BQ38" s="81">
        <v>0</v>
      </c>
      <c r="BR38" s="79">
        <v>0</v>
      </c>
      <c r="BS38" s="49"/>
      <c r="BT38" s="84"/>
      <c r="BU38" s="81">
        <f t="shared" si="15"/>
        <v>0</v>
      </c>
      <c r="BV38" s="79">
        <f t="shared" si="16"/>
        <v>0</v>
      </c>
      <c r="BW38" s="48"/>
      <c r="BX38" s="84"/>
      <c r="BY38" s="81">
        <f t="shared" si="17"/>
        <v>0</v>
      </c>
      <c r="BZ38" s="79">
        <f t="shared" si="18"/>
        <v>0</v>
      </c>
      <c r="CA38" s="48"/>
      <c r="CB38" s="84"/>
      <c r="CC38" s="81">
        <v>0</v>
      </c>
      <c r="CD38" s="79">
        <v>0</v>
      </c>
      <c r="CE38" s="49"/>
      <c r="CF38" s="84"/>
      <c r="CG38" s="81">
        <f t="shared" si="19"/>
        <v>0</v>
      </c>
      <c r="CH38" s="79">
        <f t="shared" si="20"/>
        <v>0</v>
      </c>
      <c r="CI38" s="33"/>
      <c r="CJ38" s="84"/>
      <c r="CK38" s="81">
        <f t="shared" si="21"/>
        <v>0</v>
      </c>
      <c r="CL38" s="79">
        <f t="shared" si="22"/>
        <v>0</v>
      </c>
      <c r="CM38" s="34"/>
      <c r="CN38" s="34"/>
      <c r="CO38" s="34"/>
      <c r="CP38" s="34"/>
      <c r="CQ38" s="50">
        <f t="shared" si="23"/>
        <v>1</v>
      </c>
      <c r="CR38" s="77">
        <f t="shared" si="24"/>
        <v>0</v>
      </c>
      <c r="CS38" s="28"/>
    </row>
    <row r="39" spans="1:97" s="1" customFormat="1">
      <c r="A39" s="30" t="s">
        <v>144</v>
      </c>
      <c r="B39" s="47"/>
      <c r="C39" s="63" t="s">
        <v>120</v>
      </c>
      <c r="D39" s="32"/>
      <c r="E39" s="32"/>
      <c r="F39" s="87"/>
      <c r="G39" s="48">
        <v>5760</v>
      </c>
      <c r="H39" s="84"/>
      <c r="I39" s="80">
        <f t="shared" si="25"/>
        <v>0</v>
      </c>
      <c r="J39" s="79">
        <f t="shared" si="26"/>
        <v>0</v>
      </c>
      <c r="K39" s="49"/>
      <c r="L39" s="84"/>
      <c r="M39" s="81">
        <f t="shared" si="30"/>
        <v>0</v>
      </c>
      <c r="N39" s="79">
        <f t="shared" si="1"/>
        <v>0</v>
      </c>
      <c r="O39" s="48"/>
      <c r="P39" s="84"/>
      <c r="Q39" s="81">
        <f t="shared" si="2"/>
        <v>0</v>
      </c>
      <c r="R39" s="79">
        <f t="shared" si="3"/>
        <v>0</v>
      </c>
      <c r="S39" s="49"/>
      <c r="T39" s="84"/>
      <c r="U39" s="81">
        <f t="shared" si="4"/>
        <v>0</v>
      </c>
      <c r="V39" s="79">
        <f t="shared" si="5"/>
        <v>0</v>
      </c>
      <c r="W39" s="49"/>
      <c r="X39" s="84"/>
      <c r="Y39" s="81">
        <f t="shared" si="27"/>
        <v>0</v>
      </c>
      <c r="Z39" s="79">
        <f t="shared" si="6"/>
        <v>0</v>
      </c>
      <c r="AA39" s="49"/>
      <c r="AB39" s="84"/>
      <c r="AC39" s="81">
        <f t="shared" si="28"/>
        <v>0</v>
      </c>
      <c r="AD39" s="79">
        <f t="shared" si="7"/>
        <v>0</v>
      </c>
      <c r="AE39" s="49"/>
      <c r="AF39" s="84"/>
      <c r="AG39" s="81">
        <f t="shared" si="29"/>
        <v>0</v>
      </c>
      <c r="AH39" s="79">
        <f t="shared" si="8"/>
        <v>0</v>
      </c>
      <c r="AI39" s="48"/>
      <c r="AJ39" s="84"/>
      <c r="AK39" s="81">
        <f t="shared" si="9"/>
        <v>0</v>
      </c>
      <c r="AL39" s="79">
        <f t="shared" si="10"/>
        <v>0</v>
      </c>
      <c r="AM39" s="48"/>
      <c r="AN39" s="84"/>
      <c r="AO39" s="81">
        <f t="shared" si="11"/>
        <v>0</v>
      </c>
      <c r="AP39" s="79">
        <f t="shared" si="12"/>
        <v>0</v>
      </c>
      <c r="AQ39" s="48"/>
      <c r="AR39" s="84"/>
      <c r="AS39" s="81">
        <f t="shared" si="13"/>
        <v>0</v>
      </c>
      <c r="AT39" s="79">
        <f t="shared" si="14"/>
        <v>0</v>
      </c>
      <c r="AU39" s="54">
        <v>1920</v>
      </c>
      <c r="AV39" s="84"/>
      <c r="AW39" s="81">
        <v>0</v>
      </c>
      <c r="AX39" s="79">
        <v>0</v>
      </c>
      <c r="AY39" s="54">
        <v>1920</v>
      </c>
      <c r="AZ39" s="84"/>
      <c r="BA39" s="81">
        <v>0</v>
      </c>
      <c r="BB39" s="79">
        <v>0</v>
      </c>
      <c r="BC39" s="54">
        <v>9600</v>
      </c>
      <c r="BD39" s="84"/>
      <c r="BE39" s="81">
        <v>0</v>
      </c>
      <c r="BF39" s="79">
        <v>0</v>
      </c>
      <c r="BG39" s="49"/>
      <c r="BH39" s="84"/>
      <c r="BI39" s="81">
        <v>0</v>
      </c>
      <c r="BJ39" s="79">
        <v>0</v>
      </c>
      <c r="BK39" s="49"/>
      <c r="BL39" s="84"/>
      <c r="BM39" s="81">
        <v>0</v>
      </c>
      <c r="BN39" s="79">
        <v>0</v>
      </c>
      <c r="BO39" s="49"/>
      <c r="BP39" s="84"/>
      <c r="BQ39" s="81">
        <v>0</v>
      </c>
      <c r="BR39" s="79">
        <v>0</v>
      </c>
      <c r="BS39" s="49"/>
      <c r="BT39" s="84"/>
      <c r="BU39" s="81">
        <f t="shared" si="15"/>
        <v>0</v>
      </c>
      <c r="BV39" s="79">
        <f t="shared" si="16"/>
        <v>0</v>
      </c>
      <c r="BW39" s="48"/>
      <c r="BX39" s="84"/>
      <c r="BY39" s="81">
        <f t="shared" si="17"/>
        <v>0</v>
      </c>
      <c r="BZ39" s="79">
        <f t="shared" si="18"/>
        <v>0</v>
      </c>
      <c r="CA39" s="48"/>
      <c r="CB39" s="84"/>
      <c r="CC39" s="81">
        <v>0</v>
      </c>
      <c r="CD39" s="79">
        <v>0</v>
      </c>
      <c r="CE39" s="49"/>
      <c r="CF39" s="84"/>
      <c r="CG39" s="81">
        <f t="shared" si="19"/>
        <v>0</v>
      </c>
      <c r="CH39" s="79">
        <f t="shared" si="20"/>
        <v>0</v>
      </c>
      <c r="CI39" s="33"/>
      <c r="CJ39" s="84"/>
      <c r="CK39" s="81">
        <f t="shared" si="21"/>
        <v>0</v>
      </c>
      <c r="CL39" s="79">
        <f t="shared" si="22"/>
        <v>0</v>
      </c>
      <c r="CM39" s="34"/>
      <c r="CN39" s="34"/>
      <c r="CO39" s="34"/>
      <c r="CP39" s="34"/>
      <c r="CQ39" s="50">
        <f t="shared" si="23"/>
        <v>1</v>
      </c>
      <c r="CR39" s="77">
        <f t="shared" si="24"/>
        <v>0</v>
      </c>
      <c r="CS39" s="28"/>
    </row>
    <row r="40" spans="1:97" s="1" customFormat="1">
      <c r="A40" s="30" t="s">
        <v>144</v>
      </c>
      <c r="B40" s="47"/>
      <c r="C40" s="31" t="s">
        <v>123</v>
      </c>
      <c r="D40" s="32"/>
      <c r="E40" s="32"/>
      <c r="F40" s="87"/>
      <c r="G40" s="48">
        <v>1920</v>
      </c>
      <c r="H40" s="84"/>
      <c r="I40" s="80">
        <f t="shared" si="25"/>
        <v>0</v>
      </c>
      <c r="J40" s="79">
        <f t="shared" si="26"/>
        <v>0</v>
      </c>
      <c r="K40" s="49"/>
      <c r="L40" s="84"/>
      <c r="M40" s="81">
        <f t="shared" si="30"/>
        <v>0</v>
      </c>
      <c r="N40" s="79">
        <f t="shared" si="1"/>
        <v>0</v>
      </c>
      <c r="O40" s="48">
        <v>24960</v>
      </c>
      <c r="P40" s="84"/>
      <c r="Q40" s="81">
        <f t="shared" si="2"/>
        <v>0</v>
      </c>
      <c r="R40" s="79">
        <f t="shared" si="3"/>
        <v>0</v>
      </c>
      <c r="S40" s="49"/>
      <c r="T40" s="84"/>
      <c r="U40" s="81">
        <f t="shared" si="4"/>
        <v>0</v>
      </c>
      <c r="V40" s="79">
        <f t="shared" si="5"/>
        <v>0</v>
      </c>
      <c r="W40" s="49"/>
      <c r="X40" s="84"/>
      <c r="Y40" s="81">
        <f t="shared" si="27"/>
        <v>0</v>
      </c>
      <c r="Z40" s="79">
        <f t="shared" si="6"/>
        <v>0</v>
      </c>
      <c r="AA40" s="49"/>
      <c r="AB40" s="84"/>
      <c r="AC40" s="81">
        <f t="shared" si="28"/>
        <v>0</v>
      </c>
      <c r="AD40" s="79">
        <f t="shared" si="7"/>
        <v>0</v>
      </c>
      <c r="AE40" s="49"/>
      <c r="AF40" s="84"/>
      <c r="AG40" s="81">
        <f t="shared" si="29"/>
        <v>0</v>
      </c>
      <c r="AH40" s="79">
        <f t="shared" si="8"/>
        <v>0</v>
      </c>
      <c r="AI40" s="48">
        <v>5760</v>
      </c>
      <c r="AJ40" s="84"/>
      <c r="AK40" s="81">
        <f t="shared" si="9"/>
        <v>0</v>
      </c>
      <c r="AL40" s="79">
        <f t="shared" si="10"/>
        <v>0</v>
      </c>
      <c r="AM40" s="48"/>
      <c r="AN40" s="84"/>
      <c r="AO40" s="81">
        <f t="shared" si="11"/>
        <v>0</v>
      </c>
      <c r="AP40" s="79">
        <f t="shared" si="12"/>
        <v>0</v>
      </c>
      <c r="AQ40" s="48"/>
      <c r="AR40" s="84"/>
      <c r="AS40" s="81">
        <f t="shared" si="13"/>
        <v>0</v>
      </c>
      <c r="AT40" s="79">
        <f t="shared" si="14"/>
        <v>0</v>
      </c>
      <c r="AU40" s="49"/>
      <c r="AV40" s="84"/>
      <c r="AW40" s="81">
        <v>0</v>
      </c>
      <c r="AX40" s="79">
        <v>0</v>
      </c>
      <c r="AY40" s="49"/>
      <c r="AZ40" s="84"/>
      <c r="BA40" s="81">
        <v>0</v>
      </c>
      <c r="BB40" s="79">
        <v>0</v>
      </c>
      <c r="BC40" s="49"/>
      <c r="BD40" s="84"/>
      <c r="BE40" s="81">
        <v>0</v>
      </c>
      <c r="BF40" s="79">
        <v>0</v>
      </c>
      <c r="BG40" s="49"/>
      <c r="BH40" s="84"/>
      <c r="BI40" s="81">
        <v>0</v>
      </c>
      <c r="BJ40" s="79">
        <v>0</v>
      </c>
      <c r="BK40" s="49"/>
      <c r="BL40" s="84"/>
      <c r="BM40" s="81">
        <v>0</v>
      </c>
      <c r="BN40" s="79">
        <v>0</v>
      </c>
      <c r="BO40" s="49"/>
      <c r="BP40" s="84"/>
      <c r="BQ40" s="81">
        <v>0</v>
      </c>
      <c r="BR40" s="79">
        <v>0</v>
      </c>
      <c r="BS40" s="49"/>
      <c r="BT40" s="84"/>
      <c r="BU40" s="81">
        <f t="shared" si="15"/>
        <v>0</v>
      </c>
      <c r="BV40" s="79">
        <f t="shared" si="16"/>
        <v>0</v>
      </c>
      <c r="BW40" s="48"/>
      <c r="BX40" s="84"/>
      <c r="BY40" s="81">
        <f t="shared" si="17"/>
        <v>0</v>
      </c>
      <c r="BZ40" s="79">
        <f t="shared" si="18"/>
        <v>0</v>
      </c>
      <c r="CA40" s="48"/>
      <c r="CB40" s="84"/>
      <c r="CC40" s="81">
        <v>0</v>
      </c>
      <c r="CD40" s="79">
        <v>0</v>
      </c>
      <c r="CE40" s="49"/>
      <c r="CF40" s="84"/>
      <c r="CG40" s="81">
        <f t="shared" si="19"/>
        <v>0</v>
      </c>
      <c r="CH40" s="79">
        <f t="shared" si="20"/>
        <v>0</v>
      </c>
      <c r="CI40" s="33"/>
      <c r="CJ40" s="84"/>
      <c r="CK40" s="81">
        <f t="shared" si="21"/>
        <v>0</v>
      </c>
      <c r="CL40" s="79">
        <f t="shared" si="22"/>
        <v>0</v>
      </c>
      <c r="CM40" s="34"/>
      <c r="CN40" s="34"/>
      <c r="CO40" s="34"/>
      <c r="CP40" s="34"/>
      <c r="CQ40" s="50">
        <f t="shared" si="23"/>
        <v>1</v>
      </c>
      <c r="CR40" s="77">
        <f t="shared" si="24"/>
        <v>0</v>
      </c>
      <c r="CS40" s="28"/>
    </row>
    <row r="41" spans="1:97" s="1" customFormat="1">
      <c r="A41" s="30" t="s">
        <v>145</v>
      </c>
      <c r="B41" s="47"/>
      <c r="C41" s="31" t="s">
        <v>121</v>
      </c>
      <c r="D41" s="32"/>
      <c r="E41" s="32"/>
      <c r="F41" s="87"/>
      <c r="G41" s="48"/>
      <c r="H41" s="84"/>
      <c r="I41" s="80">
        <f t="shared" si="25"/>
        <v>0</v>
      </c>
      <c r="J41" s="79">
        <f t="shared" si="26"/>
        <v>0</v>
      </c>
      <c r="K41" s="49"/>
      <c r="L41" s="84"/>
      <c r="M41" s="81">
        <f t="shared" si="30"/>
        <v>0</v>
      </c>
      <c r="N41" s="79">
        <f t="shared" si="1"/>
        <v>0</v>
      </c>
      <c r="O41" s="48">
        <v>11520</v>
      </c>
      <c r="P41" s="84"/>
      <c r="Q41" s="81">
        <f t="shared" si="2"/>
        <v>0</v>
      </c>
      <c r="R41" s="79">
        <f t="shared" si="3"/>
        <v>0</v>
      </c>
      <c r="S41" s="49"/>
      <c r="T41" s="84"/>
      <c r="U41" s="81">
        <f t="shared" si="4"/>
        <v>0</v>
      </c>
      <c r="V41" s="79">
        <f t="shared" si="5"/>
        <v>0</v>
      </c>
      <c r="W41" s="49"/>
      <c r="X41" s="84"/>
      <c r="Y41" s="81">
        <f t="shared" si="27"/>
        <v>0</v>
      </c>
      <c r="Z41" s="79">
        <f t="shared" si="6"/>
        <v>0</v>
      </c>
      <c r="AA41" s="49"/>
      <c r="AB41" s="84"/>
      <c r="AC41" s="81">
        <f t="shared" si="28"/>
        <v>0</v>
      </c>
      <c r="AD41" s="79">
        <f t="shared" si="7"/>
        <v>0</v>
      </c>
      <c r="AE41" s="49"/>
      <c r="AF41" s="84"/>
      <c r="AG41" s="81">
        <f t="shared" si="29"/>
        <v>0</v>
      </c>
      <c r="AH41" s="79">
        <f t="shared" si="8"/>
        <v>0</v>
      </c>
      <c r="AI41" s="48"/>
      <c r="AJ41" s="84"/>
      <c r="AK41" s="81">
        <f t="shared" si="9"/>
        <v>0</v>
      </c>
      <c r="AL41" s="79">
        <f t="shared" si="10"/>
        <v>0</v>
      </c>
      <c r="AM41" s="48"/>
      <c r="AN41" s="84"/>
      <c r="AO41" s="81">
        <f t="shared" si="11"/>
        <v>0</v>
      </c>
      <c r="AP41" s="79">
        <f t="shared" si="12"/>
        <v>0</v>
      </c>
      <c r="AQ41" s="48"/>
      <c r="AR41" s="84"/>
      <c r="AS41" s="81">
        <f t="shared" si="13"/>
        <v>0</v>
      </c>
      <c r="AT41" s="79">
        <f t="shared" si="14"/>
        <v>0</v>
      </c>
      <c r="AU41" s="49"/>
      <c r="AV41" s="84"/>
      <c r="AW41" s="81">
        <v>0</v>
      </c>
      <c r="AX41" s="79">
        <v>0</v>
      </c>
      <c r="AY41" s="49"/>
      <c r="AZ41" s="84"/>
      <c r="BA41" s="81">
        <v>0</v>
      </c>
      <c r="BB41" s="79">
        <v>0</v>
      </c>
      <c r="BC41" s="49"/>
      <c r="BD41" s="84"/>
      <c r="BE41" s="81">
        <v>0</v>
      </c>
      <c r="BF41" s="79">
        <v>0</v>
      </c>
      <c r="BG41" s="49"/>
      <c r="BH41" s="84"/>
      <c r="BI41" s="81">
        <v>0</v>
      </c>
      <c r="BJ41" s="79">
        <v>0</v>
      </c>
      <c r="BK41" s="49"/>
      <c r="BL41" s="84"/>
      <c r="BM41" s="81">
        <v>0</v>
      </c>
      <c r="BN41" s="79">
        <v>0</v>
      </c>
      <c r="BO41" s="49"/>
      <c r="BP41" s="84"/>
      <c r="BQ41" s="81">
        <v>0</v>
      </c>
      <c r="BR41" s="79">
        <v>0</v>
      </c>
      <c r="BS41" s="49"/>
      <c r="BT41" s="84"/>
      <c r="BU41" s="81">
        <f t="shared" si="15"/>
        <v>0</v>
      </c>
      <c r="BV41" s="79">
        <f t="shared" si="16"/>
        <v>0</v>
      </c>
      <c r="BW41" s="48"/>
      <c r="BX41" s="84"/>
      <c r="BY41" s="81">
        <f t="shared" si="17"/>
        <v>0</v>
      </c>
      <c r="BZ41" s="79">
        <f t="shared" si="18"/>
        <v>0</v>
      </c>
      <c r="CA41" s="48"/>
      <c r="CB41" s="84"/>
      <c r="CC41" s="81">
        <v>0</v>
      </c>
      <c r="CD41" s="79">
        <v>0</v>
      </c>
      <c r="CE41" s="49">
        <v>1920</v>
      </c>
      <c r="CF41" s="84"/>
      <c r="CG41" s="81">
        <f t="shared" si="19"/>
        <v>0</v>
      </c>
      <c r="CH41" s="79">
        <f t="shared" si="20"/>
        <v>0</v>
      </c>
      <c r="CI41" s="33"/>
      <c r="CJ41" s="84"/>
      <c r="CK41" s="81">
        <f t="shared" si="21"/>
        <v>0</v>
      </c>
      <c r="CL41" s="79">
        <f t="shared" si="22"/>
        <v>0</v>
      </c>
      <c r="CM41" s="34"/>
      <c r="CN41" s="34"/>
      <c r="CO41" s="34"/>
      <c r="CP41" s="34"/>
      <c r="CQ41" s="50">
        <f t="shared" si="23"/>
        <v>1</v>
      </c>
      <c r="CR41" s="77">
        <f t="shared" si="24"/>
        <v>0</v>
      </c>
      <c r="CS41" s="28"/>
    </row>
    <row r="42" spans="1:97" s="1" customFormat="1">
      <c r="A42" s="30" t="s">
        <v>146</v>
      </c>
      <c r="B42" s="47"/>
      <c r="C42" s="63" t="s">
        <v>120</v>
      </c>
      <c r="D42" s="32"/>
      <c r="E42" s="32"/>
      <c r="F42" s="87"/>
      <c r="G42" s="48">
        <v>5760</v>
      </c>
      <c r="H42" s="84"/>
      <c r="I42" s="80">
        <f t="shared" si="25"/>
        <v>0</v>
      </c>
      <c r="J42" s="79">
        <f t="shared" si="26"/>
        <v>0</v>
      </c>
      <c r="K42" s="49"/>
      <c r="L42" s="84"/>
      <c r="M42" s="81">
        <f t="shared" si="30"/>
        <v>0</v>
      </c>
      <c r="N42" s="79">
        <f t="shared" si="1"/>
        <v>0</v>
      </c>
      <c r="O42" s="48"/>
      <c r="P42" s="84"/>
      <c r="Q42" s="81">
        <f t="shared" si="2"/>
        <v>0</v>
      </c>
      <c r="R42" s="79">
        <f t="shared" si="3"/>
        <v>0</v>
      </c>
      <c r="S42" s="49"/>
      <c r="T42" s="84"/>
      <c r="U42" s="81">
        <f t="shared" si="4"/>
        <v>0</v>
      </c>
      <c r="V42" s="79">
        <f t="shared" si="5"/>
        <v>0</v>
      </c>
      <c r="W42" s="54">
        <v>1920</v>
      </c>
      <c r="X42" s="84"/>
      <c r="Y42" s="81">
        <f t="shared" si="27"/>
        <v>0</v>
      </c>
      <c r="Z42" s="79">
        <f t="shared" si="6"/>
        <v>0</v>
      </c>
      <c r="AA42" s="54"/>
      <c r="AB42" s="84"/>
      <c r="AC42" s="81">
        <f t="shared" si="28"/>
        <v>0</v>
      </c>
      <c r="AD42" s="79">
        <f t="shared" si="7"/>
        <v>0</v>
      </c>
      <c r="AE42" s="54"/>
      <c r="AF42" s="84"/>
      <c r="AG42" s="81">
        <f t="shared" si="29"/>
        <v>0</v>
      </c>
      <c r="AH42" s="79">
        <f t="shared" si="8"/>
        <v>0</v>
      </c>
      <c r="AI42" s="48"/>
      <c r="AJ42" s="84"/>
      <c r="AK42" s="81">
        <f t="shared" si="9"/>
        <v>0</v>
      </c>
      <c r="AL42" s="79">
        <f t="shared" si="10"/>
        <v>0</v>
      </c>
      <c r="AM42" s="48"/>
      <c r="AN42" s="84"/>
      <c r="AO42" s="81">
        <f t="shared" si="11"/>
        <v>0</v>
      </c>
      <c r="AP42" s="79">
        <f t="shared" si="12"/>
        <v>0</v>
      </c>
      <c r="AQ42" s="48"/>
      <c r="AR42" s="84"/>
      <c r="AS42" s="81">
        <f t="shared" si="13"/>
        <v>0</v>
      </c>
      <c r="AT42" s="79">
        <f t="shared" si="14"/>
        <v>0</v>
      </c>
      <c r="AU42" s="49"/>
      <c r="AV42" s="84"/>
      <c r="AW42" s="81">
        <v>0</v>
      </c>
      <c r="AX42" s="79">
        <v>0</v>
      </c>
      <c r="AY42" s="49"/>
      <c r="AZ42" s="84"/>
      <c r="BA42" s="81">
        <v>0</v>
      </c>
      <c r="BB42" s="79">
        <v>0</v>
      </c>
      <c r="BC42" s="49"/>
      <c r="BD42" s="84"/>
      <c r="BE42" s="81">
        <v>0</v>
      </c>
      <c r="BF42" s="79">
        <v>0</v>
      </c>
      <c r="BG42" s="49"/>
      <c r="BH42" s="84"/>
      <c r="BI42" s="81">
        <v>0</v>
      </c>
      <c r="BJ42" s="79">
        <v>0</v>
      </c>
      <c r="BK42" s="49"/>
      <c r="BL42" s="84"/>
      <c r="BM42" s="81">
        <v>0</v>
      </c>
      <c r="BN42" s="79">
        <v>0</v>
      </c>
      <c r="BO42" s="49"/>
      <c r="BP42" s="84"/>
      <c r="BQ42" s="81">
        <v>0</v>
      </c>
      <c r="BR42" s="79">
        <v>0</v>
      </c>
      <c r="BS42" s="49"/>
      <c r="BT42" s="84"/>
      <c r="BU42" s="81">
        <f t="shared" si="15"/>
        <v>0</v>
      </c>
      <c r="BV42" s="79">
        <f t="shared" si="16"/>
        <v>0</v>
      </c>
      <c r="BW42" s="48"/>
      <c r="BX42" s="84"/>
      <c r="BY42" s="81">
        <f t="shared" si="17"/>
        <v>0</v>
      </c>
      <c r="BZ42" s="79">
        <f t="shared" si="18"/>
        <v>0</v>
      </c>
      <c r="CA42" s="48"/>
      <c r="CB42" s="84"/>
      <c r="CC42" s="81">
        <v>0</v>
      </c>
      <c r="CD42" s="79">
        <v>0</v>
      </c>
      <c r="CE42" s="49"/>
      <c r="CF42" s="84"/>
      <c r="CG42" s="81">
        <f t="shared" si="19"/>
        <v>0</v>
      </c>
      <c r="CH42" s="79">
        <f t="shared" si="20"/>
        <v>0</v>
      </c>
      <c r="CI42" s="33"/>
      <c r="CJ42" s="84"/>
      <c r="CK42" s="81">
        <f t="shared" si="21"/>
        <v>0</v>
      </c>
      <c r="CL42" s="79">
        <f t="shared" si="22"/>
        <v>0</v>
      </c>
      <c r="CM42" s="34"/>
      <c r="CN42" s="34"/>
      <c r="CO42" s="34"/>
      <c r="CP42" s="34"/>
      <c r="CQ42" s="50">
        <f t="shared" si="23"/>
        <v>1</v>
      </c>
      <c r="CR42" s="77">
        <f t="shared" si="24"/>
        <v>0</v>
      </c>
      <c r="CS42" s="28"/>
    </row>
    <row r="43" spans="1:97" s="1" customFormat="1">
      <c r="A43" s="30" t="s">
        <v>146</v>
      </c>
      <c r="B43" s="47"/>
      <c r="C43" s="31" t="s">
        <v>121</v>
      </c>
      <c r="D43" s="32"/>
      <c r="E43" s="32"/>
      <c r="F43" s="87"/>
      <c r="G43" s="48">
        <v>1920</v>
      </c>
      <c r="H43" s="84"/>
      <c r="I43" s="80">
        <f t="shared" si="25"/>
        <v>0</v>
      </c>
      <c r="J43" s="79">
        <f t="shared" si="26"/>
        <v>0</v>
      </c>
      <c r="K43" s="49"/>
      <c r="L43" s="84"/>
      <c r="M43" s="81">
        <f t="shared" si="30"/>
        <v>0</v>
      </c>
      <c r="N43" s="79">
        <f t="shared" ref="N43:N59" si="31">K43*M43</f>
        <v>0</v>
      </c>
      <c r="O43" s="48">
        <v>5760</v>
      </c>
      <c r="P43" s="84"/>
      <c r="Q43" s="81">
        <f t="shared" ref="Q43:Q59" si="32">P43*CQ43</f>
        <v>0</v>
      </c>
      <c r="R43" s="79">
        <f t="shared" ref="R43:R59" si="33">O43*Q43</f>
        <v>0</v>
      </c>
      <c r="S43" s="49"/>
      <c r="T43" s="84"/>
      <c r="U43" s="81">
        <f t="shared" ref="U43:U59" si="34">T43*CQ43</f>
        <v>0</v>
      </c>
      <c r="V43" s="79">
        <f t="shared" ref="V43:V59" si="35">S43*U43</f>
        <v>0</v>
      </c>
      <c r="W43" s="49"/>
      <c r="X43" s="84"/>
      <c r="Y43" s="81">
        <f t="shared" si="27"/>
        <v>0</v>
      </c>
      <c r="Z43" s="79">
        <f t="shared" ref="Z43:Z59" si="36">W43*Y43</f>
        <v>0</v>
      </c>
      <c r="AA43" s="49"/>
      <c r="AB43" s="84"/>
      <c r="AC43" s="81">
        <f t="shared" si="28"/>
        <v>0</v>
      </c>
      <c r="AD43" s="79">
        <f t="shared" ref="AD43:AD59" si="37">AA43*AC43</f>
        <v>0</v>
      </c>
      <c r="AE43" s="49"/>
      <c r="AF43" s="84"/>
      <c r="AG43" s="81">
        <f t="shared" si="29"/>
        <v>0</v>
      </c>
      <c r="AH43" s="79">
        <f t="shared" ref="AH43:AH59" si="38">AE43*AG43</f>
        <v>0</v>
      </c>
      <c r="AI43" s="48">
        <v>7680</v>
      </c>
      <c r="AJ43" s="84"/>
      <c r="AK43" s="81">
        <f t="shared" ref="AK43:AK59" si="39">AJ43*CQ43</f>
        <v>0</v>
      </c>
      <c r="AL43" s="79">
        <f t="shared" ref="AL43:AL59" si="40">AI43*AK43</f>
        <v>0</v>
      </c>
      <c r="AM43" s="48"/>
      <c r="AN43" s="84"/>
      <c r="AO43" s="81">
        <f t="shared" ref="AO43:AO59" si="41">AN43*CQ43</f>
        <v>0</v>
      </c>
      <c r="AP43" s="79">
        <f t="shared" ref="AP43:AP59" si="42">AM43*AO43</f>
        <v>0</v>
      </c>
      <c r="AQ43" s="48"/>
      <c r="AR43" s="84"/>
      <c r="AS43" s="81">
        <f t="shared" ref="AS43:AS59" si="43">AR43*CQ43</f>
        <v>0</v>
      </c>
      <c r="AT43" s="79">
        <f t="shared" ref="AT43:AT59" si="44">AQ43*AS43</f>
        <v>0</v>
      </c>
      <c r="AU43" s="49"/>
      <c r="AV43" s="84"/>
      <c r="AW43" s="81">
        <v>0</v>
      </c>
      <c r="AX43" s="79">
        <v>0</v>
      </c>
      <c r="AY43" s="49"/>
      <c r="AZ43" s="84"/>
      <c r="BA43" s="81">
        <v>0</v>
      </c>
      <c r="BB43" s="79">
        <v>0</v>
      </c>
      <c r="BC43" s="49"/>
      <c r="BD43" s="84"/>
      <c r="BE43" s="81">
        <v>0</v>
      </c>
      <c r="BF43" s="79">
        <v>0</v>
      </c>
      <c r="BG43" s="49"/>
      <c r="BH43" s="84"/>
      <c r="BI43" s="81">
        <v>0</v>
      </c>
      <c r="BJ43" s="79">
        <v>0</v>
      </c>
      <c r="BK43" s="49"/>
      <c r="BL43" s="84"/>
      <c r="BM43" s="81">
        <v>0</v>
      </c>
      <c r="BN43" s="79">
        <v>0</v>
      </c>
      <c r="BO43" s="49"/>
      <c r="BP43" s="84"/>
      <c r="BQ43" s="81">
        <v>0</v>
      </c>
      <c r="BR43" s="79">
        <v>0</v>
      </c>
      <c r="BS43" s="49"/>
      <c r="BT43" s="84"/>
      <c r="BU43" s="81">
        <f t="shared" ref="BU43:BU59" si="45">BT43*CQ43</f>
        <v>0</v>
      </c>
      <c r="BV43" s="79">
        <f t="shared" ref="BV43:BV59" si="46">BS43*BU43</f>
        <v>0</v>
      </c>
      <c r="BW43" s="48">
        <v>960</v>
      </c>
      <c r="BX43" s="84"/>
      <c r="BY43" s="81">
        <f t="shared" ref="BY43:BY59" si="47">BX43*CQ43</f>
        <v>0</v>
      </c>
      <c r="BZ43" s="79">
        <f t="shared" ref="BZ43:BZ59" si="48">BW43*BY43</f>
        <v>0</v>
      </c>
      <c r="CA43" s="48"/>
      <c r="CB43" s="84"/>
      <c r="CC43" s="81">
        <v>0</v>
      </c>
      <c r="CD43" s="79">
        <v>0</v>
      </c>
      <c r="CE43" s="49"/>
      <c r="CF43" s="84"/>
      <c r="CG43" s="81">
        <f t="shared" ref="CG43:CG59" si="49">CF43*CQ43</f>
        <v>0</v>
      </c>
      <c r="CH43" s="79">
        <f t="shared" ref="CH43:CH59" si="50">CE43*CG43</f>
        <v>0</v>
      </c>
      <c r="CI43" s="33"/>
      <c r="CJ43" s="84"/>
      <c r="CK43" s="81">
        <f t="shared" ref="CK43:CK59" si="51">CJ43*CQ43</f>
        <v>0</v>
      </c>
      <c r="CL43" s="79">
        <f t="shared" ref="CL43:CL59" si="52">CI43*CK43</f>
        <v>0</v>
      </c>
      <c r="CM43" s="34"/>
      <c r="CN43" s="34"/>
      <c r="CO43" s="34"/>
      <c r="CP43" s="34"/>
      <c r="CQ43" s="50">
        <f t="shared" ref="CQ43:CQ59" si="53">(1+CM43)*(1+CN43)*(1+CO43)*(1+CP43)</f>
        <v>1</v>
      </c>
      <c r="CR43" s="77">
        <f t="shared" ref="CR43:CR59" si="54">J43+N43+R43+V43+Z43+AD43+AH43+AL43+AP43+AT43+AX43+BB43+BF43+BJ43+BN43+BR43+BV43+BZ43+CD43+CH43+CL43</f>
        <v>0</v>
      </c>
      <c r="CS43" s="28"/>
    </row>
    <row r="44" spans="1:97" s="1" customFormat="1">
      <c r="A44" s="30" t="s">
        <v>146</v>
      </c>
      <c r="B44" s="47"/>
      <c r="C44" s="31" t="s">
        <v>123</v>
      </c>
      <c r="D44" s="32"/>
      <c r="E44" s="32"/>
      <c r="F44" s="87"/>
      <c r="G44" s="48">
        <v>1920</v>
      </c>
      <c r="H44" s="84"/>
      <c r="I44" s="80">
        <f t="shared" si="25"/>
        <v>0</v>
      </c>
      <c r="J44" s="79">
        <f t="shared" si="26"/>
        <v>0</v>
      </c>
      <c r="K44" s="49"/>
      <c r="L44" s="84"/>
      <c r="M44" s="81">
        <f t="shared" si="30"/>
        <v>0</v>
      </c>
      <c r="N44" s="79">
        <f t="shared" si="31"/>
        <v>0</v>
      </c>
      <c r="O44" s="48">
        <v>46080</v>
      </c>
      <c r="P44" s="84"/>
      <c r="Q44" s="81">
        <f t="shared" si="32"/>
        <v>0</v>
      </c>
      <c r="R44" s="79">
        <f t="shared" si="33"/>
        <v>0</v>
      </c>
      <c r="S44" s="49"/>
      <c r="T44" s="84"/>
      <c r="U44" s="81">
        <f t="shared" si="34"/>
        <v>0</v>
      </c>
      <c r="V44" s="79">
        <f t="shared" si="35"/>
        <v>0</v>
      </c>
      <c r="W44" s="49"/>
      <c r="X44" s="84"/>
      <c r="Y44" s="81">
        <f t="shared" si="27"/>
        <v>0</v>
      </c>
      <c r="Z44" s="79">
        <f t="shared" si="36"/>
        <v>0</v>
      </c>
      <c r="AA44" s="54">
        <v>1920</v>
      </c>
      <c r="AB44" s="84"/>
      <c r="AC44" s="81">
        <v>0</v>
      </c>
      <c r="AD44" s="79">
        <v>0</v>
      </c>
      <c r="AE44" s="54">
        <v>1920</v>
      </c>
      <c r="AF44" s="84"/>
      <c r="AG44" s="81">
        <f t="shared" si="29"/>
        <v>0</v>
      </c>
      <c r="AH44" s="79">
        <f t="shared" si="38"/>
        <v>0</v>
      </c>
      <c r="AI44" s="48">
        <v>13440</v>
      </c>
      <c r="AJ44" s="84"/>
      <c r="AK44" s="81">
        <f t="shared" si="39"/>
        <v>0</v>
      </c>
      <c r="AL44" s="79">
        <f t="shared" si="40"/>
        <v>0</v>
      </c>
      <c r="AM44" s="48"/>
      <c r="AN44" s="84"/>
      <c r="AO44" s="81">
        <f t="shared" si="41"/>
        <v>0</v>
      </c>
      <c r="AP44" s="79">
        <f t="shared" si="42"/>
        <v>0</v>
      </c>
      <c r="AQ44" s="48"/>
      <c r="AR44" s="84"/>
      <c r="AS44" s="81">
        <f t="shared" si="43"/>
        <v>0</v>
      </c>
      <c r="AT44" s="79">
        <f t="shared" si="44"/>
        <v>0</v>
      </c>
      <c r="AU44" s="49"/>
      <c r="AV44" s="84"/>
      <c r="AW44" s="81">
        <v>0</v>
      </c>
      <c r="AX44" s="79">
        <v>0</v>
      </c>
      <c r="AY44" s="49"/>
      <c r="AZ44" s="84"/>
      <c r="BA44" s="81">
        <v>0</v>
      </c>
      <c r="BB44" s="79">
        <v>0</v>
      </c>
      <c r="BC44" s="49"/>
      <c r="BD44" s="84"/>
      <c r="BE44" s="81">
        <v>0</v>
      </c>
      <c r="BF44" s="79">
        <v>0</v>
      </c>
      <c r="BG44" s="54">
        <v>1920</v>
      </c>
      <c r="BH44" s="84"/>
      <c r="BI44" s="81">
        <v>0</v>
      </c>
      <c r="BJ44" s="79">
        <v>0</v>
      </c>
      <c r="BK44" s="54">
        <v>1920</v>
      </c>
      <c r="BL44" s="84"/>
      <c r="BM44" s="81">
        <v>0</v>
      </c>
      <c r="BN44" s="79">
        <v>0</v>
      </c>
      <c r="BO44" s="54">
        <v>1920</v>
      </c>
      <c r="BP44" s="84"/>
      <c r="BQ44" s="81">
        <v>0</v>
      </c>
      <c r="BR44" s="79">
        <v>0</v>
      </c>
      <c r="BS44" s="54">
        <v>1920</v>
      </c>
      <c r="BT44" s="84"/>
      <c r="BU44" s="81">
        <f t="shared" si="45"/>
        <v>0</v>
      </c>
      <c r="BV44" s="79">
        <f t="shared" si="46"/>
        <v>0</v>
      </c>
      <c r="BW44" s="48"/>
      <c r="BX44" s="84"/>
      <c r="BY44" s="81">
        <f t="shared" si="47"/>
        <v>0</v>
      </c>
      <c r="BZ44" s="79">
        <f t="shared" si="48"/>
        <v>0</v>
      </c>
      <c r="CA44" s="48"/>
      <c r="CB44" s="84"/>
      <c r="CC44" s="81">
        <v>0</v>
      </c>
      <c r="CD44" s="79">
        <v>0</v>
      </c>
      <c r="CE44" s="49"/>
      <c r="CF44" s="84"/>
      <c r="CG44" s="81">
        <f t="shared" si="49"/>
        <v>0</v>
      </c>
      <c r="CH44" s="79">
        <f t="shared" si="50"/>
        <v>0</v>
      </c>
      <c r="CI44" s="33"/>
      <c r="CJ44" s="84"/>
      <c r="CK44" s="81">
        <f t="shared" si="51"/>
        <v>0</v>
      </c>
      <c r="CL44" s="79">
        <f t="shared" si="52"/>
        <v>0</v>
      </c>
      <c r="CM44" s="34"/>
      <c r="CN44" s="34"/>
      <c r="CO44" s="34"/>
      <c r="CP44" s="34"/>
      <c r="CQ44" s="50">
        <f t="shared" si="53"/>
        <v>1</v>
      </c>
      <c r="CR44" s="77">
        <f t="shared" si="54"/>
        <v>0</v>
      </c>
      <c r="CS44" s="28"/>
    </row>
    <row r="45" spans="1:97" s="1" customFormat="1">
      <c r="A45" s="30" t="s">
        <v>147</v>
      </c>
      <c r="B45" s="47"/>
      <c r="C45" s="63" t="s">
        <v>120</v>
      </c>
      <c r="D45" s="32"/>
      <c r="E45" s="32"/>
      <c r="F45" s="87"/>
      <c r="G45" s="48"/>
      <c r="H45" s="84"/>
      <c r="I45" s="80">
        <f t="shared" si="25"/>
        <v>0</v>
      </c>
      <c r="J45" s="79">
        <f t="shared" si="26"/>
        <v>0</v>
      </c>
      <c r="K45" s="49"/>
      <c r="L45" s="84"/>
      <c r="M45" s="81">
        <f t="shared" si="30"/>
        <v>0</v>
      </c>
      <c r="N45" s="79">
        <f t="shared" si="31"/>
        <v>0</v>
      </c>
      <c r="O45" s="48"/>
      <c r="P45" s="84"/>
      <c r="Q45" s="81">
        <f t="shared" si="32"/>
        <v>0</v>
      </c>
      <c r="R45" s="79">
        <f t="shared" si="33"/>
        <v>0</v>
      </c>
      <c r="S45" s="54">
        <v>1920</v>
      </c>
      <c r="T45" s="89"/>
      <c r="U45" s="81">
        <f t="shared" si="34"/>
        <v>0</v>
      </c>
      <c r="V45" s="79">
        <f t="shared" si="35"/>
        <v>0</v>
      </c>
      <c r="W45" s="49"/>
      <c r="X45" s="89"/>
      <c r="Y45" s="81">
        <f t="shared" si="27"/>
        <v>0</v>
      </c>
      <c r="Z45" s="79">
        <f t="shared" si="36"/>
        <v>0</v>
      </c>
      <c r="AA45" s="49"/>
      <c r="AB45" s="89"/>
      <c r="AC45" s="81">
        <f t="shared" si="28"/>
        <v>0</v>
      </c>
      <c r="AD45" s="79">
        <f t="shared" si="37"/>
        <v>0</v>
      </c>
      <c r="AE45" s="49"/>
      <c r="AF45" s="89"/>
      <c r="AG45" s="81">
        <f t="shared" si="29"/>
        <v>0</v>
      </c>
      <c r="AH45" s="79">
        <f t="shared" si="38"/>
        <v>0</v>
      </c>
      <c r="AI45" s="48"/>
      <c r="AJ45" s="84"/>
      <c r="AK45" s="81">
        <f t="shared" si="39"/>
        <v>0</v>
      </c>
      <c r="AL45" s="79">
        <f t="shared" si="40"/>
        <v>0</v>
      </c>
      <c r="AM45" s="48"/>
      <c r="AN45" s="84"/>
      <c r="AO45" s="81">
        <f t="shared" si="41"/>
        <v>0</v>
      </c>
      <c r="AP45" s="79">
        <f t="shared" si="42"/>
        <v>0</v>
      </c>
      <c r="AQ45" s="48"/>
      <c r="AR45" s="84"/>
      <c r="AS45" s="81">
        <f t="shared" si="43"/>
        <v>0</v>
      </c>
      <c r="AT45" s="79">
        <f t="shared" si="44"/>
        <v>0</v>
      </c>
      <c r="AU45" s="49"/>
      <c r="AV45" s="84"/>
      <c r="AW45" s="81">
        <v>0</v>
      </c>
      <c r="AX45" s="79">
        <v>0</v>
      </c>
      <c r="AY45" s="49"/>
      <c r="AZ45" s="84"/>
      <c r="BA45" s="81">
        <v>0</v>
      </c>
      <c r="BB45" s="79">
        <v>0</v>
      </c>
      <c r="BC45" s="49"/>
      <c r="BD45" s="84"/>
      <c r="BE45" s="81">
        <v>0</v>
      </c>
      <c r="BF45" s="79">
        <v>0</v>
      </c>
      <c r="BG45" s="49"/>
      <c r="BH45" s="84"/>
      <c r="BI45" s="81">
        <v>0</v>
      </c>
      <c r="BJ45" s="79">
        <v>0</v>
      </c>
      <c r="BK45" s="49"/>
      <c r="BL45" s="84"/>
      <c r="BM45" s="81">
        <v>0</v>
      </c>
      <c r="BN45" s="79">
        <v>0</v>
      </c>
      <c r="BO45" s="49"/>
      <c r="BP45" s="84"/>
      <c r="BQ45" s="81">
        <v>0</v>
      </c>
      <c r="BR45" s="79">
        <v>0</v>
      </c>
      <c r="BS45" s="49"/>
      <c r="BT45" s="84"/>
      <c r="BU45" s="81">
        <f t="shared" si="45"/>
        <v>0</v>
      </c>
      <c r="BV45" s="79">
        <f t="shared" si="46"/>
        <v>0</v>
      </c>
      <c r="BW45" s="48"/>
      <c r="BX45" s="84"/>
      <c r="BY45" s="81">
        <f t="shared" si="47"/>
        <v>0</v>
      </c>
      <c r="BZ45" s="79">
        <f t="shared" si="48"/>
        <v>0</v>
      </c>
      <c r="CA45" s="48"/>
      <c r="CB45" s="84"/>
      <c r="CC45" s="81">
        <v>0</v>
      </c>
      <c r="CD45" s="79">
        <v>0</v>
      </c>
      <c r="CE45" s="49"/>
      <c r="CF45" s="84"/>
      <c r="CG45" s="81">
        <f t="shared" si="49"/>
        <v>0</v>
      </c>
      <c r="CH45" s="79">
        <f t="shared" si="50"/>
        <v>0</v>
      </c>
      <c r="CI45" s="33"/>
      <c r="CJ45" s="84"/>
      <c r="CK45" s="81">
        <f t="shared" si="51"/>
        <v>0</v>
      </c>
      <c r="CL45" s="79">
        <f t="shared" si="52"/>
        <v>0</v>
      </c>
      <c r="CM45" s="34"/>
      <c r="CN45" s="34"/>
      <c r="CO45" s="34"/>
      <c r="CP45" s="34"/>
      <c r="CQ45" s="50">
        <f t="shared" si="53"/>
        <v>1</v>
      </c>
      <c r="CR45" s="77">
        <f t="shared" si="54"/>
        <v>0</v>
      </c>
      <c r="CS45" s="28"/>
    </row>
    <row r="46" spans="1:97" s="1" customFormat="1">
      <c r="A46" s="30" t="s">
        <v>148</v>
      </c>
      <c r="B46" s="47"/>
      <c r="C46" s="31" t="s">
        <v>121</v>
      </c>
      <c r="D46" s="32"/>
      <c r="E46" s="32"/>
      <c r="F46" s="87"/>
      <c r="G46" s="48"/>
      <c r="H46" s="84"/>
      <c r="I46" s="80">
        <f t="shared" si="25"/>
        <v>0</v>
      </c>
      <c r="J46" s="79">
        <f t="shared" si="26"/>
        <v>0</v>
      </c>
      <c r="K46" s="49"/>
      <c r="L46" s="84"/>
      <c r="M46" s="81">
        <f t="shared" si="30"/>
        <v>0</v>
      </c>
      <c r="N46" s="79">
        <f t="shared" si="31"/>
        <v>0</v>
      </c>
      <c r="O46" s="48">
        <v>3840</v>
      </c>
      <c r="P46" s="84"/>
      <c r="Q46" s="81">
        <f t="shared" si="32"/>
        <v>0</v>
      </c>
      <c r="R46" s="79">
        <f t="shared" si="33"/>
        <v>0</v>
      </c>
      <c r="S46" s="49"/>
      <c r="T46" s="84"/>
      <c r="U46" s="81">
        <f t="shared" si="34"/>
        <v>0</v>
      </c>
      <c r="V46" s="79">
        <f t="shared" si="35"/>
        <v>0</v>
      </c>
      <c r="W46" s="49"/>
      <c r="X46" s="84"/>
      <c r="Y46" s="81">
        <f t="shared" si="27"/>
        <v>0</v>
      </c>
      <c r="Z46" s="79">
        <f t="shared" si="36"/>
        <v>0</v>
      </c>
      <c r="AA46" s="49"/>
      <c r="AB46" s="84"/>
      <c r="AC46" s="81">
        <f t="shared" si="28"/>
        <v>0</v>
      </c>
      <c r="AD46" s="79">
        <f t="shared" si="37"/>
        <v>0</v>
      </c>
      <c r="AE46" s="49"/>
      <c r="AF46" s="84"/>
      <c r="AG46" s="81">
        <f t="shared" si="29"/>
        <v>0</v>
      </c>
      <c r="AH46" s="79">
        <f t="shared" si="38"/>
        <v>0</v>
      </c>
      <c r="AI46" s="48"/>
      <c r="AJ46" s="84"/>
      <c r="AK46" s="81">
        <f t="shared" si="39"/>
        <v>0</v>
      </c>
      <c r="AL46" s="79">
        <f t="shared" si="40"/>
        <v>0</v>
      </c>
      <c r="AM46" s="48"/>
      <c r="AN46" s="84"/>
      <c r="AO46" s="81">
        <f t="shared" si="41"/>
        <v>0</v>
      </c>
      <c r="AP46" s="79">
        <f t="shared" si="42"/>
        <v>0</v>
      </c>
      <c r="AQ46" s="48">
        <v>49920</v>
      </c>
      <c r="AR46" s="84"/>
      <c r="AS46" s="81">
        <f t="shared" si="43"/>
        <v>0</v>
      </c>
      <c r="AT46" s="79">
        <f t="shared" si="44"/>
        <v>0</v>
      </c>
      <c r="AU46" s="49"/>
      <c r="AV46" s="84"/>
      <c r="AW46" s="81">
        <v>0</v>
      </c>
      <c r="AX46" s="79">
        <v>0</v>
      </c>
      <c r="AY46" s="49"/>
      <c r="AZ46" s="84"/>
      <c r="BA46" s="81">
        <v>0</v>
      </c>
      <c r="BB46" s="79">
        <v>0</v>
      </c>
      <c r="BC46" s="49"/>
      <c r="BD46" s="84"/>
      <c r="BE46" s="81">
        <v>0</v>
      </c>
      <c r="BF46" s="79">
        <v>0</v>
      </c>
      <c r="BG46" s="49"/>
      <c r="BH46" s="84"/>
      <c r="BI46" s="81">
        <v>0</v>
      </c>
      <c r="BJ46" s="79">
        <v>0</v>
      </c>
      <c r="BK46" s="49"/>
      <c r="BL46" s="84"/>
      <c r="BM46" s="81">
        <v>0</v>
      </c>
      <c r="BN46" s="79">
        <v>0</v>
      </c>
      <c r="BO46" s="49"/>
      <c r="BP46" s="84"/>
      <c r="BQ46" s="81">
        <v>0</v>
      </c>
      <c r="BR46" s="79">
        <v>0</v>
      </c>
      <c r="BS46" s="49"/>
      <c r="BT46" s="84"/>
      <c r="BU46" s="81">
        <f t="shared" si="45"/>
        <v>0</v>
      </c>
      <c r="BV46" s="79">
        <f t="shared" si="46"/>
        <v>0</v>
      </c>
      <c r="BW46" s="48">
        <v>1920</v>
      </c>
      <c r="BX46" s="84"/>
      <c r="BY46" s="81">
        <f t="shared" si="47"/>
        <v>0</v>
      </c>
      <c r="BZ46" s="79">
        <f t="shared" si="48"/>
        <v>0</v>
      </c>
      <c r="CA46" s="48"/>
      <c r="CB46" s="84"/>
      <c r="CC46" s="81">
        <v>0</v>
      </c>
      <c r="CD46" s="79">
        <v>0</v>
      </c>
      <c r="CE46" s="49">
        <v>1920</v>
      </c>
      <c r="CF46" s="84"/>
      <c r="CG46" s="81">
        <f t="shared" si="49"/>
        <v>0</v>
      </c>
      <c r="CH46" s="79">
        <f t="shared" si="50"/>
        <v>0</v>
      </c>
      <c r="CI46" s="33"/>
      <c r="CJ46" s="84"/>
      <c r="CK46" s="81">
        <f t="shared" si="51"/>
        <v>0</v>
      </c>
      <c r="CL46" s="79">
        <f t="shared" si="52"/>
        <v>0</v>
      </c>
      <c r="CM46" s="34"/>
      <c r="CN46" s="34"/>
      <c r="CO46" s="34"/>
      <c r="CP46" s="34"/>
      <c r="CQ46" s="50">
        <f t="shared" si="53"/>
        <v>1</v>
      </c>
      <c r="CR46" s="77">
        <f t="shared" si="54"/>
        <v>0</v>
      </c>
      <c r="CS46" s="28"/>
    </row>
    <row r="47" spans="1:97" s="1" customFormat="1">
      <c r="A47" s="30" t="s">
        <v>148</v>
      </c>
      <c r="B47" s="47"/>
      <c r="C47" s="31" t="s">
        <v>123</v>
      </c>
      <c r="D47" s="32"/>
      <c r="E47" s="32"/>
      <c r="F47" s="87"/>
      <c r="G47" s="48">
        <v>9600</v>
      </c>
      <c r="H47" s="84"/>
      <c r="I47" s="80">
        <f t="shared" si="25"/>
        <v>0</v>
      </c>
      <c r="J47" s="79">
        <f t="shared" si="26"/>
        <v>0</v>
      </c>
      <c r="K47" s="49"/>
      <c r="L47" s="84"/>
      <c r="M47" s="81">
        <f t="shared" si="30"/>
        <v>0</v>
      </c>
      <c r="N47" s="79">
        <f t="shared" si="31"/>
        <v>0</v>
      </c>
      <c r="O47" s="48"/>
      <c r="P47" s="84"/>
      <c r="Q47" s="81">
        <f t="shared" si="32"/>
        <v>0</v>
      </c>
      <c r="R47" s="79">
        <f t="shared" si="33"/>
        <v>0</v>
      </c>
      <c r="S47" s="49"/>
      <c r="T47" s="84"/>
      <c r="U47" s="81">
        <f t="shared" si="34"/>
        <v>0</v>
      </c>
      <c r="V47" s="79">
        <f t="shared" si="35"/>
        <v>0</v>
      </c>
      <c r="W47" s="49"/>
      <c r="X47" s="84"/>
      <c r="Y47" s="81">
        <f t="shared" si="27"/>
        <v>0</v>
      </c>
      <c r="Z47" s="79">
        <f t="shared" si="36"/>
        <v>0</v>
      </c>
      <c r="AA47" s="49"/>
      <c r="AB47" s="84"/>
      <c r="AC47" s="81">
        <f t="shared" si="28"/>
        <v>0</v>
      </c>
      <c r="AD47" s="79">
        <f t="shared" si="37"/>
        <v>0</v>
      </c>
      <c r="AE47" s="49"/>
      <c r="AF47" s="84"/>
      <c r="AG47" s="81">
        <f t="shared" si="29"/>
        <v>0</v>
      </c>
      <c r="AH47" s="79">
        <f t="shared" si="38"/>
        <v>0</v>
      </c>
      <c r="AI47" s="48"/>
      <c r="AJ47" s="84"/>
      <c r="AK47" s="81">
        <f t="shared" si="39"/>
        <v>0</v>
      </c>
      <c r="AL47" s="79">
        <f t="shared" si="40"/>
        <v>0</v>
      </c>
      <c r="AM47" s="48"/>
      <c r="AN47" s="84"/>
      <c r="AO47" s="81">
        <f t="shared" si="41"/>
        <v>0</v>
      </c>
      <c r="AP47" s="79">
        <f t="shared" si="42"/>
        <v>0</v>
      </c>
      <c r="AQ47" s="48"/>
      <c r="AR47" s="84"/>
      <c r="AS47" s="81">
        <f t="shared" si="43"/>
        <v>0</v>
      </c>
      <c r="AT47" s="79">
        <f t="shared" si="44"/>
        <v>0</v>
      </c>
      <c r="AU47" s="49"/>
      <c r="AV47" s="84"/>
      <c r="AW47" s="81">
        <v>0</v>
      </c>
      <c r="AX47" s="79">
        <v>0</v>
      </c>
      <c r="AY47" s="49"/>
      <c r="AZ47" s="84"/>
      <c r="BA47" s="81">
        <v>0</v>
      </c>
      <c r="BB47" s="79">
        <v>0</v>
      </c>
      <c r="BC47" s="49"/>
      <c r="BD47" s="84"/>
      <c r="BE47" s="81">
        <v>0</v>
      </c>
      <c r="BF47" s="79">
        <v>0</v>
      </c>
      <c r="BG47" s="49"/>
      <c r="BH47" s="84"/>
      <c r="BI47" s="81">
        <v>0</v>
      </c>
      <c r="BJ47" s="79">
        <v>0</v>
      </c>
      <c r="BK47" s="49"/>
      <c r="BL47" s="84"/>
      <c r="BM47" s="81">
        <v>0</v>
      </c>
      <c r="BN47" s="79">
        <v>0</v>
      </c>
      <c r="BO47" s="49"/>
      <c r="BP47" s="84"/>
      <c r="BQ47" s="81">
        <v>0</v>
      </c>
      <c r="BR47" s="79">
        <v>0</v>
      </c>
      <c r="BS47" s="49"/>
      <c r="BT47" s="84"/>
      <c r="BU47" s="81">
        <f t="shared" si="45"/>
        <v>0</v>
      </c>
      <c r="BV47" s="79">
        <f t="shared" si="46"/>
        <v>0</v>
      </c>
      <c r="BW47" s="48"/>
      <c r="BX47" s="84"/>
      <c r="BY47" s="81">
        <f t="shared" si="47"/>
        <v>0</v>
      </c>
      <c r="BZ47" s="79">
        <f t="shared" si="48"/>
        <v>0</v>
      </c>
      <c r="CA47" s="48"/>
      <c r="CB47" s="84"/>
      <c r="CC47" s="81">
        <v>0</v>
      </c>
      <c r="CD47" s="79">
        <v>0</v>
      </c>
      <c r="CE47" s="49"/>
      <c r="CF47" s="84"/>
      <c r="CG47" s="81">
        <f t="shared" si="49"/>
        <v>0</v>
      </c>
      <c r="CH47" s="79">
        <f t="shared" si="50"/>
        <v>0</v>
      </c>
      <c r="CI47" s="33"/>
      <c r="CJ47" s="84"/>
      <c r="CK47" s="81">
        <f t="shared" si="51"/>
        <v>0</v>
      </c>
      <c r="CL47" s="79">
        <f t="shared" si="52"/>
        <v>0</v>
      </c>
      <c r="CM47" s="34"/>
      <c r="CN47" s="34"/>
      <c r="CO47" s="34"/>
      <c r="CP47" s="34"/>
      <c r="CQ47" s="50">
        <f t="shared" si="53"/>
        <v>1</v>
      </c>
      <c r="CR47" s="77">
        <f t="shared" si="54"/>
        <v>0</v>
      </c>
      <c r="CS47" s="28"/>
    </row>
    <row r="48" spans="1:97" s="1" customFormat="1">
      <c r="A48" s="30" t="s">
        <v>149</v>
      </c>
      <c r="B48" s="47"/>
      <c r="C48" s="63" t="s">
        <v>120</v>
      </c>
      <c r="D48" s="32"/>
      <c r="E48" s="32"/>
      <c r="F48" s="87"/>
      <c r="G48" s="48"/>
      <c r="H48" s="84"/>
      <c r="I48" s="80">
        <f t="shared" si="25"/>
        <v>0</v>
      </c>
      <c r="J48" s="79">
        <f t="shared" si="26"/>
        <v>0</v>
      </c>
      <c r="K48" s="49"/>
      <c r="L48" s="84"/>
      <c r="M48" s="81">
        <f t="shared" si="30"/>
        <v>0</v>
      </c>
      <c r="N48" s="79">
        <f t="shared" si="31"/>
        <v>0</v>
      </c>
      <c r="O48" s="48"/>
      <c r="P48" s="84"/>
      <c r="Q48" s="81">
        <f t="shared" si="32"/>
        <v>0</v>
      </c>
      <c r="R48" s="79">
        <f t="shared" si="33"/>
        <v>0</v>
      </c>
      <c r="S48" s="49"/>
      <c r="T48" s="84"/>
      <c r="U48" s="81">
        <f t="shared" si="34"/>
        <v>0</v>
      </c>
      <c r="V48" s="79">
        <f t="shared" si="35"/>
        <v>0</v>
      </c>
      <c r="W48" s="49"/>
      <c r="X48" s="84"/>
      <c r="Y48" s="81">
        <f t="shared" si="27"/>
        <v>0</v>
      </c>
      <c r="Z48" s="79">
        <f t="shared" si="36"/>
        <v>0</v>
      </c>
      <c r="AA48" s="49"/>
      <c r="AB48" s="84"/>
      <c r="AC48" s="81">
        <f t="shared" si="28"/>
        <v>0</v>
      </c>
      <c r="AD48" s="79">
        <f t="shared" si="37"/>
        <v>0</v>
      </c>
      <c r="AE48" s="49"/>
      <c r="AF48" s="84"/>
      <c r="AG48" s="81">
        <f t="shared" si="29"/>
        <v>0</v>
      </c>
      <c r="AH48" s="79">
        <f t="shared" si="38"/>
        <v>0</v>
      </c>
      <c r="AI48" s="48"/>
      <c r="AJ48" s="84"/>
      <c r="AK48" s="81">
        <f t="shared" si="39"/>
        <v>0</v>
      </c>
      <c r="AL48" s="79">
        <f t="shared" si="40"/>
        <v>0</v>
      </c>
      <c r="AM48" s="48"/>
      <c r="AN48" s="84"/>
      <c r="AO48" s="81">
        <f t="shared" si="41"/>
        <v>0</v>
      </c>
      <c r="AP48" s="79">
        <f t="shared" si="42"/>
        <v>0</v>
      </c>
      <c r="AQ48" s="48"/>
      <c r="AR48" s="84"/>
      <c r="AS48" s="81">
        <f t="shared" si="43"/>
        <v>0</v>
      </c>
      <c r="AT48" s="79">
        <f t="shared" si="44"/>
        <v>0</v>
      </c>
      <c r="AU48" s="49"/>
      <c r="AV48" s="84"/>
      <c r="AW48" s="81">
        <v>0</v>
      </c>
      <c r="AX48" s="79">
        <v>0</v>
      </c>
      <c r="AY48" s="49"/>
      <c r="AZ48" s="84"/>
      <c r="BA48" s="81">
        <v>0</v>
      </c>
      <c r="BB48" s="79">
        <v>0</v>
      </c>
      <c r="BC48" s="49"/>
      <c r="BD48" s="84"/>
      <c r="BE48" s="81">
        <v>0</v>
      </c>
      <c r="BF48" s="79">
        <v>0</v>
      </c>
      <c r="BG48" s="49"/>
      <c r="BH48" s="84"/>
      <c r="BI48" s="81">
        <v>0</v>
      </c>
      <c r="BJ48" s="79">
        <v>0</v>
      </c>
      <c r="BK48" s="49"/>
      <c r="BL48" s="84"/>
      <c r="BM48" s="81">
        <v>0</v>
      </c>
      <c r="BN48" s="79">
        <v>0</v>
      </c>
      <c r="BO48" s="49"/>
      <c r="BP48" s="84"/>
      <c r="BQ48" s="81">
        <v>0</v>
      </c>
      <c r="BR48" s="79">
        <v>0</v>
      </c>
      <c r="BS48" s="49"/>
      <c r="BT48" s="84"/>
      <c r="BU48" s="81">
        <f t="shared" si="45"/>
        <v>0</v>
      </c>
      <c r="BV48" s="79">
        <f t="shared" si="46"/>
        <v>0</v>
      </c>
      <c r="BW48" s="48"/>
      <c r="BX48" s="84"/>
      <c r="BY48" s="81">
        <f t="shared" si="47"/>
        <v>0</v>
      </c>
      <c r="BZ48" s="79">
        <f t="shared" si="48"/>
        <v>0</v>
      </c>
      <c r="CA48" s="48"/>
      <c r="CB48" s="84"/>
      <c r="CC48" s="81">
        <v>0</v>
      </c>
      <c r="CD48" s="79">
        <v>0</v>
      </c>
      <c r="CE48" s="49"/>
      <c r="CF48" s="84"/>
      <c r="CG48" s="81">
        <f t="shared" si="49"/>
        <v>0</v>
      </c>
      <c r="CH48" s="79">
        <f t="shared" si="50"/>
        <v>0</v>
      </c>
      <c r="CI48" s="33"/>
      <c r="CJ48" s="84"/>
      <c r="CK48" s="81">
        <f t="shared" si="51"/>
        <v>0</v>
      </c>
      <c r="CL48" s="79">
        <f t="shared" si="52"/>
        <v>0</v>
      </c>
      <c r="CM48" s="34"/>
      <c r="CN48" s="34"/>
      <c r="CO48" s="34"/>
      <c r="CP48" s="34"/>
      <c r="CQ48" s="50">
        <f t="shared" si="53"/>
        <v>1</v>
      </c>
      <c r="CR48" s="77">
        <f t="shared" si="54"/>
        <v>0</v>
      </c>
      <c r="CS48" s="28"/>
    </row>
    <row r="49" spans="1:97" s="1" customFormat="1">
      <c r="A49" s="30" t="s">
        <v>150</v>
      </c>
      <c r="B49" s="47"/>
      <c r="C49" s="31" t="s">
        <v>121</v>
      </c>
      <c r="D49" s="32"/>
      <c r="E49" s="32"/>
      <c r="F49" s="87"/>
      <c r="G49" s="48"/>
      <c r="H49" s="84"/>
      <c r="I49" s="80">
        <f t="shared" si="25"/>
        <v>0</v>
      </c>
      <c r="J49" s="79">
        <f t="shared" si="26"/>
        <v>0</v>
      </c>
      <c r="K49" s="49"/>
      <c r="L49" s="84"/>
      <c r="M49" s="81">
        <f t="shared" si="30"/>
        <v>0</v>
      </c>
      <c r="N49" s="79">
        <f t="shared" si="31"/>
        <v>0</v>
      </c>
      <c r="O49" s="48"/>
      <c r="P49" s="84"/>
      <c r="Q49" s="81">
        <f t="shared" si="32"/>
        <v>0</v>
      </c>
      <c r="R49" s="79">
        <f t="shared" si="33"/>
        <v>0</v>
      </c>
      <c r="S49" s="49"/>
      <c r="T49" s="84"/>
      <c r="U49" s="81">
        <f t="shared" si="34"/>
        <v>0</v>
      </c>
      <c r="V49" s="79">
        <f t="shared" si="35"/>
        <v>0</v>
      </c>
      <c r="W49" s="49"/>
      <c r="X49" s="84"/>
      <c r="Y49" s="81">
        <f t="shared" si="27"/>
        <v>0</v>
      </c>
      <c r="Z49" s="79">
        <f t="shared" si="36"/>
        <v>0</v>
      </c>
      <c r="AA49" s="49"/>
      <c r="AB49" s="84"/>
      <c r="AC49" s="81">
        <f t="shared" si="28"/>
        <v>0</v>
      </c>
      <c r="AD49" s="79">
        <f t="shared" si="37"/>
        <v>0</v>
      </c>
      <c r="AE49" s="49"/>
      <c r="AF49" s="84"/>
      <c r="AG49" s="81">
        <f t="shared" si="29"/>
        <v>0</v>
      </c>
      <c r="AH49" s="79">
        <f t="shared" si="38"/>
        <v>0</v>
      </c>
      <c r="AI49" s="48"/>
      <c r="AJ49" s="84"/>
      <c r="AK49" s="81">
        <f t="shared" si="39"/>
        <v>0</v>
      </c>
      <c r="AL49" s="79">
        <f t="shared" si="40"/>
        <v>0</v>
      </c>
      <c r="AM49" s="48"/>
      <c r="AN49" s="84"/>
      <c r="AO49" s="81">
        <f t="shared" si="41"/>
        <v>0</v>
      </c>
      <c r="AP49" s="79">
        <f t="shared" si="42"/>
        <v>0</v>
      </c>
      <c r="AQ49" s="48"/>
      <c r="AR49" s="84"/>
      <c r="AS49" s="81">
        <f t="shared" si="43"/>
        <v>0</v>
      </c>
      <c r="AT49" s="79">
        <f t="shared" si="44"/>
        <v>0</v>
      </c>
      <c r="AU49" s="49"/>
      <c r="AV49" s="84"/>
      <c r="AW49" s="81">
        <v>0</v>
      </c>
      <c r="AX49" s="79">
        <v>0</v>
      </c>
      <c r="AY49" s="49"/>
      <c r="AZ49" s="84"/>
      <c r="BA49" s="81">
        <v>0</v>
      </c>
      <c r="BB49" s="79">
        <v>0</v>
      </c>
      <c r="BC49" s="49"/>
      <c r="BD49" s="84"/>
      <c r="BE49" s="81">
        <v>0</v>
      </c>
      <c r="BF49" s="79">
        <v>0</v>
      </c>
      <c r="BG49" s="49"/>
      <c r="BH49" s="84"/>
      <c r="BI49" s="81">
        <v>0</v>
      </c>
      <c r="BJ49" s="79">
        <v>0</v>
      </c>
      <c r="BK49" s="49"/>
      <c r="BL49" s="84"/>
      <c r="BM49" s="81">
        <v>0</v>
      </c>
      <c r="BN49" s="79">
        <v>0</v>
      </c>
      <c r="BO49" s="49"/>
      <c r="BP49" s="84"/>
      <c r="BQ49" s="81">
        <v>0</v>
      </c>
      <c r="BR49" s="79">
        <v>0</v>
      </c>
      <c r="BS49" s="49"/>
      <c r="BT49" s="84"/>
      <c r="BU49" s="81">
        <f t="shared" si="45"/>
        <v>0</v>
      </c>
      <c r="BV49" s="79">
        <f t="shared" si="46"/>
        <v>0</v>
      </c>
      <c r="BW49" s="48">
        <v>1920</v>
      </c>
      <c r="BX49" s="84"/>
      <c r="BY49" s="81">
        <f t="shared" si="47"/>
        <v>0</v>
      </c>
      <c r="BZ49" s="79">
        <f t="shared" si="48"/>
        <v>0</v>
      </c>
      <c r="CA49" s="48"/>
      <c r="CB49" s="84"/>
      <c r="CC49" s="81">
        <v>0</v>
      </c>
      <c r="CD49" s="79">
        <v>0</v>
      </c>
      <c r="CE49" s="49"/>
      <c r="CF49" s="84"/>
      <c r="CG49" s="81">
        <f t="shared" si="49"/>
        <v>0</v>
      </c>
      <c r="CH49" s="79">
        <f t="shared" si="50"/>
        <v>0</v>
      </c>
      <c r="CI49" s="33"/>
      <c r="CJ49" s="84"/>
      <c r="CK49" s="81">
        <f t="shared" si="51"/>
        <v>0</v>
      </c>
      <c r="CL49" s="79">
        <f t="shared" si="52"/>
        <v>0</v>
      </c>
      <c r="CM49" s="34"/>
      <c r="CN49" s="34"/>
      <c r="CO49" s="34"/>
      <c r="CP49" s="34"/>
      <c r="CQ49" s="50">
        <f t="shared" si="53"/>
        <v>1</v>
      </c>
      <c r="CR49" s="77">
        <f t="shared" si="54"/>
        <v>0</v>
      </c>
      <c r="CS49" s="28"/>
    </row>
    <row r="50" spans="1:97" s="1" customFormat="1">
      <c r="A50" s="30" t="s">
        <v>151</v>
      </c>
      <c r="B50" s="47"/>
      <c r="C50" s="31" t="s">
        <v>123</v>
      </c>
      <c r="D50" s="32"/>
      <c r="E50" s="32"/>
      <c r="F50" s="87"/>
      <c r="G50" s="48"/>
      <c r="H50" s="84"/>
      <c r="I50" s="80">
        <f t="shared" si="25"/>
        <v>0</v>
      </c>
      <c r="J50" s="79">
        <f t="shared" si="26"/>
        <v>0</v>
      </c>
      <c r="K50" s="49"/>
      <c r="L50" s="84"/>
      <c r="M50" s="81">
        <f t="shared" si="30"/>
        <v>0</v>
      </c>
      <c r="N50" s="79">
        <f t="shared" si="31"/>
        <v>0</v>
      </c>
      <c r="O50" s="48"/>
      <c r="P50" s="84"/>
      <c r="Q50" s="81">
        <f t="shared" si="32"/>
        <v>0</v>
      </c>
      <c r="R50" s="79">
        <f t="shared" si="33"/>
        <v>0</v>
      </c>
      <c r="S50" s="49"/>
      <c r="T50" s="84"/>
      <c r="U50" s="81">
        <f t="shared" si="34"/>
        <v>0</v>
      </c>
      <c r="V50" s="79">
        <f t="shared" si="35"/>
        <v>0</v>
      </c>
      <c r="W50" s="49"/>
      <c r="X50" s="84"/>
      <c r="Y50" s="81">
        <f t="shared" si="27"/>
        <v>0</v>
      </c>
      <c r="Z50" s="79">
        <f t="shared" si="36"/>
        <v>0</v>
      </c>
      <c r="AA50" s="49"/>
      <c r="AB50" s="84"/>
      <c r="AC50" s="81">
        <f t="shared" si="28"/>
        <v>0</v>
      </c>
      <c r="AD50" s="79">
        <f t="shared" si="37"/>
        <v>0</v>
      </c>
      <c r="AE50" s="49"/>
      <c r="AF50" s="84"/>
      <c r="AG50" s="81">
        <f t="shared" si="29"/>
        <v>0</v>
      </c>
      <c r="AH50" s="79">
        <f t="shared" si="38"/>
        <v>0</v>
      </c>
      <c r="AI50" s="48"/>
      <c r="AJ50" s="84"/>
      <c r="AK50" s="81">
        <f t="shared" si="39"/>
        <v>0</v>
      </c>
      <c r="AL50" s="79">
        <f t="shared" si="40"/>
        <v>0</v>
      </c>
      <c r="AM50" s="48"/>
      <c r="AN50" s="84"/>
      <c r="AO50" s="81">
        <f t="shared" si="41"/>
        <v>0</v>
      </c>
      <c r="AP50" s="79">
        <f t="shared" si="42"/>
        <v>0</v>
      </c>
      <c r="AQ50" s="48"/>
      <c r="AR50" s="84"/>
      <c r="AS50" s="81">
        <f t="shared" si="43"/>
        <v>0</v>
      </c>
      <c r="AT50" s="79">
        <f t="shared" si="44"/>
        <v>0</v>
      </c>
      <c r="AU50" s="49"/>
      <c r="AV50" s="84"/>
      <c r="AW50" s="81">
        <v>0</v>
      </c>
      <c r="AX50" s="79">
        <v>0</v>
      </c>
      <c r="AY50" s="49"/>
      <c r="AZ50" s="84"/>
      <c r="BA50" s="81">
        <v>0</v>
      </c>
      <c r="BB50" s="79">
        <v>0</v>
      </c>
      <c r="BC50" s="49"/>
      <c r="BD50" s="84"/>
      <c r="BE50" s="81">
        <v>0</v>
      </c>
      <c r="BF50" s="79">
        <v>0</v>
      </c>
      <c r="BG50" s="49"/>
      <c r="BH50" s="84"/>
      <c r="BI50" s="81">
        <v>0</v>
      </c>
      <c r="BJ50" s="79">
        <v>0</v>
      </c>
      <c r="BK50" s="49"/>
      <c r="BL50" s="84"/>
      <c r="BM50" s="81">
        <v>0</v>
      </c>
      <c r="BN50" s="79">
        <v>0</v>
      </c>
      <c r="BO50" s="49"/>
      <c r="BP50" s="84"/>
      <c r="BQ50" s="81">
        <v>0</v>
      </c>
      <c r="BR50" s="79">
        <v>0</v>
      </c>
      <c r="BS50" s="49"/>
      <c r="BT50" s="84"/>
      <c r="BU50" s="81">
        <f t="shared" si="45"/>
        <v>0</v>
      </c>
      <c r="BV50" s="79">
        <f t="shared" si="46"/>
        <v>0</v>
      </c>
      <c r="BW50" s="48"/>
      <c r="BX50" s="84"/>
      <c r="BY50" s="81">
        <f t="shared" si="47"/>
        <v>0</v>
      </c>
      <c r="BZ50" s="79">
        <f t="shared" si="48"/>
        <v>0</v>
      </c>
      <c r="CA50" s="48"/>
      <c r="CB50" s="84"/>
      <c r="CC50" s="81">
        <v>0</v>
      </c>
      <c r="CD50" s="79">
        <v>0</v>
      </c>
      <c r="CE50" s="49"/>
      <c r="CF50" s="84"/>
      <c r="CG50" s="81">
        <f t="shared" si="49"/>
        <v>0</v>
      </c>
      <c r="CH50" s="79">
        <f t="shared" si="50"/>
        <v>0</v>
      </c>
      <c r="CI50" s="33"/>
      <c r="CJ50" s="84"/>
      <c r="CK50" s="81">
        <f t="shared" si="51"/>
        <v>0</v>
      </c>
      <c r="CL50" s="79">
        <f t="shared" si="52"/>
        <v>0</v>
      </c>
      <c r="CM50" s="34"/>
      <c r="CN50" s="34"/>
      <c r="CO50" s="34"/>
      <c r="CP50" s="34"/>
      <c r="CQ50" s="50">
        <f t="shared" si="53"/>
        <v>1</v>
      </c>
      <c r="CR50" s="77">
        <f t="shared" si="54"/>
        <v>0</v>
      </c>
      <c r="CS50" s="28"/>
    </row>
    <row r="51" spans="1:97" s="1" customFormat="1">
      <c r="A51" s="30" t="s">
        <v>152</v>
      </c>
      <c r="B51" s="47"/>
      <c r="C51" s="63" t="s">
        <v>120</v>
      </c>
      <c r="D51" s="32"/>
      <c r="E51" s="32"/>
      <c r="F51" s="87"/>
      <c r="G51" s="48"/>
      <c r="H51" s="84"/>
      <c r="I51" s="80">
        <f t="shared" si="25"/>
        <v>0</v>
      </c>
      <c r="J51" s="79">
        <f t="shared" si="26"/>
        <v>0</v>
      </c>
      <c r="K51" s="49"/>
      <c r="L51" s="84"/>
      <c r="M51" s="81">
        <f t="shared" si="30"/>
        <v>0</v>
      </c>
      <c r="N51" s="79">
        <f t="shared" si="31"/>
        <v>0</v>
      </c>
      <c r="O51" s="48"/>
      <c r="P51" s="84"/>
      <c r="Q51" s="81">
        <f t="shared" si="32"/>
        <v>0</v>
      </c>
      <c r="R51" s="79">
        <f t="shared" si="33"/>
        <v>0</v>
      </c>
      <c r="S51" s="49"/>
      <c r="T51" s="84"/>
      <c r="U51" s="81">
        <f t="shared" si="34"/>
        <v>0</v>
      </c>
      <c r="V51" s="79">
        <f t="shared" si="35"/>
        <v>0</v>
      </c>
      <c r="W51" s="49"/>
      <c r="X51" s="84"/>
      <c r="Y51" s="81">
        <f t="shared" si="27"/>
        <v>0</v>
      </c>
      <c r="Z51" s="79">
        <f t="shared" si="36"/>
        <v>0</v>
      </c>
      <c r="AA51" s="49"/>
      <c r="AB51" s="84"/>
      <c r="AC51" s="81">
        <f t="shared" si="28"/>
        <v>0</v>
      </c>
      <c r="AD51" s="79">
        <f t="shared" si="37"/>
        <v>0</v>
      </c>
      <c r="AE51" s="49"/>
      <c r="AF51" s="84"/>
      <c r="AG51" s="81">
        <f t="shared" si="29"/>
        <v>0</v>
      </c>
      <c r="AH51" s="79">
        <f t="shared" si="38"/>
        <v>0</v>
      </c>
      <c r="AI51" s="48"/>
      <c r="AJ51" s="84"/>
      <c r="AK51" s="81">
        <f t="shared" si="39"/>
        <v>0</v>
      </c>
      <c r="AL51" s="79">
        <f t="shared" si="40"/>
        <v>0</v>
      </c>
      <c r="AM51" s="48"/>
      <c r="AN51" s="84"/>
      <c r="AO51" s="81">
        <f t="shared" si="41"/>
        <v>0</v>
      </c>
      <c r="AP51" s="79">
        <f t="shared" si="42"/>
        <v>0</v>
      </c>
      <c r="AQ51" s="48"/>
      <c r="AR51" s="84"/>
      <c r="AS51" s="81">
        <f t="shared" si="43"/>
        <v>0</v>
      </c>
      <c r="AT51" s="79">
        <f t="shared" si="44"/>
        <v>0</v>
      </c>
      <c r="AU51" s="49"/>
      <c r="AV51" s="84"/>
      <c r="AW51" s="81">
        <v>0</v>
      </c>
      <c r="AX51" s="79">
        <v>0</v>
      </c>
      <c r="AY51" s="49"/>
      <c r="AZ51" s="84"/>
      <c r="BA51" s="81">
        <v>0</v>
      </c>
      <c r="BB51" s="79">
        <v>0</v>
      </c>
      <c r="BC51" s="49"/>
      <c r="BD51" s="84"/>
      <c r="BE51" s="81">
        <v>0</v>
      </c>
      <c r="BF51" s="79">
        <v>0</v>
      </c>
      <c r="BG51" s="49"/>
      <c r="BH51" s="84"/>
      <c r="BI51" s="81">
        <v>0</v>
      </c>
      <c r="BJ51" s="79">
        <v>0</v>
      </c>
      <c r="BK51" s="49"/>
      <c r="BL51" s="84"/>
      <c r="BM51" s="81">
        <v>0</v>
      </c>
      <c r="BN51" s="79">
        <v>0</v>
      </c>
      <c r="BO51" s="49"/>
      <c r="BP51" s="84"/>
      <c r="BQ51" s="81">
        <v>0</v>
      </c>
      <c r="BR51" s="79">
        <v>0</v>
      </c>
      <c r="BS51" s="49"/>
      <c r="BT51" s="84"/>
      <c r="BU51" s="81">
        <f t="shared" si="45"/>
        <v>0</v>
      </c>
      <c r="BV51" s="79">
        <f t="shared" si="46"/>
        <v>0</v>
      </c>
      <c r="BW51" s="48">
        <v>1920</v>
      </c>
      <c r="BX51" s="84"/>
      <c r="BY51" s="81">
        <f t="shared" si="47"/>
        <v>0</v>
      </c>
      <c r="BZ51" s="79">
        <f t="shared" si="48"/>
        <v>0</v>
      </c>
      <c r="CA51" s="48"/>
      <c r="CB51" s="84"/>
      <c r="CC51" s="81">
        <v>0</v>
      </c>
      <c r="CD51" s="79">
        <v>0</v>
      </c>
      <c r="CE51" s="49"/>
      <c r="CF51" s="84"/>
      <c r="CG51" s="81">
        <f t="shared" si="49"/>
        <v>0</v>
      </c>
      <c r="CH51" s="79">
        <f t="shared" si="50"/>
        <v>0</v>
      </c>
      <c r="CI51" s="33"/>
      <c r="CJ51" s="84"/>
      <c r="CK51" s="81">
        <f t="shared" si="51"/>
        <v>0</v>
      </c>
      <c r="CL51" s="79">
        <f t="shared" si="52"/>
        <v>0</v>
      </c>
      <c r="CM51" s="34"/>
      <c r="CN51" s="34"/>
      <c r="CO51" s="34"/>
      <c r="CP51" s="34"/>
      <c r="CQ51" s="50">
        <f t="shared" si="53"/>
        <v>1</v>
      </c>
      <c r="CR51" s="77">
        <f t="shared" si="54"/>
        <v>0</v>
      </c>
      <c r="CS51" s="28"/>
    </row>
    <row r="52" spans="1:97" s="1" customFormat="1">
      <c r="A52" s="30" t="s">
        <v>152</v>
      </c>
      <c r="B52" s="47"/>
      <c r="C52" s="31" t="s">
        <v>123</v>
      </c>
      <c r="D52" s="32"/>
      <c r="E52" s="32"/>
      <c r="F52" s="87"/>
      <c r="G52" s="48">
        <v>960</v>
      </c>
      <c r="H52" s="84"/>
      <c r="I52" s="80">
        <f t="shared" si="25"/>
        <v>0</v>
      </c>
      <c r="J52" s="79">
        <f t="shared" si="26"/>
        <v>0</v>
      </c>
      <c r="K52" s="49"/>
      <c r="L52" s="84"/>
      <c r="M52" s="81">
        <f t="shared" si="30"/>
        <v>0</v>
      </c>
      <c r="N52" s="79">
        <f t="shared" si="31"/>
        <v>0</v>
      </c>
      <c r="O52" s="48"/>
      <c r="P52" s="84"/>
      <c r="Q52" s="81">
        <f t="shared" si="32"/>
        <v>0</v>
      </c>
      <c r="R52" s="79">
        <f t="shared" si="33"/>
        <v>0</v>
      </c>
      <c r="S52" s="49"/>
      <c r="T52" s="84"/>
      <c r="U52" s="81">
        <f t="shared" si="34"/>
        <v>0</v>
      </c>
      <c r="V52" s="79">
        <f t="shared" si="35"/>
        <v>0</v>
      </c>
      <c r="W52" s="49"/>
      <c r="X52" s="84"/>
      <c r="Y52" s="81">
        <f t="shared" si="27"/>
        <v>0</v>
      </c>
      <c r="Z52" s="79">
        <f t="shared" si="36"/>
        <v>0</v>
      </c>
      <c r="AA52" s="49"/>
      <c r="AB52" s="84"/>
      <c r="AC52" s="81">
        <f t="shared" si="28"/>
        <v>0</v>
      </c>
      <c r="AD52" s="79">
        <f t="shared" si="37"/>
        <v>0</v>
      </c>
      <c r="AE52" s="49"/>
      <c r="AF52" s="84"/>
      <c r="AG52" s="81">
        <f t="shared" si="29"/>
        <v>0</v>
      </c>
      <c r="AH52" s="79">
        <f t="shared" si="38"/>
        <v>0</v>
      </c>
      <c r="AI52" s="48"/>
      <c r="AJ52" s="84"/>
      <c r="AK52" s="81">
        <f t="shared" si="39"/>
        <v>0</v>
      </c>
      <c r="AL52" s="79">
        <f t="shared" si="40"/>
        <v>0</v>
      </c>
      <c r="AM52" s="48"/>
      <c r="AN52" s="84"/>
      <c r="AO52" s="81">
        <f t="shared" si="41"/>
        <v>0</v>
      </c>
      <c r="AP52" s="79">
        <f t="shared" si="42"/>
        <v>0</v>
      </c>
      <c r="AQ52" s="48"/>
      <c r="AR52" s="84"/>
      <c r="AS52" s="81">
        <f t="shared" si="43"/>
        <v>0</v>
      </c>
      <c r="AT52" s="79">
        <f t="shared" si="44"/>
        <v>0</v>
      </c>
      <c r="AU52" s="49"/>
      <c r="AV52" s="84"/>
      <c r="AW52" s="81">
        <f t="shared" ref="AW52:AW59" si="55">AV52*CQ52</f>
        <v>0</v>
      </c>
      <c r="AX52" s="79">
        <f t="shared" ref="AX52:AX59" si="56">AU52*AW52</f>
        <v>0</v>
      </c>
      <c r="AY52" s="49"/>
      <c r="AZ52" s="84"/>
      <c r="BA52" s="81">
        <f t="shared" ref="BA52:BA59" si="57">AZ52*CQ52</f>
        <v>0</v>
      </c>
      <c r="BB52" s="79">
        <f t="shared" ref="BB52:BB59" si="58">AY52*BA52</f>
        <v>0</v>
      </c>
      <c r="BC52" s="49"/>
      <c r="BD52" s="84"/>
      <c r="BE52" s="81">
        <f t="shared" ref="BE52:BE59" si="59">BD52*CQ52</f>
        <v>0</v>
      </c>
      <c r="BF52" s="79">
        <f t="shared" ref="BF52:BF59" si="60">BC52*BE52</f>
        <v>0</v>
      </c>
      <c r="BG52" s="49"/>
      <c r="BH52" s="84"/>
      <c r="BI52" s="81">
        <f t="shared" ref="BI52:BI59" si="61">BH52*CQ52</f>
        <v>0</v>
      </c>
      <c r="BJ52" s="79">
        <f t="shared" ref="BJ52:BJ59" si="62">BG52*BI52</f>
        <v>0</v>
      </c>
      <c r="BK52" s="49"/>
      <c r="BL52" s="84"/>
      <c r="BM52" s="81">
        <f t="shared" ref="BM52:BM59" si="63">BL52*CQ52</f>
        <v>0</v>
      </c>
      <c r="BN52" s="79">
        <f t="shared" ref="BN52:BN59" si="64">BK52*BM52</f>
        <v>0</v>
      </c>
      <c r="BO52" s="49"/>
      <c r="BP52" s="84"/>
      <c r="BQ52" s="81">
        <f t="shared" ref="BQ52:BQ59" si="65">BP52*CQ52</f>
        <v>0</v>
      </c>
      <c r="BR52" s="79">
        <f t="shared" ref="BR52:BR59" si="66">BO52*BQ52</f>
        <v>0</v>
      </c>
      <c r="BS52" s="49"/>
      <c r="BT52" s="84"/>
      <c r="BU52" s="81">
        <f t="shared" si="45"/>
        <v>0</v>
      </c>
      <c r="BV52" s="79">
        <f t="shared" si="46"/>
        <v>0</v>
      </c>
      <c r="BW52" s="48">
        <v>1920</v>
      </c>
      <c r="BX52" s="84"/>
      <c r="BY52" s="81">
        <f t="shared" si="47"/>
        <v>0</v>
      </c>
      <c r="BZ52" s="79">
        <f t="shared" si="48"/>
        <v>0</v>
      </c>
      <c r="CA52" s="48"/>
      <c r="CB52" s="84"/>
      <c r="CC52" s="81">
        <v>0</v>
      </c>
      <c r="CD52" s="79">
        <v>0</v>
      </c>
      <c r="CE52" s="49"/>
      <c r="CF52" s="84"/>
      <c r="CG52" s="81">
        <f t="shared" si="49"/>
        <v>0</v>
      </c>
      <c r="CH52" s="79">
        <f t="shared" si="50"/>
        <v>0</v>
      </c>
      <c r="CI52" s="33"/>
      <c r="CJ52" s="84"/>
      <c r="CK52" s="81">
        <f t="shared" si="51"/>
        <v>0</v>
      </c>
      <c r="CL52" s="79">
        <f t="shared" si="52"/>
        <v>0</v>
      </c>
      <c r="CM52" s="34"/>
      <c r="CN52" s="34"/>
      <c r="CO52" s="34"/>
      <c r="CP52" s="34"/>
      <c r="CQ52" s="50">
        <f t="shared" si="53"/>
        <v>1</v>
      </c>
      <c r="CR52" s="77">
        <f t="shared" si="54"/>
        <v>0</v>
      </c>
      <c r="CS52" s="28"/>
    </row>
    <row r="53" spans="1:97">
      <c r="A53" s="37" t="s">
        <v>153</v>
      </c>
      <c r="B53" s="55"/>
      <c r="C53" s="63" t="s">
        <v>120</v>
      </c>
      <c r="D53" s="32"/>
      <c r="E53" s="32"/>
      <c r="F53" s="87"/>
      <c r="G53" s="48"/>
      <c r="H53" s="84"/>
      <c r="I53" s="80">
        <f t="shared" si="25"/>
        <v>0</v>
      </c>
      <c r="J53" s="79">
        <f t="shared" si="26"/>
        <v>0</v>
      </c>
      <c r="K53" s="49"/>
      <c r="L53" s="84"/>
      <c r="M53" s="81">
        <f t="shared" si="30"/>
        <v>0</v>
      </c>
      <c r="N53" s="79">
        <f t="shared" si="31"/>
        <v>0</v>
      </c>
      <c r="O53" s="48"/>
      <c r="P53" s="84"/>
      <c r="Q53" s="81">
        <f t="shared" si="32"/>
        <v>0</v>
      </c>
      <c r="R53" s="79">
        <f t="shared" si="33"/>
        <v>0</v>
      </c>
      <c r="S53" s="49"/>
      <c r="T53" s="84"/>
      <c r="U53" s="81">
        <f t="shared" si="34"/>
        <v>0</v>
      </c>
      <c r="V53" s="79">
        <f t="shared" si="35"/>
        <v>0</v>
      </c>
      <c r="W53" s="49"/>
      <c r="X53" s="84"/>
      <c r="Y53" s="81">
        <f t="shared" si="27"/>
        <v>0</v>
      </c>
      <c r="Z53" s="79">
        <f t="shared" si="36"/>
        <v>0</v>
      </c>
      <c r="AA53" s="49"/>
      <c r="AB53" s="84"/>
      <c r="AC53" s="81">
        <f t="shared" si="28"/>
        <v>0</v>
      </c>
      <c r="AD53" s="79">
        <f t="shared" si="37"/>
        <v>0</v>
      </c>
      <c r="AE53" s="49"/>
      <c r="AF53" s="84"/>
      <c r="AG53" s="81">
        <f t="shared" si="29"/>
        <v>0</v>
      </c>
      <c r="AH53" s="79">
        <f t="shared" si="38"/>
        <v>0</v>
      </c>
      <c r="AI53" s="48"/>
      <c r="AJ53" s="84"/>
      <c r="AK53" s="81">
        <f t="shared" si="39"/>
        <v>0</v>
      </c>
      <c r="AL53" s="79">
        <f t="shared" si="40"/>
        <v>0</v>
      </c>
      <c r="AM53" s="48"/>
      <c r="AN53" s="84"/>
      <c r="AO53" s="81">
        <f t="shared" si="41"/>
        <v>0</v>
      </c>
      <c r="AP53" s="79">
        <f t="shared" si="42"/>
        <v>0</v>
      </c>
      <c r="AQ53" s="48"/>
      <c r="AR53" s="84"/>
      <c r="AS53" s="81">
        <f t="shared" si="43"/>
        <v>0</v>
      </c>
      <c r="AT53" s="79">
        <f t="shared" si="44"/>
        <v>0</v>
      </c>
      <c r="AU53" s="49"/>
      <c r="AV53" s="84"/>
      <c r="AW53" s="81">
        <f t="shared" si="55"/>
        <v>0</v>
      </c>
      <c r="AX53" s="79">
        <f t="shared" si="56"/>
        <v>0</v>
      </c>
      <c r="AY53" s="49"/>
      <c r="AZ53" s="84"/>
      <c r="BA53" s="81">
        <f t="shared" si="57"/>
        <v>0</v>
      </c>
      <c r="BB53" s="79">
        <f t="shared" si="58"/>
        <v>0</v>
      </c>
      <c r="BC53" s="49"/>
      <c r="BD53" s="84"/>
      <c r="BE53" s="81">
        <f t="shared" si="59"/>
        <v>0</v>
      </c>
      <c r="BF53" s="79">
        <f t="shared" si="60"/>
        <v>0</v>
      </c>
      <c r="BG53" s="49"/>
      <c r="BH53" s="84"/>
      <c r="BI53" s="81">
        <f t="shared" si="61"/>
        <v>0</v>
      </c>
      <c r="BJ53" s="79">
        <f t="shared" si="62"/>
        <v>0</v>
      </c>
      <c r="BK53" s="49"/>
      <c r="BL53" s="84"/>
      <c r="BM53" s="81">
        <f t="shared" si="63"/>
        <v>0</v>
      </c>
      <c r="BN53" s="79">
        <f t="shared" si="64"/>
        <v>0</v>
      </c>
      <c r="BO53" s="49"/>
      <c r="BP53" s="84"/>
      <c r="BQ53" s="81">
        <f t="shared" si="65"/>
        <v>0</v>
      </c>
      <c r="BR53" s="79">
        <f t="shared" si="66"/>
        <v>0</v>
      </c>
      <c r="BS53" s="49"/>
      <c r="BT53" s="84"/>
      <c r="BU53" s="81">
        <f t="shared" si="45"/>
        <v>0</v>
      </c>
      <c r="BV53" s="79">
        <f t="shared" si="46"/>
        <v>0</v>
      </c>
      <c r="BW53" s="48">
        <v>480</v>
      </c>
      <c r="BX53" s="84"/>
      <c r="BY53" s="81">
        <f t="shared" si="47"/>
        <v>0</v>
      </c>
      <c r="BZ53" s="79">
        <f t="shared" si="48"/>
        <v>0</v>
      </c>
      <c r="CA53" s="48"/>
      <c r="CB53" s="84"/>
      <c r="CC53" s="81">
        <v>0</v>
      </c>
      <c r="CD53" s="79">
        <v>0</v>
      </c>
      <c r="CE53" s="49"/>
      <c r="CF53" s="84"/>
      <c r="CG53" s="81">
        <f t="shared" si="49"/>
        <v>0</v>
      </c>
      <c r="CH53" s="79">
        <f t="shared" si="50"/>
        <v>0</v>
      </c>
      <c r="CI53" s="33"/>
      <c r="CJ53" s="84"/>
      <c r="CK53" s="81">
        <f t="shared" si="51"/>
        <v>0</v>
      </c>
      <c r="CL53" s="79">
        <f t="shared" si="52"/>
        <v>0</v>
      </c>
      <c r="CM53" s="34"/>
      <c r="CN53" s="34"/>
      <c r="CO53" s="34"/>
      <c r="CP53" s="34"/>
      <c r="CQ53" s="50">
        <f t="shared" si="53"/>
        <v>1</v>
      </c>
      <c r="CR53" s="77">
        <f t="shared" si="54"/>
        <v>0</v>
      </c>
      <c r="CS53" s="28"/>
    </row>
    <row r="54" spans="1:97">
      <c r="A54" s="37" t="s">
        <v>153</v>
      </c>
      <c r="B54" s="55"/>
      <c r="C54" s="31" t="s">
        <v>121</v>
      </c>
      <c r="D54" s="32"/>
      <c r="E54" s="32"/>
      <c r="F54" s="87"/>
      <c r="G54" s="48"/>
      <c r="H54" s="84"/>
      <c r="I54" s="80">
        <f t="shared" si="25"/>
        <v>0</v>
      </c>
      <c r="J54" s="79">
        <f t="shared" si="26"/>
        <v>0</v>
      </c>
      <c r="K54" s="49"/>
      <c r="L54" s="84"/>
      <c r="M54" s="81">
        <f t="shared" si="30"/>
        <v>0</v>
      </c>
      <c r="N54" s="79">
        <f t="shared" si="31"/>
        <v>0</v>
      </c>
      <c r="O54" s="48"/>
      <c r="P54" s="84"/>
      <c r="Q54" s="81">
        <f t="shared" si="32"/>
        <v>0</v>
      </c>
      <c r="R54" s="79">
        <f t="shared" si="33"/>
        <v>0</v>
      </c>
      <c r="S54" s="49"/>
      <c r="T54" s="84"/>
      <c r="U54" s="81">
        <f t="shared" si="34"/>
        <v>0</v>
      </c>
      <c r="V54" s="79">
        <f t="shared" si="35"/>
        <v>0</v>
      </c>
      <c r="W54" s="49"/>
      <c r="X54" s="84"/>
      <c r="Y54" s="81">
        <f t="shared" si="27"/>
        <v>0</v>
      </c>
      <c r="Z54" s="79">
        <f t="shared" si="36"/>
        <v>0</v>
      </c>
      <c r="AA54" s="49"/>
      <c r="AB54" s="84"/>
      <c r="AC54" s="81">
        <f t="shared" si="28"/>
        <v>0</v>
      </c>
      <c r="AD54" s="79">
        <f t="shared" si="37"/>
        <v>0</v>
      </c>
      <c r="AE54" s="49"/>
      <c r="AF54" s="84"/>
      <c r="AG54" s="81">
        <f t="shared" si="29"/>
        <v>0</v>
      </c>
      <c r="AH54" s="79">
        <f t="shared" si="38"/>
        <v>0</v>
      </c>
      <c r="AI54" s="48"/>
      <c r="AJ54" s="84"/>
      <c r="AK54" s="81">
        <f t="shared" si="39"/>
        <v>0</v>
      </c>
      <c r="AL54" s="79">
        <f t="shared" si="40"/>
        <v>0</v>
      </c>
      <c r="AM54" s="48"/>
      <c r="AN54" s="84"/>
      <c r="AO54" s="81">
        <f t="shared" si="41"/>
        <v>0</v>
      </c>
      <c r="AP54" s="79">
        <f t="shared" si="42"/>
        <v>0</v>
      </c>
      <c r="AQ54" s="48"/>
      <c r="AR54" s="84"/>
      <c r="AS54" s="81">
        <f t="shared" si="43"/>
        <v>0</v>
      </c>
      <c r="AT54" s="79">
        <f t="shared" si="44"/>
        <v>0</v>
      </c>
      <c r="AU54" s="49"/>
      <c r="AV54" s="84"/>
      <c r="AW54" s="81">
        <f t="shared" si="55"/>
        <v>0</v>
      </c>
      <c r="AX54" s="79">
        <f t="shared" si="56"/>
        <v>0</v>
      </c>
      <c r="AY54" s="49"/>
      <c r="AZ54" s="84"/>
      <c r="BA54" s="81">
        <f t="shared" si="57"/>
        <v>0</v>
      </c>
      <c r="BB54" s="79">
        <f t="shared" si="58"/>
        <v>0</v>
      </c>
      <c r="BC54" s="49"/>
      <c r="BD54" s="84"/>
      <c r="BE54" s="81">
        <f t="shared" si="59"/>
        <v>0</v>
      </c>
      <c r="BF54" s="79">
        <f t="shared" si="60"/>
        <v>0</v>
      </c>
      <c r="BG54" s="49"/>
      <c r="BH54" s="84"/>
      <c r="BI54" s="81">
        <f t="shared" si="61"/>
        <v>0</v>
      </c>
      <c r="BJ54" s="79">
        <f t="shared" si="62"/>
        <v>0</v>
      </c>
      <c r="BK54" s="49"/>
      <c r="BL54" s="84"/>
      <c r="BM54" s="81">
        <f t="shared" si="63"/>
        <v>0</v>
      </c>
      <c r="BN54" s="79">
        <f t="shared" si="64"/>
        <v>0</v>
      </c>
      <c r="BO54" s="49"/>
      <c r="BP54" s="84"/>
      <c r="BQ54" s="81">
        <f t="shared" si="65"/>
        <v>0</v>
      </c>
      <c r="BR54" s="79">
        <f t="shared" si="66"/>
        <v>0</v>
      </c>
      <c r="BS54" s="49"/>
      <c r="BT54" s="84"/>
      <c r="BU54" s="81">
        <f t="shared" si="45"/>
        <v>0</v>
      </c>
      <c r="BV54" s="79">
        <f t="shared" si="46"/>
        <v>0</v>
      </c>
      <c r="BW54" s="48">
        <v>480</v>
      </c>
      <c r="BX54" s="84"/>
      <c r="BY54" s="81">
        <f t="shared" si="47"/>
        <v>0</v>
      </c>
      <c r="BZ54" s="79">
        <f t="shared" si="48"/>
        <v>0</v>
      </c>
      <c r="CA54" s="48"/>
      <c r="CB54" s="84"/>
      <c r="CC54" s="81">
        <v>0</v>
      </c>
      <c r="CD54" s="79">
        <v>0</v>
      </c>
      <c r="CE54" s="49"/>
      <c r="CF54" s="84"/>
      <c r="CG54" s="81">
        <f t="shared" si="49"/>
        <v>0</v>
      </c>
      <c r="CH54" s="79">
        <f t="shared" si="50"/>
        <v>0</v>
      </c>
      <c r="CI54" s="33"/>
      <c r="CJ54" s="84"/>
      <c r="CK54" s="81">
        <f t="shared" si="51"/>
        <v>0</v>
      </c>
      <c r="CL54" s="79">
        <f t="shared" si="52"/>
        <v>0</v>
      </c>
      <c r="CM54" s="34"/>
      <c r="CN54" s="34"/>
      <c r="CO54" s="34"/>
      <c r="CP54" s="34"/>
      <c r="CQ54" s="50">
        <f t="shared" si="53"/>
        <v>1</v>
      </c>
      <c r="CR54" s="77">
        <f t="shared" si="54"/>
        <v>0</v>
      </c>
      <c r="CS54" s="28"/>
    </row>
    <row r="55" spans="1:97">
      <c r="A55" s="38" t="s">
        <v>154</v>
      </c>
      <c r="B55" s="56"/>
      <c r="C55" s="31" t="s">
        <v>123</v>
      </c>
      <c r="D55" s="32"/>
      <c r="E55" s="32"/>
      <c r="F55" s="87"/>
      <c r="G55" s="48"/>
      <c r="H55" s="84"/>
      <c r="I55" s="80">
        <f t="shared" si="25"/>
        <v>0</v>
      </c>
      <c r="J55" s="79">
        <f t="shared" si="26"/>
        <v>0</v>
      </c>
      <c r="K55" s="49"/>
      <c r="L55" s="84"/>
      <c r="M55" s="81">
        <f t="shared" si="30"/>
        <v>0</v>
      </c>
      <c r="N55" s="79">
        <f t="shared" si="31"/>
        <v>0</v>
      </c>
      <c r="O55" s="48"/>
      <c r="P55" s="84"/>
      <c r="Q55" s="81">
        <f t="shared" si="32"/>
        <v>0</v>
      </c>
      <c r="R55" s="79">
        <f t="shared" si="33"/>
        <v>0</v>
      </c>
      <c r="S55" s="49"/>
      <c r="T55" s="84"/>
      <c r="U55" s="81">
        <f t="shared" si="34"/>
        <v>0</v>
      </c>
      <c r="V55" s="79">
        <f t="shared" si="35"/>
        <v>0</v>
      </c>
      <c r="W55" s="49"/>
      <c r="X55" s="84"/>
      <c r="Y55" s="81">
        <f t="shared" si="27"/>
        <v>0</v>
      </c>
      <c r="Z55" s="79">
        <f t="shared" si="36"/>
        <v>0</v>
      </c>
      <c r="AA55" s="49"/>
      <c r="AB55" s="84"/>
      <c r="AC55" s="81">
        <f t="shared" si="28"/>
        <v>0</v>
      </c>
      <c r="AD55" s="79">
        <f t="shared" si="37"/>
        <v>0</v>
      </c>
      <c r="AE55" s="49"/>
      <c r="AF55" s="84"/>
      <c r="AG55" s="81">
        <f t="shared" si="29"/>
        <v>0</v>
      </c>
      <c r="AH55" s="79">
        <f t="shared" si="38"/>
        <v>0</v>
      </c>
      <c r="AI55" s="48"/>
      <c r="AJ55" s="84"/>
      <c r="AK55" s="81">
        <f t="shared" si="39"/>
        <v>0</v>
      </c>
      <c r="AL55" s="79">
        <f t="shared" si="40"/>
        <v>0</v>
      </c>
      <c r="AM55" s="48"/>
      <c r="AN55" s="84"/>
      <c r="AO55" s="81">
        <f t="shared" si="41"/>
        <v>0</v>
      </c>
      <c r="AP55" s="79">
        <f t="shared" si="42"/>
        <v>0</v>
      </c>
      <c r="AQ55" s="48"/>
      <c r="AR55" s="84"/>
      <c r="AS55" s="81">
        <f t="shared" si="43"/>
        <v>0</v>
      </c>
      <c r="AT55" s="79">
        <f t="shared" si="44"/>
        <v>0</v>
      </c>
      <c r="AU55" s="49"/>
      <c r="AV55" s="84"/>
      <c r="AW55" s="81">
        <f t="shared" si="55"/>
        <v>0</v>
      </c>
      <c r="AX55" s="79">
        <f t="shared" si="56"/>
        <v>0</v>
      </c>
      <c r="AY55" s="49"/>
      <c r="AZ55" s="84"/>
      <c r="BA55" s="81">
        <f t="shared" si="57"/>
        <v>0</v>
      </c>
      <c r="BB55" s="79">
        <f t="shared" si="58"/>
        <v>0</v>
      </c>
      <c r="BC55" s="49"/>
      <c r="BD55" s="84"/>
      <c r="BE55" s="81">
        <f t="shared" si="59"/>
        <v>0</v>
      </c>
      <c r="BF55" s="79">
        <f t="shared" si="60"/>
        <v>0</v>
      </c>
      <c r="BG55" s="49"/>
      <c r="BH55" s="84"/>
      <c r="BI55" s="81">
        <f t="shared" si="61"/>
        <v>0</v>
      </c>
      <c r="BJ55" s="79">
        <f t="shared" si="62"/>
        <v>0</v>
      </c>
      <c r="BK55" s="49"/>
      <c r="BL55" s="84"/>
      <c r="BM55" s="81">
        <f t="shared" si="63"/>
        <v>0</v>
      </c>
      <c r="BN55" s="79">
        <f t="shared" si="64"/>
        <v>0</v>
      </c>
      <c r="BO55" s="49"/>
      <c r="BP55" s="84"/>
      <c r="BQ55" s="81">
        <f t="shared" si="65"/>
        <v>0</v>
      </c>
      <c r="BR55" s="79">
        <f t="shared" si="66"/>
        <v>0</v>
      </c>
      <c r="BS55" s="49"/>
      <c r="BT55" s="84"/>
      <c r="BU55" s="81">
        <f t="shared" si="45"/>
        <v>0</v>
      </c>
      <c r="BV55" s="79">
        <f t="shared" si="46"/>
        <v>0</v>
      </c>
      <c r="BW55" s="48">
        <v>3840</v>
      </c>
      <c r="BX55" s="84"/>
      <c r="BY55" s="81">
        <f t="shared" si="47"/>
        <v>0</v>
      </c>
      <c r="BZ55" s="79">
        <f t="shared" si="48"/>
        <v>0</v>
      </c>
      <c r="CA55" s="48"/>
      <c r="CB55" s="84"/>
      <c r="CC55" s="81">
        <v>0</v>
      </c>
      <c r="CD55" s="79">
        <v>0</v>
      </c>
      <c r="CE55" s="49"/>
      <c r="CF55" s="84"/>
      <c r="CG55" s="81">
        <f t="shared" si="49"/>
        <v>0</v>
      </c>
      <c r="CH55" s="79">
        <f t="shared" si="50"/>
        <v>0</v>
      </c>
      <c r="CI55" s="33"/>
      <c r="CJ55" s="84"/>
      <c r="CK55" s="81">
        <f t="shared" si="51"/>
        <v>0</v>
      </c>
      <c r="CL55" s="79">
        <f t="shared" si="52"/>
        <v>0</v>
      </c>
      <c r="CM55" s="34"/>
      <c r="CN55" s="34"/>
      <c r="CO55" s="34"/>
      <c r="CP55" s="34"/>
      <c r="CQ55" s="50">
        <f t="shared" si="53"/>
        <v>1</v>
      </c>
      <c r="CR55" s="77">
        <f t="shared" si="54"/>
        <v>0</v>
      </c>
      <c r="CS55" s="28"/>
    </row>
    <row r="56" spans="1:97">
      <c r="A56" s="30" t="s">
        <v>155</v>
      </c>
      <c r="B56" s="47"/>
      <c r="C56" s="63" t="s">
        <v>120</v>
      </c>
      <c r="D56" s="32"/>
      <c r="E56" s="32"/>
      <c r="F56" s="87"/>
      <c r="G56" s="48"/>
      <c r="H56" s="84"/>
      <c r="I56" s="80">
        <f t="shared" si="25"/>
        <v>0</v>
      </c>
      <c r="J56" s="79">
        <f t="shared" si="26"/>
        <v>0</v>
      </c>
      <c r="K56" s="49"/>
      <c r="L56" s="84"/>
      <c r="M56" s="81">
        <f t="shared" si="30"/>
        <v>0</v>
      </c>
      <c r="N56" s="79">
        <f t="shared" si="31"/>
        <v>0</v>
      </c>
      <c r="O56" s="48"/>
      <c r="P56" s="84"/>
      <c r="Q56" s="81">
        <f t="shared" si="32"/>
        <v>0</v>
      </c>
      <c r="R56" s="79">
        <f t="shared" si="33"/>
        <v>0</v>
      </c>
      <c r="S56" s="49"/>
      <c r="T56" s="84"/>
      <c r="U56" s="81">
        <f t="shared" si="34"/>
        <v>0</v>
      </c>
      <c r="V56" s="79">
        <f t="shared" si="35"/>
        <v>0</v>
      </c>
      <c r="W56" s="49"/>
      <c r="X56" s="84"/>
      <c r="Y56" s="81">
        <f t="shared" si="27"/>
        <v>0</v>
      </c>
      <c r="Z56" s="79">
        <f t="shared" si="36"/>
        <v>0</v>
      </c>
      <c r="AA56" s="49"/>
      <c r="AB56" s="84"/>
      <c r="AC56" s="81">
        <f t="shared" si="28"/>
        <v>0</v>
      </c>
      <c r="AD56" s="79">
        <f t="shared" si="37"/>
        <v>0</v>
      </c>
      <c r="AE56" s="49"/>
      <c r="AF56" s="84"/>
      <c r="AG56" s="81">
        <f t="shared" si="29"/>
        <v>0</v>
      </c>
      <c r="AH56" s="79">
        <f t="shared" si="38"/>
        <v>0</v>
      </c>
      <c r="AI56" s="48"/>
      <c r="AJ56" s="84"/>
      <c r="AK56" s="81">
        <f t="shared" si="39"/>
        <v>0</v>
      </c>
      <c r="AL56" s="79">
        <f t="shared" si="40"/>
        <v>0</v>
      </c>
      <c r="AM56" s="48"/>
      <c r="AN56" s="84"/>
      <c r="AO56" s="81">
        <f t="shared" si="41"/>
        <v>0</v>
      </c>
      <c r="AP56" s="79">
        <f t="shared" si="42"/>
        <v>0</v>
      </c>
      <c r="AQ56" s="48"/>
      <c r="AR56" s="84"/>
      <c r="AS56" s="81">
        <f t="shared" si="43"/>
        <v>0</v>
      </c>
      <c r="AT56" s="79">
        <f t="shared" si="44"/>
        <v>0</v>
      </c>
      <c r="AU56" s="49"/>
      <c r="AV56" s="84"/>
      <c r="AW56" s="81">
        <f t="shared" si="55"/>
        <v>0</v>
      </c>
      <c r="AX56" s="79">
        <f t="shared" si="56"/>
        <v>0</v>
      </c>
      <c r="AY56" s="49"/>
      <c r="AZ56" s="84"/>
      <c r="BA56" s="81">
        <f t="shared" si="57"/>
        <v>0</v>
      </c>
      <c r="BB56" s="79">
        <f t="shared" si="58"/>
        <v>0</v>
      </c>
      <c r="BC56" s="49"/>
      <c r="BD56" s="84"/>
      <c r="BE56" s="81">
        <f t="shared" si="59"/>
        <v>0</v>
      </c>
      <c r="BF56" s="79">
        <f t="shared" si="60"/>
        <v>0</v>
      </c>
      <c r="BG56" s="49"/>
      <c r="BH56" s="84"/>
      <c r="BI56" s="81">
        <f t="shared" si="61"/>
        <v>0</v>
      </c>
      <c r="BJ56" s="79">
        <f t="shared" si="62"/>
        <v>0</v>
      </c>
      <c r="BK56" s="49"/>
      <c r="BL56" s="84"/>
      <c r="BM56" s="81">
        <f t="shared" si="63"/>
        <v>0</v>
      </c>
      <c r="BN56" s="79">
        <f t="shared" si="64"/>
        <v>0</v>
      </c>
      <c r="BO56" s="49"/>
      <c r="BP56" s="84"/>
      <c r="BQ56" s="81">
        <f t="shared" si="65"/>
        <v>0</v>
      </c>
      <c r="BR56" s="79">
        <f t="shared" si="66"/>
        <v>0</v>
      </c>
      <c r="BS56" s="49"/>
      <c r="BT56" s="84"/>
      <c r="BU56" s="81">
        <f t="shared" si="45"/>
        <v>0</v>
      </c>
      <c r="BV56" s="79">
        <f t="shared" si="46"/>
        <v>0</v>
      </c>
      <c r="BW56" s="48">
        <v>480</v>
      </c>
      <c r="BX56" s="84"/>
      <c r="BY56" s="81">
        <f t="shared" si="47"/>
        <v>0</v>
      </c>
      <c r="BZ56" s="79">
        <f t="shared" si="48"/>
        <v>0</v>
      </c>
      <c r="CA56" s="48"/>
      <c r="CB56" s="84"/>
      <c r="CC56" s="81">
        <v>0</v>
      </c>
      <c r="CD56" s="79">
        <v>0</v>
      </c>
      <c r="CE56" s="49"/>
      <c r="CF56" s="84"/>
      <c r="CG56" s="81">
        <f t="shared" si="49"/>
        <v>0</v>
      </c>
      <c r="CH56" s="79">
        <f t="shared" si="50"/>
        <v>0</v>
      </c>
      <c r="CI56" s="33"/>
      <c r="CJ56" s="84"/>
      <c r="CK56" s="81">
        <f t="shared" si="51"/>
        <v>0</v>
      </c>
      <c r="CL56" s="79">
        <f t="shared" si="52"/>
        <v>0</v>
      </c>
      <c r="CM56" s="34"/>
      <c r="CN56" s="34"/>
      <c r="CO56" s="34"/>
      <c r="CP56" s="34"/>
      <c r="CQ56" s="50">
        <f t="shared" si="53"/>
        <v>1</v>
      </c>
      <c r="CR56" s="77">
        <f t="shared" si="54"/>
        <v>0</v>
      </c>
      <c r="CS56" s="28"/>
    </row>
    <row r="57" spans="1:97">
      <c r="A57" s="30" t="s">
        <v>155</v>
      </c>
      <c r="B57" s="47"/>
      <c r="C57" s="31" t="s">
        <v>121</v>
      </c>
      <c r="D57" s="32"/>
      <c r="E57" s="32"/>
      <c r="F57" s="87"/>
      <c r="G57" s="48"/>
      <c r="H57" s="84"/>
      <c r="I57" s="80">
        <f t="shared" si="25"/>
        <v>0</v>
      </c>
      <c r="J57" s="79">
        <f t="shared" si="26"/>
        <v>0</v>
      </c>
      <c r="K57" s="49"/>
      <c r="L57" s="84"/>
      <c r="M57" s="81">
        <f t="shared" si="30"/>
        <v>0</v>
      </c>
      <c r="N57" s="79">
        <f t="shared" si="31"/>
        <v>0</v>
      </c>
      <c r="O57" s="48"/>
      <c r="P57" s="84"/>
      <c r="Q57" s="81">
        <f t="shared" si="32"/>
        <v>0</v>
      </c>
      <c r="R57" s="79">
        <f t="shared" si="33"/>
        <v>0</v>
      </c>
      <c r="S57" s="49"/>
      <c r="T57" s="84"/>
      <c r="U57" s="81">
        <f t="shared" si="34"/>
        <v>0</v>
      </c>
      <c r="V57" s="79">
        <f t="shared" si="35"/>
        <v>0</v>
      </c>
      <c r="W57" s="49"/>
      <c r="X57" s="84"/>
      <c r="Y57" s="81">
        <f t="shared" si="27"/>
        <v>0</v>
      </c>
      <c r="Z57" s="79">
        <f t="shared" si="36"/>
        <v>0</v>
      </c>
      <c r="AA57" s="49"/>
      <c r="AB57" s="84"/>
      <c r="AC57" s="81">
        <f t="shared" si="28"/>
        <v>0</v>
      </c>
      <c r="AD57" s="79">
        <f t="shared" si="37"/>
        <v>0</v>
      </c>
      <c r="AE57" s="49"/>
      <c r="AF57" s="84"/>
      <c r="AG57" s="81">
        <f t="shared" si="29"/>
        <v>0</v>
      </c>
      <c r="AH57" s="79">
        <f t="shared" si="38"/>
        <v>0</v>
      </c>
      <c r="AI57" s="48"/>
      <c r="AJ57" s="84"/>
      <c r="AK57" s="81">
        <f t="shared" si="39"/>
        <v>0</v>
      </c>
      <c r="AL57" s="79">
        <f t="shared" si="40"/>
        <v>0</v>
      </c>
      <c r="AM57" s="48"/>
      <c r="AN57" s="84"/>
      <c r="AO57" s="81">
        <f t="shared" si="41"/>
        <v>0</v>
      </c>
      <c r="AP57" s="79">
        <f t="shared" si="42"/>
        <v>0</v>
      </c>
      <c r="AQ57" s="48"/>
      <c r="AR57" s="84"/>
      <c r="AS57" s="81">
        <f t="shared" si="43"/>
        <v>0</v>
      </c>
      <c r="AT57" s="79">
        <f t="shared" si="44"/>
        <v>0</v>
      </c>
      <c r="AU57" s="49"/>
      <c r="AV57" s="84"/>
      <c r="AW57" s="81">
        <f t="shared" si="55"/>
        <v>0</v>
      </c>
      <c r="AX57" s="79">
        <f t="shared" si="56"/>
        <v>0</v>
      </c>
      <c r="AY57" s="49"/>
      <c r="AZ57" s="84"/>
      <c r="BA57" s="81">
        <f t="shared" si="57"/>
        <v>0</v>
      </c>
      <c r="BB57" s="79">
        <f t="shared" si="58"/>
        <v>0</v>
      </c>
      <c r="BC57" s="49"/>
      <c r="BD57" s="84"/>
      <c r="BE57" s="81">
        <f t="shared" si="59"/>
        <v>0</v>
      </c>
      <c r="BF57" s="79">
        <f t="shared" si="60"/>
        <v>0</v>
      </c>
      <c r="BG57" s="49"/>
      <c r="BH57" s="84"/>
      <c r="BI57" s="81">
        <f t="shared" si="61"/>
        <v>0</v>
      </c>
      <c r="BJ57" s="79">
        <f t="shared" si="62"/>
        <v>0</v>
      </c>
      <c r="BK57" s="49"/>
      <c r="BL57" s="84"/>
      <c r="BM57" s="81">
        <f t="shared" si="63"/>
        <v>0</v>
      </c>
      <c r="BN57" s="79">
        <f t="shared" si="64"/>
        <v>0</v>
      </c>
      <c r="BO57" s="49"/>
      <c r="BP57" s="84"/>
      <c r="BQ57" s="81">
        <f t="shared" si="65"/>
        <v>0</v>
      </c>
      <c r="BR57" s="79">
        <f t="shared" si="66"/>
        <v>0</v>
      </c>
      <c r="BS57" s="49"/>
      <c r="BT57" s="84"/>
      <c r="BU57" s="81">
        <f t="shared" si="45"/>
        <v>0</v>
      </c>
      <c r="BV57" s="79">
        <f t="shared" si="46"/>
        <v>0</v>
      </c>
      <c r="BW57" s="48">
        <v>480</v>
      </c>
      <c r="BX57" s="84"/>
      <c r="BY57" s="81">
        <f t="shared" si="47"/>
        <v>0</v>
      </c>
      <c r="BZ57" s="79">
        <f t="shared" si="48"/>
        <v>0</v>
      </c>
      <c r="CA57" s="48"/>
      <c r="CB57" s="84"/>
      <c r="CC57" s="81">
        <v>0</v>
      </c>
      <c r="CD57" s="79">
        <v>0</v>
      </c>
      <c r="CE57" s="49"/>
      <c r="CF57" s="84"/>
      <c r="CG57" s="81">
        <f t="shared" si="49"/>
        <v>0</v>
      </c>
      <c r="CH57" s="79">
        <f t="shared" si="50"/>
        <v>0</v>
      </c>
      <c r="CI57" s="33"/>
      <c r="CJ57" s="84"/>
      <c r="CK57" s="81">
        <f t="shared" si="51"/>
        <v>0</v>
      </c>
      <c r="CL57" s="79">
        <f t="shared" si="52"/>
        <v>0</v>
      </c>
      <c r="CM57" s="34"/>
      <c r="CN57" s="34"/>
      <c r="CO57" s="34"/>
      <c r="CP57" s="34"/>
      <c r="CQ57" s="50">
        <f t="shared" si="53"/>
        <v>1</v>
      </c>
      <c r="CR57" s="77">
        <f t="shared" si="54"/>
        <v>0</v>
      </c>
      <c r="CS57" s="28"/>
    </row>
    <row r="58" spans="1:97">
      <c r="A58" s="30" t="s">
        <v>156</v>
      </c>
      <c r="B58" s="47"/>
      <c r="C58" s="31" t="s">
        <v>121</v>
      </c>
      <c r="D58" s="32"/>
      <c r="E58" s="32"/>
      <c r="F58" s="87"/>
      <c r="G58" s="48"/>
      <c r="H58" s="84"/>
      <c r="I58" s="80">
        <f t="shared" si="25"/>
        <v>0</v>
      </c>
      <c r="J58" s="79">
        <f t="shared" si="26"/>
        <v>0</v>
      </c>
      <c r="K58" s="49"/>
      <c r="L58" s="84"/>
      <c r="M58" s="81">
        <f t="shared" si="30"/>
        <v>0</v>
      </c>
      <c r="N58" s="79">
        <f t="shared" si="31"/>
        <v>0</v>
      </c>
      <c r="O58" s="48"/>
      <c r="P58" s="84"/>
      <c r="Q58" s="81">
        <f t="shared" si="32"/>
        <v>0</v>
      </c>
      <c r="R58" s="79">
        <f t="shared" si="33"/>
        <v>0</v>
      </c>
      <c r="S58" s="49"/>
      <c r="T58" s="84"/>
      <c r="U58" s="81">
        <f t="shared" si="34"/>
        <v>0</v>
      </c>
      <c r="V58" s="79">
        <f t="shared" si="35"/>
        <v>0</v>
      </c>
      <c r="W58" s="49"/>
      <c r="X58" s="84"/>
      <c r="Y58" s="81">
        <f t="shared" si="27"/>
        <v>0</v>
      </c>
      <c r="Z58" s="79">
        <f t="shared" si="36"/>
        <v>0</v>
      </c>
      <c r="AA58" s="49"/>
      <c r="AB58" s="84"/>
      <c r="AC58" s="81">
        <f t="shared" si="28"/>
        <v>0</v>
      </c>
      <c r="AD58" s="79">
        <f t="shared" si="37"/>
        <v>0</v>
      </c>
      <c r="AE58" s="49"/>
      <c r="AF58" s="84"/>
      <c r="AG58" s="81">
        <f t="shared" si="29"/>
        <v>0</v>
      </c>
      <c r="AH58" s="79">
        <f t="shared" si="38"/>
        <v>0</v>
      </c>
      <c r="AI58" s="48"/>
      <c r="AJ58" s="84"/>
      <c r="AK58" s="81">
        <f t="shared" si="39"/>
        <v>0</v>
      </c>
      <c r="AL58" s="79">
        <f t="shared" si="40"/>
        <v>0</v>
      </c>
      <c r="AM58" s="48"/>
      <c r="AN58" s="84"/>
      <c r="AO58" s="81">
        <f t="shared" si="41"/>
        <v>0</v>
      </c>
      <c r="AP58" s="79">
        <f t="shared" si="42"/>
        <v>0</v>
      </c>
      <c r="AQ58" s="48"/>
      <c r="AR58" s="84"/>
      <c r="AS58" s="81">
        <f t="shared" si="43"/>
        <v>0</v>
      </c>
      <c r="AT58" s="79">
        <f t="shared" si="44"/>
        <v>0</v>
      </c>
      <c r="AU58" s="49"/>
      <c r="AV58" s="84"/>
      <c r="AW58" s="81">
        <f t="shared" si="55"/>
        <v>0</v>
      </c>
      <c r="AX58" s="79">
        <f t="shared" si="56"/>
        <v>0</v>
      </c>
      <c r="AY58" s="49"/>
      <c r="AZ58" s="84"/>
      <c r="BA58" s="81">
        <f t="shared" si="57"/>
        <v>0</v>
      </c>
      <c r="BB58" s="79">
        <f t="shared" si="58"/>
        <v>0</v>
      </c>
      <c r="BC58" s="49"/>
      <c r="BD58" s="84"/>
      <c r="BE58" s="81">
        <f t="shared" si="59"/>
        <v>0</v>
      </c>
      <c r="BF58" s="79">
        <f t="shared" si="60"/>
        <v>0</v>
      </c>
      <c r="BG58" s="49"/>
      <c r="BH58" s="84"/>
      <c r="BI58" s="81">
        <f t="shared" si="61"/>
        <v>0</v>
      </c>
      <c r="BJ58" s="79">
        <f t="shared" si="62"/>
        <v>0</v>
      </c>
      <c r="BK58" s="49"/>
      <c r="BL58" s="84"/>
      <c r="BM58" s="81">
        <f t="shared" si="63"/>
        <v>0</v>
      </c>
      <c r="BN58" s="79">
        <f t="shared" si="64"/>
        <v>0</v>
      </c>
      <c r="BO58" s="49"/>
      <c r="BP58" s="84"/>
      <c r="BQ58" s="81">
        <f t="shared" si="65"/>
        <v>0</v>
      </c>
      <c r="BR58" s="79">
        <f t="shared" si="66"/>
        <v>0</v>
      </c>
      <c r="BS58" s="49"/>
      <c r="BT58" s="84"/>
      <c r="BU58" s="81">
        <f t="shared" si="45"/>
        <v>0</v>
      </c>
      <c r="BV58" s="79">
        <f t="shared" si="46"/>
        <v>0</v>
      </c>
      <c r="BW58" s="48">
        <v>5760</v>
      </c>
      <c r="BX58" s="84"/>
      <c r="BY58" s="81">
        <f t="shared" si="47"/>
        <v>0</v>
      </c>
      <c r="BZ58" s="79">
        <f t="shared" si="48"/>
        <v>0</v>
      </c>
      <c r="CA58" s="48"/>
      <c r="CB58" s="84"/>
      <c r="CC58" s="81">
        <v>0</v>
      </c>
      <c r="CD58" s="79">
        <v>0</v>
      </c>
      <c r="CE58" s="49">
        <v>24960</v>
      </c>
      <c r="CF58" s="84"/>
      <c r="CG58" s="81">
        <f t="shared" si="49"/>
        <v>0</v>
      </c>
      <c r="CH58" s="79">
        <f t="shared" si="50"/>
        <v>0</v>
      </c>
      <c r="CI58" s="33"/>
      <c r="CJ58" s="84"/>
      <c r="CK58" s="81">
        <f t="shared" si="51"/>
        <v>0</v>
      </c>
      <c r="CL58" s="79">
        <f t="shared" si="52"/>
        <v>0</v>
      </c>
      <c r="CM58" s="34"/>
      <c r="CN58" s="34"/>
      <c r="CO58" s="34"/>
      <c r="CP58" s="34"/>
      <c r="CQ58" s="50">
        <f t="shared" si="53"/>
        <v>1</v>
      </c>
      <c r="CR58" s="77">
        <f t="shared" si="54"/>
        <v>0</v>
      </c>
      <c r="CS58" s="28"/>
    </row>
    <row r="59" spans="1:97" ht="15.75" thickBot="1">
      <c r="A59" s="40" t="s">
        <v>157</v>
      </c>
      <c r="B59" s="57"/>
      <c r="C59" s="41" t="s">
        <v>121</v>
      </c>
      <c r="D59" s="42"/>
      <c r="E59" s="42"/>
      <c r="F59" s="88"/>
      <c r="G59" s="58"/>
      <c r="H59" s="85"/>
      <c r="I59" s="80">
        <f t="shared" si="25"/>
        <v>0</v>
      </c>
      <c r="J59" s="79">
        <f t="shared" si="26"/>
        <v>0</v>
      </c>
      <c r="K59" s="59"/>
      <c r="L59" s="85"/>
      <c r="M59" s="82">
        <f t="shared" si="30"/>
        <v>0</v>
      </c>
      <c r="N59" s="79">
        <f t="shared" si="31"/>
        <v>0</v>
      </c>
      <c r="O59" s="58"/>
      <c r="P59" s="85"/>
      <c r="Q59" s="82">
        <f t="shared" si="32"/>
        <v>0</v>
      </c>
      <c r="R59" s="79">
        <f t="shared" si="33"/>
        <v>0</v>
      </c>
      <c r="S59" s="59"/>
      <c r="T59" s="85"/>
      <c r="U59" s="82">
        <f t="shared" si="34"/>
        <v>0</v>
      </c>
      <c r="V59" s="79">
        <f t="shared" si="35"/>
        <v>0</v>
      </c>
      <c r="W59" s="59"/>
      <c r="X59" s="85"/>
      <c r="Y59" s="82">
        <f t="shared" si="27"/>
        <v>0</v>
      </c>
      <c r="Z59" s="79">
        <f t="shared" si="36"/>
        <v>0</v>
      </c>
      <c r="AA59" s="59"/>
      <c r="AB59" s="85"/>
      <c r="AC59" s="82">
        <f t="shared" si="28"/>
        <v>0</v>
      </c>
      <c r="AD59" s="79">
        <f t="shared" si="37"/>
        <v>0</v>
      </c>
      <c r="AE59" s="59"/>
      <c r="AF59" s="85"/>
      <c r="AG59" s="82">
        <f t="shared" si="29"/>
        <v>0</v>
      </c>
      <c r="AH59" s="79">
        <f t="shared" si="38"/>
        <v>0</v>
      </c>
      <c r="AI59" s="58"/>
      <c r="AJ59" s="85"/>
      <c r="AK59" s="82">
        <f t="shared" si="39"/>
        <v>0</v>
      </c>
      <c r="AL59" s="79">
        <f t="shared" si="40"/>
        <v>0</v>
      </c>
      <c r="AM59" s="58"/>
      <c r="AN59" s="85"/>
      <c r="AO59" s="82">
        <f t="shared" si="41"/>
        <v>0</v>
      </c>
      <c r="AP59" s="79">
        <f t="shared" si="42"/>
        <v>0</v>
      </c>
      <c r="AQ59" s="58"/>
      <c r="AR59" s="85"/>
      <c r="AS59" s="82">
        <f t="shared" si="43"/>
        <v>0</v>
      </c>
      <c r="AT59" s="79">
        <f t="shared" si="44"/>
        <v>0</v>
      </c>
      <c r="AU59" s="59"/>
      <c r="AV59" s="85"/>
      <c r="AW59" s="82">
        <f t="shared" si="55"/>
        <v>0</v>
      </c>
      <c r="AX59" s="79">
        <f t="shared" si="56"/>
        <v>0</v>
      </c>
      <c r="AY59" s="59"/>
      <c r="AZ59" s="85"/>
      <c r="BA59" s="82">
        <f t="shared" si="57"/>
        <v>0</v>
      </c>
      <c r="BB59" s="79">
        <f t="shared" si="58"/>
        <v>0</v>
      </c>
      <c r="BC59" s="59"/>
      <c r="BD59" s="85"/>
      <c r="BE59" s="82">
        <f t="shared" si="59"/>
        <v>0</v>
      </c>
      <c r="BF59" s="79">
        <f t="shared" si="60"/>
        <v>0</v>
      </c>
      <c r="BG59" s="59"/>
      <c r="BH59" s="85"/>
      <c r="BI59" s="82">
        <f t="shared" si="61"/>
        <v>0</v>
      </c>
      <c r="BJ59" s="79">
        <f t="shared" si="62"/>
        <v>0</v>
      </c>
      <c r="BK59" s="59"/>
      <c r="BL59" s="85"/>
      <c r="BM59" s="82">
        <f t="shared" si="63"/>
        <v>0</v>
      </c>
      <c r="BN59" s="79">
        <f t="shared" si="64"/>
        <v>0</v>
      </c>
      <c r="BO59" s="59"/>
      <c r="BP59" s="85"/>
      <c r="BQ59" s="82">
        <f t="shared" si="65"/>
        <v>0</v>
      </c>
      <c r="BR59" s="79">
        <f t="shared" si="66"/>
        <v>0</v>
      </c>
      <c r="BS59" s="59"/>
      <c r="BT59" s="85"/>
      <c r="BU59" s="82">
        <f t="shared" si="45"/>
        <v>0</v>
      </c>
      <c r="BV59" s="79">
        <f t="shared" si="46"/>
        <v>0</v>
      </c>
      <c r="BW59" s="58">
        <v>1920</v>
      </c>
      <c r="BX59" s="85"/>
      <c r="BY59" s="82">
        <f t="shared" si="47"/>
        <v>0</v>
      </c>
      <c r="BZ59" s="79">
        <f t="shared" si="48"/>
        <v>0</v>
      </c>
      <c r="CA59" s="58"/>
      <c r="CB59" s="85"/>
      <c r="CC59" s="82">
        <f t="shared" ref="CC59" si="67">CB59*CQ59</f>
        <v>0</v>
      </c>
      <c r="CD59" s="79">
        <f t="shared" ref="CD59" si="68">CA59*CC59</f>
        <v>0</v>
      </c>
      <c r="CE59" s="59"/>
      <c r="CF59" s="85"/>
      <c r="CG59" s="82">
        <f t="shared" si="49"/>
        <v>0</v>
      </c>
      <c r="CH59" s="79">
        <f t="shared" si="50"/>
        <v>0</v>
      </c>
      <c r="CI59" s="39"/>
      <c r="CJ59" s="85"/>
      <c r="CK59" s="82">
        <f t="shared" si="51"/>
        <v>0</v>
      </c>
      <c r="CL59" s="79">
        <f t="shared" si="52"/>
        <v>0</v>
      </c>
      <c r="CM59" s="44"/>
      <c r="CN59" s="44"/>
      <c r="CO59" s="44"/>
      <c r="CP59" s="44"/>
      <c r="CQ59" s="60">
        <f t="shared" si="53"/>
        <v>1</v>
      </c>
      <c r="CR59" s="77">
        <f t="shared" si="54"/>
        <v>0</v>
      </c>
      <c r="CS59" s="28"/>
    </row>
    <row r="60" spans="1:97" ht="15.75" thickBot="1">
      <c r="A60" s="45"/>
      <c r="B60" s="45"/>
      <c r="C60" s="45"/>
      <c r="D60" s="45"/>
      <c r="E60" s="45"/>
      <c r="F60" s="45"/>
      <c r="G60" s="45"/>
      <c r="H60" s="45"/>
      <c r="I60" s="45"/>
      <c r="J60" s="78">
        <f>SUM(J11:J59)</f>
        <v>0</v>
      </c>
      <c r="K60" s="45"/>
      <c r="L60" s="45"/>
      <c r="M60" s="45"/>
      <c r="N60" s="78">
        <f>SUM(N11:N59)</f>
        <v>0</v>
      </c>
      <c r="O60" s="45"/>
      <c r="P60" s="45"/>
      <c r="Q60" s="45"/>
      <c r="R60" s="78">
        <f>SUM(R11:R59)</f>
        <v>0</v>
      </c>
      <c r="S60" s="45"/>
      <c r="T60" s="45"/>
      <c r="U60" s="45"/>
      <c r="V60" s="78">
        <f>SUM(V11:V59)</f>
        <v>0</v>
      </c>
      <c r="W60" s="45"/>
      <c r="X60" s="45"/>
      <c r="Y60" s="45"/>
      <c r="Z60" s="78">
        <f>SUM(Z11:Z59)</f>
        <v>0</v>
      </c>
      <c r="AA60" s="45"/>
      <c r="AB60" s="45"/>
      <c r="AC60" s="45"/>
      <c r="AD60" s="78">
        <f>SUM(AD11:AD59)</f>
        <v>0</v>
      </c>
      <c r="AE60" s="45"/>
      <c r="AF60" s="45"/>
      <c r="AG60" s="45"/>
      <c r="AH60" s="78">
        <f>SUM(AH11:AH59)</f>
        <v>0</v>
      </c>
      <c r="AI60" s="45"/>
      <c r="AJ60" s="45"/>
      <c r="AK60" s="45"/>
      <c r="AL60" s="78">
        <f>SUM(AL11:AL59)</f>
        <v>0</v>
      </c>
      <c r="AM60" s="45"/>
      <c r="AN60" s="45"/>
      <c r="AO60" s="45"/>
      <c r="AP60" s="78">
        <f>SUM(AP11:AP59)</f>
        <v>0</v>
      </c>
      <c r="AQ60" s="45"/>
      <c r="AR60" s="45"/>
      <c r="AS60" s="45"/>
      <c r="AT60" s="78">
        <f>SUM(AT11:AT59)</f>
        <v>0</v>
      </c>
      <c r="AU60" s="45"/>
      <c r="AV60" s="45"/>
      <c r="AW60" s="45"/>
      <c r="AX60" s="78">
        <f>SUM(AX11:AX59)</f>
        <v>0</v>
      </c>
      <c r="AY60" s="45"/>
      <c r="AZ60" s="45"/>
      <c r="BA60" s="45"/>
      <c r="BB60" s="78">
        <f>SUM(BB11:BB59)</f>
        <v>0</v>
      </c>
      <c r="BC60" s="45"/>
      <c r="BD60" s="45"/>
      <c r="BE60" s="45"/>
      <c r="BF60" s="78">
        <f>SUM(BF11:BF59)</f>
        <v>0</v>
      </c>
      <c r="BG60" s="45"/>
      <c r="BH60" s="45"/>
      <c r="BI60" s="45"/>
      <c r="BJ60" s="78">
        <f>SUM(BJ11:BJ59)</f>
        <v>0</v>
      </c>
      <c r="BK60" s="45"/>
      <c r="BL60" s="45"/>
      <c r="BM60" s="45"/>
      <c r="BN60" s="78">
        <f>SUM(BN11:BN59)</f>
        <v>0</v>
      </c>
      <c r="BO60" s="45"/>
      <c r="BP60" s="45"/>
      <c r="BQ60" s="45"/>
      <c r="BR60" s="78">
        <f>SUM(BR11:BR59)</f>
        <v>0</v>
      </c>
      <c r="BS60" s="45"/>
      <c r="BT60" s="45"/>
      <c r="BU60" s="45"/>
      <c r="BV60" s="78">
        <f>SUM(BV11:BV59)</f>
        <v>0</v>
      </c>
      <c r="BW60" s="45"/>
      <c r="BX60" s="45"/>
      <c r="BY60" s="45"/>
      <c r="BZ60" s="78">
        <f>SUM(BZ11:BZ59)</f>
        <v>0</v>
      </c>
      <c r="CA60" s="45"/>
      <c r="CB60" s="45"/>
      <c r="CC60" s="45"/>
      <c r="CD60" s="78">
        <f>SUM(CD11:CD59)</f>
        <v>0</v>
      </c>
      <c r="CE60" s="45"/>
      <c r="CF60" s="45"/>
      <c r="CG60" s="45"/>
      <c r="CH60" s="78">
        <f>SUM(CH11:CH59)</f>
        <v>0</v>
      </c>
      <c r="CI60" s="45"/>
      <c r="CJ60" s="45"/>
      <c r="CK60" s="45"/>
      <c r="CL60" s="78">
        <f>SUM(CL11:CL59)</f>
        <v>0</v>
      </c>
      <c r="CM60" s="45"/>
      <c r="CN60" s="45"/>
      <c r="CO60" s="129" t="s">
        <v>158</v>
      </c>
      <c r="CP60" s="129"/>
      <c r="CQ60" s="130"/>
      <c r="CR60" s="46">
        <f>SUM(CR11:CR59)</f>
        <v>0</v>
      </c>
    </row>
    <row r="61" spans="1:97" ht="24" thickBot="1">
      <c r="A61" s="93" t="s">
        <v>159</v>
      </c>
      <c r="B61" s="96" t="s">
        <v>160</v>
      </c>
      <c r="C61" s="95" t="s">
        <v>199</v>
      </c>
    </row>
    <row r="62" spans="1:97">
      <c r="A62" s="92" t="s">
        <v>200</v>
      </c>
      <c r="B62" s="97">
        <f>J60</f>
        <v>0</v>
      </c>
      <c r="C62" s="100" t="e">
        <f>(B62/'Proposal Summary'!$D$11)</f>
        <v>#DIV/0!</v>
      </c>
    </row>
    <row r="63" spans="1:97">
      <c r="A63" s="90" t="s">
        <v>163</v>
      </c>
      <c r="B63" s="98">
        <f>N60</f>
        <v>0</v>
      </c>
      <c r="C63" s="100" t="e">
        <f>(B63/'Proposal Summary'!$D$11)</f>
        <v>#DIV/0!</v>
      </c>
      <c r="D63" s="115"/>
      <c r="E63" s="115"/>
    </row>
    <row r="64" spans="1:97">
      <c r="A64" s="90" t="s">
        <v>164</v>
      </c>
      <c r="B64" s="98">
        <f>R60</f>
        <v>0</v>
      </c>
      <c r="C64" s="100" t="e">
        <f>(B64/'Proposal Summary'!$D$11)</f>
        <v>#DIV/0!</v>
      </c>
      <c r="D64" s="115"/>
      <c r="E64" s="115"/>
    </row>
    <row r="65" spans="1:5">
      <c r="A65" s="90" t="s">
        <v>165</v>
      </c>
      <c r="B65" s="98">
        <f>V60</f>
        <v>0</v>
      </c>
      <c r="C65" s="100" t="e">
        <f>(B65/'Proposal Summary'!$D$11)</f>
        <v>#DIV/0!</v>
      </c>
      <c r="D65" s="115"/>
      <c r="E65" s="115"/>
    </row>
    <row r="66" spans="1:5">
      <c r="A66" s="91" t="s">
        <v>166</v>
      </c>
      <c r="B66" s="99">
        <f>Z60</f>
        <v>0</v>
      </c>
      <c r="C66" s="100" t="e">
        <f>(B66/'Proposal Summary'!$D$11)</f>
        <v>#DIV/0!</v>
      </c>
    </row>
    <row r="67" spans="1:5">
      <c r="A67" s="90" t="s">
        <v>167</v>
      </c>
      <c r="B67" s="99">
        <f>AD60</f>
        <v>0</v>
      </c>
      <c r="C67" s="100" t="e">
        <f>(B67/'Proposal Summary'!$D$11)</f>
        <v>#DIV/0!</v>
      </c>
    </row>
    <row r="68" spans="1:5">
      <c r="A68" s="90" t="s">
        <v>168</v>
      </c>
      <c r="B68" s="99">
        <f>AH60</f>
        <v>0</v>
      </c>
      <c r="C68" s="100" t="e">
        <f>(B68/'Proposal Summary'!$D$11)</f>
        <v>#DIV/0!</v>
      </c>
    </row>
    <row r="69" spans="1:5">
      <c r="A69" s="90" t="s">
        <v>169</v>
      </c>
      <c r="B69" s="99">
        <f>AL60</f>
        <v>0</v>
      </c>
      <c r="C69" s="100" t="e">
        <f>(B69/'Proposal Summary'!$D$11)</f>
        <v>#DIV/0!</v>
      </c>
    </row>
    <row r="70" spans="1:5">
      <c r="A70" s="90" t="s">
        <v>170</v>
      </c>
      <c r="B70" s="99">
        <f>AP60</f>
        <v>0</v>
      </c>
      <c r="C70" s="100" t="e">
        <f>(B70/'Proposal Summary'!$D$11)</f>
        <v>#DIV/0!</v>
      </c>
    </row>
    <row r="71" spans="1:5">
      <c r="A71" s="90" t="s">
        <v>171</v>
      </c>
      <c r="B71" s="99">
        <f>AT60</f>
        <v>0</v>
      </c>
      <c r="C71" s="100" t="e">
        <f>(B71/'Proposal Summary'!$D$11)</f>
        <v>#DIV/0!</v>
      </c>
    </row>
    <row r="72" spans="1:5">
      <c r="A72" s="90" t="s">
        <v>172</v>
      </c>
      <c r="B72" s="99">
        <f>AX60</f>
        <v>0</v>
      </c>
      <c r="C72" s="100" t="e">
        <f>(B72/'Proposal Summary'!$D$11)</f>
        <v>#DIV/0!</v>
      </c>
    </row>
    <row r="73" spans="1:5">
      <c r="A73" s="90" t="s">
        <v>173</v>
      </c>
      <c r="B73" s="99">
        <f>BB60</f>
        <v>0</v>
      </c>
      <c r="C73" s="100" t="e">
        <f>(B73/'Proposal Summary'!$D$11)</f>
        <v>#DIV/0!</v>
      </c>
    </row>
    <row r="74" spans="1:5">
      <c r="A74" s="90" t="s">
        <v>174</v>
      </c>
      <c r="B74" s="99">
        <f>BF60</f>
        <v>0</v>
      </c>
      <c r="C74" s="100" t="e">
        <f>(B74/'Proposal Summary'!$D$11)</f>
        <v>#DIV/0!</v>
      </c>
    </row>
    <row r="75" spans="1:5">
      <c r="A75" s="90" t="s">
        <v>175</v>
      </c>
      <c r="B75" s="99">
        <f>BJ60</f>
        <v>0</v>
      </c>
      <c r="C75" s="100" t="e">
        <f>(B75/'Proposal Summary'!$D$11)</f>
        <v>#DIV/0!</v>
      </c>
    </row>
    <row r="76" spans="1:5">
      <c r="A76" s="90" t="s">
        <v>176</v>
      </c>
      <c r="B76" s="99">
        <f>BN60</f>
        <v>0</v>
      </c>
      <c r="C76" s="100" t="e">
        <f>(B76/'Proposal Summary'!$D$11)</f>
        <v>#DIV/0!</v>
      </c>
    </row>
    <row r="77" spans="1:5">
      <c r="A77" s="90" t="s">
        <v>177</v>
      </c>
      <c r="B77" s="99">
        <f>BR60</f>
        <v>0</v>
      </c>
      <c r="C77" s="100" t="e">
        <f>(B77/'Proposal Summary'!$D$11)</f>
        <v>#DIV/0!</v>
      </c>
    </row>
    <row r="78" spans="1:5">
      <c r="A78" s="90" t="s">
        <v>178</v>
      </c>
      <c r="B78" s="99">
        <f>BV60</f>
        <v>0</v>
      </c>
      <c r="C78" s="100" t="e">
        <f>(B78/'Proposal Summary'!$D$11)</f>
        <v>#DIV/0!</v>
      </c>
    </row>
    <row r="79" spans="1:5">
      <c r="A79" s="90" t="s">
        <v>179</v>
      </c>
      <c r="B79" s="99">
        <f>BZ60</f>
        <v>0</v>
      </c>
      <c r="C79" s="100" t="e">
        <f>(B79/'Proposal Summary'!$D$11)</f>
        <v>#DIV/0!</v>
      </c>
    </row>
    <row r="80" spans="1:5">
      <c r="A80" s="90" t="s">
        <v>180</v>
      </c>
      <c r="B80" s="99">
        <f>CD60</f>
        <v>0</v>
      </c>
      <c r="C80" s="100" t="e">
        <f>(B80/'Proposal Summary'!$D$11)</f>
        <v>#DIV/0!</v>
      </c>
    </row>
    <row r="81" spans="1:3">
      <c r="A81" s="90" t="s">
        <v>181</v>
      </c>
      <c r="B81" s="99">
        <f>CH60</f>
        <v>0</v>
      </c>
      <c r="C81" s="100" t="e">
        <f>(B81/'Proposal Summary'!$D$11)</f>
        <v>#DIV/0!</v>
      </c>
    </row>
    <row r="82" spans="1:3">
      <c r="A82" s="90" t="s">
        <v>182</v>
      </c>
      <c r="B82" s="99">
        <f>CL60</f>
        <v>0</v>
      </c>
      <c r="C82" s="100" t="e">
        <f>(B82/'Proposal Summary'!$D$11)</f>
        <v>#DIV/0!</v>
      </c>
    </row>
  </sheetData>
  <mergeCells count="2">
    <mergeCell ref="A1:B1"/>
    <mergeCell ref="CO60:CQ60"/>
  </mergeCells>
  <dataValidations disablePrompts="1" count="1">
    <dataValidation type="list" allowBlank="1" showInputMessage="1" showErrorMessage="1" sqref="D11:E59" xr:uid="{A6E6C008-0007-4937-8CAD-5D79657295F2}">
      <formula1>"Yes, No"</formula1>
    </dataValidation>
  </dataValidations>
  <pageMargins left="0.25" right="0.25" top="0.75" bottom="0.75" header="0.3" footer="0.3"/>
  <pageSetup paperSize="5" scale="10" fitToHeight="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B29D-8F72-4011-8A9A-65386CE8B509}">
  <sheetPr codeName="Sheet4">
    <pageSetUpPr fitToPage="1"/>
  </sheetPr>
  <dimension ref="A1:CS82"/>
  <sheetViews>
    <sheetView zoomScale="70" zoomScaleNormal="70" workbookViewId="0">
      <selection activeCell="C3" sqref="C3"/>
    </sheetView>
  </sheetViews>
  <sheetFormatPr defaultColWidth="9.140625" defaultRowHeight="15"/>
  <cols>
    <col min="1" max="1" width="63.85546875" style="17" bestFit="1" customWidth="1"/>
    <col min="2" max="2" width="40.140625" style="17" bestFit="1" customWidth="1"/>
    <col min="3" max="3" width="38.85546875" style="17" bestFit="1" customWidth="1"/>
    <col min="4" max="4" width="29.7109375" style="17" bestFit="1" customWidth="1"/>
    <col min="5" max="5" width="22.85546875" style="17" bestFit="1" customWidth="1"/>
    <col min="6" max="6" width="19.7109375" style="17" bestFit="1" customWidth="1"/>
    <col min="7" max="7" width="13.42578125" style="17" bestFit="1" customWidth="1"/>
    <col min="8" max="10" width="20" style="17" customWidth="1"/>
    <col min="11" max="11" width="24.5703125" style="17" customWidth="1"/>
    <col min="12" max="12" width="25.42578125" style="17" customWidth="1"/>
    <col min="13" max="13" width="20" style="17" customWidth="1"/>
    <col min="14" max="27" width="20.28515625" style="17" customWidth="1"/>
    <col min="28" max="28" width="22.140625" style="17" customWidth="1"/>
    <col min="29" max="30" width="20" style="17" customWidth="1"/>
    <col min="31" max="31" width="22.140625" style="17" customWidth="1"/>
    <col min="32" max="32" width="24.5703125" style="17" customWidth="1"/>
    <col min="33" max="33" width="25.42578125" style="17" customWidth="1"/>
    <col min="34" max="57" width="20" style="17" customWidth="1"/>
    <col min="58" max="58" width="21.5703125" style="17" customWidth="1"/>
    <col min="59" max="60" width="23.28515625" style="17" customWidth="1"/>
    <col min="61" max="63" width="20" style="17" customWidth="1"/>
    <col min="64" max="65" width="26.85546875" style="17" bestFit="1" customWidth="1"/>
    <col min="66" max="66" width="20" style="17" customWidth="1"/>
    <col min="67" max="67" width="24.28515625" style="17" bestFit="1" customWidth="1"/>
    <col min="68" max="68" width="21.7109375" style="17" bestFit="1" customWidth="1"/>
    <col min="69" max="69" width="21.7109375" style="17" customWidth="1"/>
    <col min="70" max="70" width="22.7109375" style="17" bestFit="1" customWidth="1"/>
    <col min="71" max="72" width="20" style="17" customWidth="1"/>
    <col min="73" max="73" width="24.42578125" style="17" bestFit="1" customWidth="1"/>
    <col min="74" max="74" width="34.140625" style="17" bestFit="1" customWidth="1"/>
    <col min="75" max="75" width="12.7109375" style="17" bestFit="1" customWidth="1"/>
    <col min="76" max="76" width="18" style="17" customWidth="1"/>
    <col min="77" max="77" width="13.7109375" style="17" customWidth="1"/>
    <col min="78" max="78" width="12.85546875" style="17" customWidth="1"/>
    <col min="79" max="79" width="15.85546875" style="17" customWidth="1"/>
    <col min="80" max="80" width="17.5703125" style="17" customWidth="1"/>
    <col min="81" max="81" width="13.5703125" style="17" customWidth="1"/>
    <col min="82" max="82" width="12.85546875" style="17" customWidth="1"/>
    <col min="83" max="83" width="14" style="17" bestFit="1" customWidth="1"/>
    <col min="84" max="84" width="13.85546875" style="17" bestFit="1" customWidth="1"/>
    <col min="85" max="85" width="20.5703125" style="17" bestFit="1" customWidth="1"/>
    <col min="86" max="86" width="15" style="17" bestFit="1" customWidth="1"/>
    <col min="87" max="87" width="14.5703125" style="17" bestFit="1" customWidth="1"/>
    <col min="88" max="88" width="15" style="17" bestFit="1" customWidth="1"/>
    <col min="89" max="89" width="14.42578125" style="17" customWidth="1"/>
    <col min="90" max="90" width="14.85546875" style="17" bestFit="1" customWidth="1"/>
    <col min="91" max="92" width="10" style="17" bestFit="1" customWidth="1"/>
    <col min="93" max="93" width="9.140625" style="17"/>
    <col min="94" max="94" width="10" style="17" bestFit="1" customWidth="1"/>
    <col min="95" max="16384" width="9.140625" style="17"/>
  </cols>
  <sheetData>
    <row r="1" spans="1:97" ht="36">
      <c r="A1" s="138" t="s">
        <v>10</v>
      </c>
      <c r="B1" s="139"/>
    </row>
    <row r="2" spans="1:97">
      <c r="A2" s="18" t="s">
        <v>4</v>
      </c>
      <c r="B2" s="18" t="s">
        <v>5</v>
      </c>
      <c r="C2" s="18" t="s">
        <v>6</v>
      </c>
      <c r="D2" s="19"/>
      <c r="E2" s="19"/>
      <c r="F2" s="18" t="s">
        <v>21</v>
      </c>
      <c r="G2" s="18" t="s">
        <v>7</v>
      </c>
    </row>
    <row r="3" spans="1:97" s="1" customFormat="1">
      <c r="A3" s="101" t="s">
        <v>10</v>
      </c>
      <c r="B3" s="102">
        <v>46980</v>
      </c>
      <c r="C3" s="102">
        <v>47345</v>
      </c>
      <c r="D3" s="21"/>
      <c r="E3" s="21"/>
      <c r="F3" s="103">
        <v>0.03</v>
      </c>
      <c r="G3" s="23">
        <f>Q59</f>
        <v>0</v>
      </c>
    </row>
    <row r="6" spans="1:97">
      <c r="A6" s="24" t="s">
        <v>22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9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9" spans="1:97" ht="15.75" thickBot="1"/>
    <row r="10" spans="1:97" s="29" customFormat="1" ht="63.75" customHeight="1" thickBot="1">
      <c r="A10" s="69" t="s">
        <v>23</v>
      </c>
      <c r="B10" s="70" t="s">
        <v>24</v>
      </c>
      <c r="C10" s="70" t="s">
        <v>25</v>
      </c>
      <c r="D10" s="70" t="s">
        <v>26</v>
      </c>
      <c r="E10" s="70" t="s">
        <v>27</v>
      </c>
      <c r="F10" s="70" t="s">
        <v>28</v>
      </c>
      <c r="G10" s="116" t="s">
        <v>201</v>
      </c>
      <c r="H10" s="70" t="s">
        <v>183</v>
      </c>
      <c r="I10" s="72" t="s">
        <v>184</v>
      </c>
      <c r="J10" s="73" t="s">
        <v>185</v>
      </c>
      <c r="K10" s="72" t="s">
        <v>33</v>
      </c>
      <c r="L10" s="72" t="s">
        <v>34</v>
      </c>
      <c r="M10" s="72" t="s">
        <v>35</v>
      </c>
      <c r="N10" s="73" t="s">
        <v>36</v>
      </c>
      <c r="O10" s="72" t="s">
        <v>202</v>
      </c>
      <c r="P10" s="70" t="s">
        <v>186</v>
      </c>
      <c r="Q10" s="72" t="s">
        <v>187</v>
      </c>
      <c r="R10" s="73" t="s">
        <v>188</v>
      </c>
      <c r="S10" s="75" t="s">
        <v>41</v>
      </c>
      <c r="T10" s="75" t="s">
        <v>42</v>
      </c>
      <c r="U10" s="75" t="s">
        <v>43</v>
      </c>
      <c r="V10" s="73" t="s">
        <v>44</v>
      </c>
      <c r="W10" s="75" t="s">
        <v>45</v>
      </c>
      <c r="X10" s="75" t="s">
        <v>46</v>
      </c>
      <c r="Y10" s="75" t="s">
        <v>47</v>
      </c>
      <c r="Z10" s="73" t="s">
        <v>48</v>
      </c>
      <c r="AA10" s="75" t="s">
        <v>49</v>
      </c>
      <c r="AB10" s="75" t="s">
        <v>50</v>
      </c>
      <c r="AC10" s="75" t="s">
        <v>51</v>
      </c>
      <c r="AD10" s="73" t="s">
        <v>52</v>
      </c>
      <c r="AE10" s="75" t="s">
        <v>53</v>
      </c>
      <c r="AF10" s="75" t="s">
        <v>54</v>
      </c>
      <c r="AG10" s="75" t="s">
        <v>55</v>
      </c>
      <c r="AH10" s="73" t="s">
        <v>56</v>
      </c>
      <c r="AI10" s="116" t="s">
        <v>189</v>
      </c>
      <c r="AJ10" s="70" t="s">
        <v>190</v>
      </c>
      <c r="AK10" s="72" t="s">
        <v>191</v>
      </c>
      <c r="AL10" s="73" t="s">
        <v>192</v>
      </c>
      <c r="AM10" s="116" t="s">
        <v>61</v>
      </c>
      <c r="AN10" s="72" t="s">
        <v>62</v>
      </c>
      <c r="AO10" s="72" t="s">
        <v>63</v>
      </c>
      <c r="AP10" s="73" t="s">
        <v>64</v>
      </c>
      <c r="AQ10" s="72" t="s">
        <v>193</v>
      </c>
      <c r="AR10" s="70" t="s">
        <v>66</v>
      </c>
      <c r="AS10" s="72" t="s">
        <v>67</v>
      </c>
      <c r="AT10" s="73" t="s">
        <v>68</v>
      </c>
      <c r="AU10" s="72" t="s">
        <v>69</v>
      </c>
      <c r="AV10" s="72" t="s">
        <v>70</v>
      </c>
      <c r="AW10" s="72" t="s">
        <v>71</v>
      </c>
      <c r="AX10" s="73" t="s">
        <v>72</v>
      </c>
      <c r="AY10" s="72" t="s">
        <v>73</v>
      </c>
      <c r="AZ10" s="72" t="s">
        <v>74</v>
      </c>
      <c r="BA10" s="72" t="s">
        <v>75</v>
      </c>
      <c r="BB10" s="73" t="s">
        <v>76</v>
      </c>
      <c r="BC10" s="72" t="s">
        <v>77</v>
      </c>
      <c r="BD10" s="72" t="s">
        <v>78</v>
      </c>
      <c r="BE10" s="72" t="s">
        <v>79</v>
      </c>
      <c r="BF10" s="73" t="s">
        <v>80</v>
      </c>
      <c r="BG10" s="72" t="s">
        <v>81</v>
      </c>
      <c r="BH10" s="72" t="s">
        <v>82</v>
      </c>
      <c r="BI10" s="72" t="s">
        <v>83</v>
      </c>
      <c r="BJ10" s="73" t="s">
        <v>84</v>
      </c>
      <c r="BK10" s="72" t="s">
        <v>85</v>
      </c>
      <c r="BL10" s="72" t="s">
        <v>86</v>
      </c>
      <c r="BM10" s="72" t="s">
        <v>87</v>
      </c>
      <c r="BN10" s="73" t="s">
        <v>88</v>
      </c>
      <c r="BO10" s="72" t="s">
        <v>89</v>
      </c>
      <c r="BP10" s="72" t="s">
        <v>90</v>
      </c>
      <c r="BQ10" s="72" t="s">
        <v>91</v>
      </c>
      <c r="BR10" s="73" t="s">
        <v>92</v>
      </c>
      <c r="BS10" s="72" t="s">
        <v>93</v>
      </c>
      <c r="BT10" s="72" t="s">
        <v>94</v>
      </c>
      <c r="BU10" s="72" t="s">
        <v>95</v>
      </c>
      <c r="BV10" s="73" t="s">
        <v>96</v>
      </c>
      <c r="BW10" s="72" t="s">
        <v>97</v>
      </c>
      <c r="BX10" s="70" t="s">
        <v>98</v>
      </c>
      <c r="BY10" s="72" t="s">
        <v>99</v>
      </c>
      <c r="BZ10" s="73" t="s">
        <v>100</v>
      </c>
      <c r="CA10" s="72" t="s">
        <v>101</v>
      </c>
      <c r="CB10" s="70" t="s">
        <v>102</v>
      </c>
      <c r="CC10" s="72" t="s">
        <v>103</v>
      </c>
      <c r="CD10" s="73" t="s">
        <v>104</v>
      </c>
      <c r="CE10" s="72" t="s">
        <v>105</v>
      </c>
      <c r="CF10" s="72" t="s">
        <v>106</v>
      </c>
      <c r="CG10" s="72" t="s">
        <v>107</v>
      </c>
      <c r="CH10" s="73" t="s">
        <v>108</v>
      </c>
      <c r="CI10" s="71" t="s">
        <v>195</v>
      </c>
      <c r="CJ10" s="70" t="s">
        <v>196</v>
      </c>
      <c r="CK10" s="72" t="s">
        <v>197</v>
      </c>
      <c r="CL10" s="73" t="s">
        <v>198</v>
      </c>
      <c r="CM10" s="72" t="s">
        <v>113</v>
      </c>
      <c r="CN10" s="72" t="s">
        <v>114</v>
      </c>
      <c r="CO10" s="72" t="s">
        <v>115</v>
      </c>
      <c r="CP10" s="72" t="s">
        <v>116</v>
      </c>
      <c r="CQ10" s="70" t="s">
        <v>117</v>
      </c>
      <c r="CR10" s="76" t="s">
        <v>118</v>
      </c>
      <c r="CS10" s="28"/>
    </row>
    <row r="11" spans="1:97" s="1" customFormat="1">
      <c r="A11" s="61" t="s">
        <v>119</v>
      </c>
      <c r="B11" s="62"/>
      <c r="C11" s="63" t="s">
        <v>120</v>
      </c>
      <c r="D11" s="64"/>
      <c r="E11" s="64"/>
      <c r="F11" s="86"/>
      <c r="G11" s="65"/>
      <c r="H11" s="83"/>
      <c r="I11" s="80">
        <f>H11*CQ11</f>
        <v>0</v>
      </c>
      <c r="J11" s="79">
        <f>G11*I11</f>
        <v>0</v>
      </c>
      <c r="K11" s="66"/>
      <c r="L11" s="83"/>
      <c r="M11" s="80">
        <f t="shared" ref="M11:M26" si="0">L11*CQ11</f>
        <v>0</v>
      </c>
      <c r="N11" s="79">
        <f t="shared" ref="N11:N42" si="1">K11*M11</f>
        <v>0</v>
      </c>
      <c r="O11" s="65"/>
      <c r="P11" s="83"/>
      <c r="Q11" s="80">
        <f t="shared" ref="Q11:Q42" si="2">P11*CQ11</f>
        <v>0</v>
      </c>
      <c r="R11" s="79">
        <f t="shared" ref="R11:R42" si="3">O11*Q11</f>
        <v>0</v>
      </c>
      <c r="S11" s="66"/>
      <c r="T11" s="83"/>
      <c r="U11" s="80">
        <v>0</v>
      </c>
      <c r="V11" s="79">
        <v>0</v>
      </c>
      <c r="W11" s="66"/>
      <c r="X11" s="83"/>
      <c r="Y11" s="80">
        <v>0</v>
      </c>
      <c r="Z11" s="79">
        <v>0</v>
      </c>
      <c r="AA11" s="66"/>
      <c r="AB11" s="83"/>
      <c r="AC11" s="80">
        <v>0</v>
      </c>
      <c r="AD11" s="79">
        <v>0</v>
      </c>
      <c r="AE11" s="66"/>
      <c r="AF11" s="83"/>
      <c r="AG11" s="80">
        <f>AF11*CQ11</f>
        <v>0</v>
      </c>
      <c r="AH11" s="79">
        <f t="shared" ref="AH11:AH42" si="4">AE11*AG11</f>
        <v>0</v>
      </c>
      <c r="AI11" s="65"/>
      <c r="AJ11" s="83"/>
      <c r="AK11" s="80">
        <f t="shared" ref="AK11:AK42" si="5">AJ11*CQ11</f>
        <v>0</v>
      </c>
      <c r="AL11" s="79">
        <f t="shared" ref="AL11:AL42" si="6">AI11*AK11</f>
        <v>0</v>
      </c>
      <c r="AM11" s="65"/>
      <c r="AN11" s="83"/>
      <c r="AO11" s="80">
        <f t="shared" ref="AO11:AO42" si="7">AN11*CQ11</f>
        <v>0</v>
      </c>
      <c r="AP11" s="79">
        <f t="shared" ref="AP11:AP42" si="8">AM11*AO11</f>
        <v>0</v>
      </c>
      <c r="AQ11" s="65"/>
      <c r="AR11" s="83"/>
      <c r="AS11" s="80">
        <f t="shared" ref="AS11:AS42" si="9">AR11*CQ11</f>
        <v>0</v>
      </c>
      <c r="AT11" s="79">
        <f t="shared" ref="AT11:AT42" si="10">AQ11*AS11</f>
        <v>0</v>
      </c>
      <c r="AU11" s="66"/>
      <c r="AV11" s="83"/>
      <c r="AW11" s="80">
        <v>0</v>
      </c>
      <c r="AX11" s="79">
        <v>0</v>
      </c>
      <c r="AY11" s="66"/>
      <c r="AZ11" s="83"/>
      <c r="BA11" s="80">
        <v>0</v>
      </c>
      <c r="BB11" s="79">
        <v>0</v>
      </c>
      <c r="BC11" s="66"/>
      <c r="BD11" s="83"/>
      <c r="BE11" s="80">
        <v>0</v>
      </c>
      <c r="BF11" s="79">
        <v>0</v>
      </c>
      <c r="BG11" s="66"/>
      <c r="BH11" s="83"/>
      <c r="BI11" s="80">
        <v>0</v>
      </c>
      <c r="BJ11" s="79">
        <v>0</v>
      </c>
      <c r="BK11" s="66"/>
      <c r="BL11" s="83"/>
      <c r="BM11" s="80">
        <v>0</v>
      </c>
      <c r="BN11" s="79">
        <v>0</v>
      </c>
      <c r="BO11" s="66"/>
      <c r="BP11" s="83"/>
      <c r="BQ11" s="80">
        <v>0</v>
      </c>
      <c r="BR11" s="79">
        <v>0</v>
      </c>
      <c r="BS11" s="66"/>
      <c r="BT11" s="83"/>
      <c r="BU11" s="80">
        <f t="shared" ref="BU11:BU42" si="11">BT11*CQ11</f>
        <v>0</v>
      </c>
      <c r="BV11" s="79">
        <f t="shared" ref="BV11:BV42" si="12">BS11*BU11</f>
        <v>0</v>
      </c>
      <c r="BW11" s="65">
        <v>480</v>
      </c>
      <c r="BX11" s="83"/>
      <c r="BY11" s="80">
        <f t="shared" ref="BY11:BY42" si="13">BX11*CQ11</f>
        <v>0</v>
      </c>
      <c r="BZ11" s="79">
        <f t="shared" ref="BZ11:BZ42" si="14">BW11*BY11</f>
        <v>0</v>
      </c>
      <c r="CA11" s="65"/>
      <c r="CB11" s="83"/>
      <c r="CC11" s="80">
        <v>0</v>
      </c>
      <c r="CD11" s="79">
        <v>0</v>
      </c>
      <c r="CE11" s="66"/>
      <c r="CF11" s="83"/>
      <c r="CG11" s="80">
        <f t="shared" ref="CG11:CG42" si="15">CF11*CQ11</f>
        <v>0</v>
      </c>
      <c r="CH11" s="79">
        <f t="shared" ref="CH11:CH42" si="16">CE11*CG11</f>
        <v>0</v>
      </c>
      <c r="CI11" s="43"/>
      <c r="CJ11" s="83"/>
      <c r="CK11" s="80">
        <f t="shared" ref="CK11:CK42" si="17">CJ11*CQ11</f>
        <v>0</v>
      </c>
      <c r="CL11" s="79">
        <f t="shared" ref="CL11:CL42" si="18">CI11*CK11</f>
        <v>0</v>
      </c>
      <c r="CM11" s="67">
        <v>0.1</v>
      </c>
      <c r="CN11" s="67">
        <v>0.15</v>
      </c>
      <c r="CO11" s="67">
        <v>0.05</v>
      </c>
      <c r="CP11" s="67">
        <v>0.1</v>
      </c>
      <c r="CQ11" s="68">
        <f t="shared" ref="CQ11:CQ42" si="19">(1+CM11)*(1+CN11)*(1+CO11)*(1+CP11)</f>
        <v>1.4610750000000001</v>
      </c>
      <c r="CR11" s="77">
        <f t="shared" ref="CR11:CR42" si="20">J11+N11+R11+V11+Z11+AD11+AH11+AL11+AP11+AT11+AX11+BB11+BF11+BJ11+BN11+BR11+BV11+BZ11+CD11+CH11+CL11</f>
        <v>0</v>
      </c>
      <c r="CS11" s="35"/>
    </row>
    <row r="12" spans="1:97" s="1" customFormat="1">
      <c r="A12" s="30" t="s">
        <v>119</v>
      </c>
      <c r="B12" s="47"/>
      <c r="C12" s="31" t="s">
        <v>121</v>
      </c>
      <c r="D12" s="32"/>
      <c r="E12" s="32"/>
      <c r="F12" s="87"/>
      <c r="G12" s="48"/>
      <c r="H12" s="84"/>
      <c r="I12" s="80">
        <f t="shared" ref="I12:I59" si="21">H12*CQ12</f>
        <v>0</v>
      </c>
      <c r="J12" s="79">
        <f t="shared" ref="J12:J59" si="22">G12*I12</f>
        <v>0</v>
      </c>
      <c r="K12" s="49"/>
      <c r="L12" s="84"/>
      <c r="M12" s="81">
        <f t="shared" si="0"/>
        <v>0</v>
      </c>
      <c r="N12" s="79">
        <f t="shared" si="1"/>
        <v>0</v>
      </c>
      <c r="O12" s="48"/>
      <c r="P12" s="84"/>
      <c r="Q12" s="81">
        <f t="shared" si="2"/>
        <v>0</v>
      </c>
      <c r="R12" s="79">
        <f t="shared" si="3"/>
        <v>0</v>
      </c>
      <c r="S12" s="49"/>
      <c r="T12" s="84"/>
      <c r="U12" s="81">
        <v>0</v>
      </c>
      <c r="V12" s="79">
        <v>0</v>
      </c>
      <c r="W12" s="49"/>
      <c r="X12" s="84"/>
      <c r="Y12" s="81">
        <v>0</v>
      </c>
      <c r="Z12" s="79">
        <v>0</v>
      </c>
      <c r="AA12" s="49"/>
      <c r="AB12" s="84"/>
      <c r="AC12" s="81">
        <v>0</v>
      </c>
      <c r="AD12" s="79">
        <v>0</v>
      </c>
      <c r="AE12" s="49"/>
      <c r="AF12" s="84"/>
      <c r="AG12" s="81">
        <f t="shared" ref="AG12:AG59" si="23">AF12*CZ12</f>
        <v>0</v>
      </c>
      <c r="AH12" s="79">
        <f t="shared" si="4"/>
        <v>0</v>
      </c>
      <c r="AI12" s="48"/>
      <c r="AJ12" s="84"/>
      <c r="AK12" s="81">
        <f t="shared" si="5"/>
        <v>0</v>
      </c>
      <c r="AL12" s="79">
        <f t="shared" si="6"/>
        <v>0</v>
      </c>
      <c r="AM12" s="48"/>
      <c r="AN12" s="84"/>
      <c r="AO12" s="81">
        <f t="shared" si="7"/>
        <v>0</v>
      </c>
      <c r="AP12" s="79">
        <f t="shared" si="8"/>
        <v>0</v>
      </c>
      <c r="AQ12" s="48"/>
      <c r="AR12" s="84"/>
      <c r="AS12" s="81">
        <f t="shared" si="9"/>
        <v>0</v>
      </c>
      <c r="AT12" s="79">
        <f t="shared" si="10"/>
        <v>0</v>
      </c>
      <c r="AU12" s="49"/>
      <c r="AV12" s="84"/>
      <c r="AW12" s="81">
        <v>0</v>
      </c>
      <c r="AX12" s="79">
        <v>0</v>
      </c>
      <c r="AY12" s="49"/>
      <c r="AZ12" s="84"/>
      <c r="BA12" s="81">
        <v>0</v>
      </c>
      <c r="BB12" s="79">
        <v>0</v>
      </c>
      <c r="BC12" s="49"/>
      <c r="BD12" s="84"/>
      <c r="BE12" s="81">
        <v>0</v>
      </c>
      <c r="BF12" s="79">
        <v>0</v>
      </c>
      <c r="BG12" s="49"/>
      <c r="BH12" s="84"/>
      <c r="BI12" s="81">
        <v>0</v>
      </c>
      <c r="BJ12" s="79">
        <v>0</v>
      </c>
      <c r="BK12" s="49"/>
      <c r="BL12" s="84"/>
      <c r="BM12" s="81">
        <v>0</v>
      </c>
      <c r="BN12" s="79">
        <v>0</v>
      </c>
      <c r="BO12" s="51"/>
      <c r="BP12" s="84"/>
      <c r="BQ12" s="81">
        <v>0</v>
      </c>
      <c r="BR12" s="79">
        <v>0</v>
      </c>
      <c r="BS12" s="49"/>
      <c r="BT12" s="84"/>
      <c r="BU12" s="81">
        <f t="shared" si="11"/>
        <v>0</v>
      </c>
      <c r="BV12" s="79">
        <f t="shared" si="12"/>
        <v>0</v>
      </c>
      <c r="BW12" s="48">
        <v>480</v>
      </c>
      <c r="BX12" s="84"/>
      <c r="BY12" s="81">
        <f t="shared" si="13"/>
        <v>0</v>
      </c>
      <c r="BZ12" s="79">
        <f t="shared" si="14"/>
        <v>0</v>
      </c>
      <c r="CA12" s="48"/>
      <c r="CB12" s="84"/>
      <c r="CC12" s="81">
        <v>0</v>
      </c>
      <c r="CD12" s="79">
        <v>0</v>
      </c>
      <c r="CE12" s="49"/>
      <c r="CF12" s="84"/>
      <c r="CG12" s="81">
        <f t="shared" si="15"/>
        <v>0</v>
      </c>
      <c r="CH12" s="79">
        <f t="shared" si="16"/>
        <v>0</v>
      </c>
      <c r="CI12" s="33"/>
      <c r="CJ12" s="84"/>
      <c r="CK12" s="81">
        <f t="shared" si="17"/>
        <v>0</v>
      </c>
      <c r="CL12" s="79">
        <f t="shared" si="18"/>
        <v>0</v>
      </c>
      <c r="CM12" s="34"/>
      <c r="CN12" s="34"/>
      <c r="CO12" s="34"/>
      <c r="CP12" s="34"/>
      <c r="CQ12" s="50">
        <f t="shared" si="19"/>
        <v>1</v>
      </c>
      <c r="CR12" s="77">
        <f t="shared" si="20"/>
        <v>0</v>
      </c>
      <c r="CS12" s="35"/>
    </row>
    <row r="13" spans="1:97" s="1" customFormat="1">
      <c r="A13" s="30" t="s">
        <v>122</v>
      </c>
      <c r="B13" s="47"/>
      <c r="C13" s="31" t="s">
        <v>121</v>
      </c>
      <c r="D13" s="32"/>
      <c r="E13" s="32"/>
      <c r="F13" s="87"/>
      <c r="G13" s="48"/>
      <c r="H13" s="84"/>
      <c r="I13" s="80">
        <f t="shared" si="21"/>
        <v>0</v>
      </c>
      <c r="J13" s="79">
        <f t="shared" si="22"/>
        <v>0</v>
      </c>
      <c r="K13" s="49"/>
      <c r="L13" s="84"/>
      <c r="M13" s="81">
        <f t="shared" si="0"/>
        <v>0</v>
      </c>
      <c r="N13" s="79">
        <f t="shared" si="1"/>
        <v>0</v>
      </c>
      <c r="O13" s="48">
        <v>3840</v>
      </c>
      <c r="P13" s="84"/>
      <c r="Q13" s="81">
        <f t="shared" si="2"/>
        <v>0</v>
      </c>
      <c r="R13" s="79">
        <f t="shared" si="3"/>
        <v>0</v>
      </c>
      <c r="S13" s="49"/>
      <c r="T13" s="84"/>
      <c r="U13" s="81">
        <v>0</v>
      </c>
      <c r="V13" s="79">
        <v>0</v>
      </c>
      <c r="W13" s="49"/>
      <c r="X13" s="84"/>
      <c r="Y13" s="81">
        <v>0</v>
      </c>
      <c r="Z13" s="79">
        <v>0</v>
      </c>
      <c r="AA13" s="49"/>
      <c r="AB13" s="84"/>
      <c r="AC13" s="81">
        <v>0</v>
      </c>
      <c r="AD13" s="79">
        <v>0</v>
      </c>
      <c r="AE13" s="49"/>
      <c r="AF13" s="84"/>
      <c r="AG13" s="81">
        <f t="shared" si="23"/>
        <v>0</v>
      </c>
      <c r="AH13" s="79">
        <f t="shared" si="4"/>
        <v>0</v>
      </c>
      <c r="AI13" s="48"/>
      <c r="AJ13" s="84"/>
      <c r="AK13" s="81">
        <f t="shared" si="5"/>
        <v>0</v>
      </c>
      <c r="AL13" s="79">
        <f t="shared" si="6"/>
        <v>0</v>
      </c>
      <c r="AM13" s="48"/>
      <c r="AN13" s="84"/>
      <c r="AO13" s="81">
        <f t="shared" si="7"/>
        <v>0</v>
      </c>
      <c r="AP13" s="79">
        <f t="shared" si="8"/>
        <v>0</v>
      </c>
      <c r="AQ13" s="48"/>
      <c r="AR13" s="84"/>
      <c r="AS13" s="81">
        <f t="shared" si="9"/>
        <v>0</v>
      </c>
      <c r="AT13" s="79">
        <f t="shared" si="10"/>
        <v>0</v>
      </c>
      <c r="AU13" s="49"/>
      <c r="AV13" s="84"/>
      <c r="AW13" s="81">
        <v>0</v>
      </c>
      <c r="AX13" s="79">
        <v>0</v>
      </c>
      <c r="AY13" s="49"/>
      <c r="AZ13" s="84"/>
      <c r="BA13" s="81">
        <v>0</v>
      </c>
      <c r="BB13" s="79">
        <v>0</v>
      </c>
      <c r="BC13" s="49"/>
      <c r="BD13" s="84"/>
      <c r="BE13" s="81">
        <v>0</v>
      </c>
      <c r="BF13" s="79">
        <v>0</v>
      </c>
      <c r="BG13" s="49"/>
      <c r="BH13" s="84"/>
      <c r="BI13" s="81">
        <v>0</v>
      </c>
      <c r="BJ13" s="79">
        <v>0</v>
      </c>
      <c r="BK13" s="49"/>
      <c r="BL13" s="84"/>
      <c r="BM13" s="81">
        <v>0</v>
      </c>
      <c r="BN13" s="79">
        <v>0</v>
      </c>
      <c r="BO13" s="49"/>
      <c r="BP13" s="84"/>
      <c r="BQ13" s="81">
        <v>0</v>
      </c>
      <c r="BR13" s="79">
        <v>0</v>
      </c>
      <c r="BS13" s="49"/>
      <c r="BT13" s="84"/>
      <c r="BU13" s="81">
        <f t="shared" si="11"/>
        <v>0</v>
      </c>
      <c r="BV13" s="79">
        <f t="shared" si="12"/>
        <v>0</v>
      </c>
      <c r="BW13" s="48"/>
      <c r="BX13" s="84"/>
      <c r="BY13" s="81">
        <f t="shared" si="13"/>
        <v>0</v>
      </c>
      <c r="BZ13" s="79">
        <f t="shared" si="14"/>
        <v>0</v>
      </c>
      <c r="CA13" s="48"/>
      <c r="CB13" s="84"/>
      <c r="CC13" s="81">
        <v>0</v>
      </c>
      <c r="CD13" s="79">
        <v>0</v>
      </c>
      <c r="CE13" s="49"/>
      <c r="CF13" s="84"/>
      <c r="CG13" s="81">
        <f t="shared" si="15"/>
        <v>0</v>
      </c>
      <c r="CH13" s="79">
        <f t="shared" si="16"/>
        <v>0</v>
      </c>
      <c r="CI13" s="33"/>
      <c r="CJ13" s="84"/>
      <c r="CK13" s="81">
        <f t="shared" si="17"/>
        <v>0</v>
      </c>
      <c r="CL13" s="79">
        <f t="shared" si="18"/>
        <v>0</v>
      </c>
      <c r="CM13" s="34"/>
      <c r="CN13" s="34"/>
      <c r="CO13" s="34"/>
      <c r="CP13" s="34"/>
      <c r="CQ13" s="50">
        <f t="shared" si="19"/>
        <v>1</v>
      </c>
      <c r="CR13" s="77">
        <f t="shared" si="20"/>
        <v>0</v>
      </c>
      <c r="CS13" s="28"/>
    </row>
    <row r="14" spans="1:97" s="1" customFormat="1">
      <c r="A14" s="30" t="s">
        <v>122</v>
      </c>
      <c r="B14" s="47"/>
      <c r="C14" s="31" t="s">
        <v>123</v>
      </c>
      <c r="D14" s="32"/>
      <c r="E14" s="32"/>
      <c r="F14" s="87"/>
      <c r="G14" s="48"/>
      <c r="H14" s="84"/>
      <c r="I14" s="80">
        <f t="shared" si="21"/>
        <v>0</v>
      </c>
      <c r="J14" s="79">
        <f t="shared" si="22"/>
        <v>0</v>
      </c>
      <c r="K14" s="49"/>
      <c r="L14" s="84"/>
      <c r="M14" s="81">
        <f t="shared" si="0"/>
        <v>0</v>
      </c>
      <c r="N14" s="79">
        <f t="shared" si="1"/>
        <v>0</v>
      </c>
      <c r="O14" s="48">
        <v>1920</v>
      </c>
      <c r="P14" s="84"/>
      <c r="Q14" s="81">
        <f t="shared" si="2"/>
        <v>0</v>
      </c>
      <c r="R14" s="79">
        <f t="shared" si="3"/>
        <v>0</v>
      </c>
      <c r="S14" s="49"/>
      <c r="T14" s="84"/>
      <c r="U14" s="81">
        <v>0</v>
      </c>
      <c r="V14" s="79">
        <v>0</v>
      </c>
      <c r="W14" s="49"/>
      <c r="X14" s="84"/>
      <c r="Y14" s="81">
        <v>0</v>
      </c>
      <c r="Z14" s="79">
        <v>0</v>
      </c>
      <c r="AA14" s="49"/>
      <c r="AB14" s="84"/>
      <c r="AC14" s="81">
        <v>0</v>
      </c>
      <c r="AD14" s="79">
        <v>0</v>
      </c>
      <c r="AE14" s="49"/>
      <c r="AF14" s="84"/>
      <c r="AG14" s="81">
        <f t="shared" si="23"/>
        <v>0</v>
      </c>
      <c r="AH14" s="79">
        <f t="shared" si="4"/>
        <v>0</v>
      </c>
      <c r="AI14" s="48"/>
      <c r="AJ14" s="84"/>
      <c r="AK14" s="81">
        <f t="shared" si="5"/>
        <v>0</v>
      </c>
      <c r="AL14" s="79">
        <f t="shared" si="6"/>
        <v>0</v>
      </c>
      <c r="AM14" s="48"/>
      <c r="AN14" s="84"/>
      <c r="AO14" s="81">
        <f t="shared" si="7"/>
        <v>0</v>
      </c>
      <c r="AP14" s="79">
        <f t="shared" si="8"/>
        <v>0</v>
      </c>
      <c r="AQ14" s="48"/>
      <c r="AR14" s="84"/>
      <c r="AS14" s="81">
        <f t="shared" si="9"/>
        <v>0</v>
      </c>
      <c r="AT14" s="79">
        <f t="shared" si="10"/>
        <v>0</v>
      </c>
      <c r="AU14" s="49"/>
      <c r="AV14" s="84"/>
      <c r="AW14" s="81">
        <v>0</v>
      </c>
      <c r="AX14" s="79">
        <v>0</v>
      </c>
      <c r="AY14" s="49"/>
      <c r="AZ14" s="84"/>
      <c r="BA14" s="81">
        <v>0</v>
      </c>
      <c r="BB14" s="79">
        <v>0</v>
      </c>
      <c r="BC14" s="49"/>
      <c r="BD14" s="84"/>
      <c r="BE14" s="81">
        <v>0</v>
      </c>
      <c r="BF14" s="79">
        <v>0</v>
      </c>
      <c r="BG14" s="49"/>
      <c r="BH14" s="84"/>
      <c r="BI14" s="81">
        <v>0</v>
      </c>
      <c r="BJ14" s="79">
        <v>0</v>
      </c>
      <c r="BK14" s="49"/>
      <c r="BL14" s="84"/>
      <c r="BM14" s="81">
        <v>0</v>
      </c>
      <c r="BN14" s="79">
        <v>0</v>
      </c>
      <c r="BO14" s="49"/>
      <c r="BP14" s="84"/>
      <c r="BQ14" s="81">
        <v>0</v>
      </c>
      <c r="BR14" s="79">
        <v>0</v>
      </c>
      <c r="BS14" s="49"/>
      <c r="BT14" s="84"/>
      <c r="BU14" s="81">
        <f t="shared" si="11"/>
        <v>0</v>
      </c>
      <c r="BV14" s="79">
        <f t="shared" si="12"/>
        <v>0</v>
      </c>
      <c r="BW14" s="48"/>
      <c r="BX14" s="84"/>
      <c r="BY14" s="81">
        <f t="shared" si="13"/>
        <v>0</v>
      </c>
      <c r="BZ14" s="79">
        <f t="shared" si="14"/>
        <v>0</v>
      </c>
      <c r="CA14" s="48"/>
      <c r="CB14" s="84"/>
      <c r="CC14" s="81">
        <v>0</v>
      </c>
      <c r="CD14" s="79">
        <v>0</v>
      </c>
      <c r="CE14" s="49"/>
      <c r="CF14" s="84"/>
      <c r="CG14" s="81">
        <f t="shared" si="15"/>
        <v>0</v>
      </c>
      <c r="CH14" s="79">
        <f t="shared" si="16"/>
        <v>0</v>
      </c>
      <c r="CI14" s="33"/>
      <c r="CJ14" s="84"/>
      <c r="CK14" s="81">
        <f t="shared" si="17"/>
        <v>0</v>
      </c>
      <c r="CL14" s="79">
        <f t="shared" si="18"/>
        <v>0</v>
      </c>
      <c r="CM14" s="34"/>
      <c r="CN14" s="34"/>
      <c r="CO14" s="34"/>
      <c r="CP14" s="34"/>
      <c r="CQ14" s="50">
        <f t="shared" si="19"/>
        <v>1</v>
      </c>
      <c r="CR14" s="77">
        <f t="shared" si="20"/>
        <v>0</v>
      </c>
      <c r="CS14" s="28"/>
    </row>
    <row r="15" spans="1:97" s="1" customFormat="1">
      <c r="A15" s="30" t="s">
        <v>124</v>
      </c>
      <c r="B15" s="47"/>
      <c r="C15" s="31" t="s">
        <v>123</v>
      </c>
      <c r="D15" s="32"/>
      <c r="E15" s="32"/>
      <c r="F15" s="87"/>
      <c r="G15" s="48"/>
      <c r="H15" s="84"/>
      <c r="I15" s="80">
        <f t="shared" si="21"/>
        <v>0</v>
      </c>
      <c r="J15" s="79">
        <f t="shared" si="22"/>
        <v>0</v>
      </c>
      <c r="K15" s="49"/>
      <c r="L15" s="84"/>
      <c r="M15" s="81">
        <f t="shared" si="0"/>
        <v>0</v>
      </c>
      <c r="N15" s="79">
        <f t="shared" si="1"/>
        <v>0</v>
      </c>
      <c r="O15" s="48"/>
      <c r="P15" s="84"/>
      <c r="Q15" s="81">
        <f t="shared" si="2"/>
        <v>0</v>
      </c>
      <c r="R15" s="79">
        <f t="shared" si="3"/>
        <v>0</v>
      </c>
      <c r="S15" s="49"/>
      <c r="T15" s="84"/>
      <c r="U15" s="81">
        <v>0</v>
      </c>
      <c r="V15" s="79">
        <v>0</v>
      </c>
      <c r="W15" s="49"/>
      <c r="X15" s="84"/>
      <c r="Y15" s="81">
        <v>0</v>
      </c>
      <c r="Z15" s="79">
        <v>0</v>
      </c>
      <c r="AA15" s="49"/>
      <c r="AB15" s="84"/>
      <c r="AC15" s="81">
        <v>0</v>
      </c>
      <c r="AD15" s="79">
        <v>0</v>
      </c>
      <c r="AE15" s="49"/>
      <c r="AF15" s="84"/>
      <c r="AG15" s="81">
        <f t="shared" si="23"/>
        <v>0</v>
      </c>
      <c r="AH15" s="79">
        <f t="shared" si="4"/>
        <v>0</v>
      </c>
      <c r="AI15" s="48"/>
      <c r="AJ15" s="84"/>
      <c r="AK15" s="81">
        <f t="shared" si="5"/>
        <v>0</v>
      </c>
      <c r="AL15" s="79">
        <f t="shared" si="6"/>
        <v>0</v>
      </c>
      <c r="AM15" s="48"/>
      <c r="AN15" s="84"/>
      <c r="AO15" s="81">
        <f t="shared" si="7"/>
        <v>0</v>
      </c>
      <c r="AP15" s="79">
        <f t="shared" si="8"/>
        <v>0</v>
      </c>
      <c r="AQ15" s="48"/>
      <c r="AR15" s="84"/>
      <c r="AS15" s="81">
        <f t="shared" si="9"/>
        <v>0</v>
      </c>
      <c r="AT15" s="79">
        <f t="shared" si="10"/>
        <v>0</v>
      </c>
      <c r="AU15" s="49"/>
      <c r="AV15" s="84"/>
      <c r="AW15" s="81">
        <v>0</v>
      </c>
      <c r="AX15" s="79">
        <v>0</v>
      </c>
      <c r="AY15" s="49"/>
      <c r="AZ15" s="84"/>
      <c r="BA15" s="81">
        <v>0</v>
      </c>
      <c r="BB15" s="79">
        <v>0</v>
      </c>
      <c r="BC15" s="49"/>
      <c r="BD15" s="84"/>
      <c r="BE15" s="81">
        <v>0</v>
      </c>
      <c r="BF15" s="79">
        <v>0</v>
      </c>
      <c r="BG15" s="49"/>
      <c r="BH15" s="84"/>
      <c r="BI15" s="81">
        <v>0</v>
      </c>
      <c r="BJ15" s="79">
        <v>0</v>
      </c>
      <c r="BK15" s="49"/>
      <c r="BL15" s="84"/>
      <c r="BM15" s="81">
        <v>0</v>
      </c>
      <c r="BN15" s="79">
        <v>0</v>
      </c>
      <c r="BO15" s="49"/>
      <c r="BP15" s="84"/>
      <c r="BQ15" s="81">
        <v>0</v>
      </c>
      <c r="BR15" s="79">
        <v>0</v>
      </c>
      <c r="BS15" s="49"/>
      <c r="BT15" s="84"/>
      <c r="BU15" s="81">
        <f t="shared" si="11"/>
        <v>0</v>
      </c>
      <c r="BV15" s="79">
        <f t="shared" si="12"/>
        <v>0</v>
      </c>
      <c r="BW15" s="48"/>
      <c r="BX15" s="84"/>
      <c r="BY15" s="81">
        <f t="shared" si="13"/>
        <v>0</v>
      </c>
      <c r="BZ15" s="79">
        <f t="shared" si="14"/>
        <v>0</v>
      </c>
      <c r="CA15" s="48"/>
      <c r="CB15" s="84"/>
      <c r="CC15" s="81">
        <v>0</v>
      </c>
      <c r="CD15" s="79">
        <v>0</v>
      </c>
      <c r="CE15" s="49"/>
      <c r="CF15" s="84"/>
      <c r="CG15" s="81">
        <f t="shared" si="15"/>
        <v>0</v>
      </c>
      <c r="CH15" s="79">
        <f t="shared" si="16"/>
        <v>0</v>
      </c>
      <c r="CI15" s="33"/>
      <c r="CJ15" s="84"/>
      <c r="CK15" s="81">
        <f t="shared" si="17"/>
        <v>0</v>
      </c>
      <c r="CL15" s="79">
        <f t="shared" si="18"/>
        <v>0</v>
      </c>
      <c r="CM15" s="34"/>
      <c r="CN15" s="34"/>
      <c r="CO15" s="34"/>
      <c r="CP15" s="34"/>
      <c r="CQ15" s="50">
        <f t="shared" si="19"/>
        <v>1</v>
      </c>
      <c r="CR15" s="77">
        <f t="shared" si="20"/>
        <v>0</v>
      </c>
      <c r="CS15" s="28"/>
    </row>
    <row r="16" spans="1:97" s="1" customFormat="1">
      <c r="A16" s="30" t="s">
        <v>125</v>
      </c>
      <c r="B16" s="47"/>
      <c r="C16" s="31" t="s">
        <v>123</v>
      </c>
      <c r="D16" s="32"/>
      <c r="E16" s="32"/>
      <c r="F16" s="87"/>
      <c r="G16" s="48"/>
      <c r="H16" s="84"/>
      <c r="I16" s="80">
        <f t="shared" si="21"/>
        <v>0</v>
      </c>
      <c r="J16" s="79">
        <f t="shared" si="22"/>
        <v>0</v>
      </c>
      <c r="K16" s="49"/>
      <c r="L16" s="84"/>
      <c r="M16" s="81">
        <f t="shared" si="0"/>
        <v>0</v>
      </c>
      <c r="N16" s="79">
        <f t="shared" si="1"/>
        <v>0</v>
      </c>
      <c r="O16" s="48"/>
      <c r="P16" s="84"/>
      <c r="Q16" s="81">
        <f t="shared" si="2"/>
        <v>0</v>
      </c>
      <c r="R16" s="79">
        <f t="shared" si="3"/>
        <v>0</v>
      </c>
      <c r="S16" s="49"/>
      <c r="T16" s="84"/>
      <c r="U16" s="81">
        <v>0</v>
      </c>
      <c r="V16" s="79">
        <v>0</v>
      </c>
      <c r="W16" s="49"/>
      <c r="X16" s="84"/>
      <c r="Y16" s="81">
        <v>0</v>
      </c>
      <c r="Z16" s="79">
        <v>0</v>
      </c>
      <c r="AA16" s="49"/>
      <c r="AB16" s="84"/>
      <c r="AC16" s="81">
        <v>0</v>
      </c>
      <c r="AD16" s="79">
        <v>0</v>
      </c>
      <c r="AE16" s="49"/>
      <c r="AF16" s="84"/>
      <c r="AG16" s="81">
        <f t="shared" si="23"/>
        <v>0</v>
      </c>
      <c r="AH16" s="79">
        <f t="shared" si="4"/>
        <v>0</v>
      </c>
      <c r="AI16" s="48"/>
      <c r="AJ16" s="84"/>
      <c r="AK16" s="81">
        <f t="shared" si="5"/>
        <v>0</v>
      </c>
      <c r="AL16" s="79">
        <f t="shared" si="6"/>
        <v>0</v>
      </c>
      <c r="AM16" s="48"/>
      <c r="AN16" s="84"/>
      <c r="AO16" s="81">
        <f t="shared" si="7"/>
        <v>0</v>
      </c>
      <c r="AP16" s="79">
        <f t="shared" si="8"/>
        <v>0</v>
      </c>
      <c r="AQ16" s="48"/>
      <c r="AR16" s="84"/>
      <c r="AS16" s="81">
        <f t="shared" si="9"/>
        <v>0</v>
      </c>
      <c r="AT16" s="79">
        <f t="shared" si="10"/>
        <v>0</v>
      </c>
      <c r="AU16" s="49"/>
      <c r="AV16" s="84"/>
      <c r="AW16" s="81">
        <v>0</v>
      </c>
      <c r="AX16" s="79">
        <v>0</v>
      </c>
      <c r="AY16" s="49"/>
      <c r="AZ16" s="84"/>
      <c r="BA16" s="81">
        <v>0</v>
      </c>
      <c r="BB16" s="79">
        <v>0</v>
      </c>
      <c r="BC16" s="49"/>
      <c r="BD16" s="84"/>
      <c r="BE16" s="81">
        <v>0</v>
      </c>
      <c r="BF16" s="79">
        <v>0</v>
      </c>
      <c r="BG16" s="49"/>
      <c r="BH16" s="84"/>
      <c r="BI16" s="81">
        <v>0</v>
      </c>
      <c r="BJ16" s="79">
        <v>0</v>
      </c>
      <c r="BK16" s="49"/>
      <c r="BL16" s="84"/>
      <c r="BM16" s="81">
        <v>0</v>
      </c>
      <c r="BN16" s="79">
        <v>0</v>
      </c>
      <c r="BO16" s="49"/>
      <c r="BP16" s="84"/>
      <c r="BQ16" s="81">
        <v>0</v>
      </c>
      <c r="BR16" s="79">
        <v>0</v>
      </c>
      <c r="BS16" s="49"/>
      <c r="BT16" s="84"/>
      <c r="BU16" s="81">
        <f t="shared" si="11"/>
        <v>0</v>
      </c>
      <c r="BV16" s="79">
        <f t="shared" si="12"/>
        <v>0</v>
      </c>
      <c r="BW16" s="48"/>
      <c r="BX16" s="84"/>
      <c r="BY16" s="81">
        <f t="shared" si="13"/>
        <v>0</v>
      </c>
      <c r="BZ16" s="79">
        <f t="shared" si="14"/>
        <v>0</v>
      </c>
      <c r="CA16" s="48">
        <v>1920</v>
      </c>
      <c r="CB16" s="84"/>
      <c r="CC16" s="81">
        <v>0</v>
      </c>
      <c r="CD16" s="79">
        <v>0</v>
      </c>
      <c r="CE16" s="49"/>
      <c r="CF16" s="84"/>
      <c r="CG16" s="81">
        <f t="shared" si="15"/>
        <v>0</v>
      </c>
      <c r="CH16" s="79">
        <f t="shared" si="16"/>
        <v>0</v>
      </c>
      <c r="CI16" s="33"/>
      <c r="CJ16" s="84"/>
      <c r="CK16" s="81">
        <f t="shared" si="17"/>
        <v>0</v>
      </c>
      <c r="CL16" s="79">
        <f t="shared" si="18"/>
        <v>0</v>
      </c>
      <c r="CM16" s="34"/>
      <c r="CN16" s="34"/>
      <c r="CO16" s="34"/>
      <c r="CP16" s="34"/>
      <c r="CQ16" s="50">
        <f t="shared" si="19"/>
        <v>1</v>
      </c>
      <c r="CR16" s="77">
        <f t="shared" si="20"/>
        <v>0</v>
      </c>
      <c r="CS16" s="28"/>
    </row>
    <row r="17" spans="1:97" s="1" customFormat="1">
      <c r="A17" s="30" t="s">
        <v>126</v>
      </c>
      <c r="B17" s="47"/>
      <c r="C17" s="63" t="s">
        <v>120</v>
      </c>
      <c r="D17" s="32"/>
      <c r="E17" s="32"/>
      <c r="F17" s="87"/>
      <c r="G17" s="52">
        <v>1920</v>
      </c>
      <c r="H17" s="84"/>
      <c r="I17" s="80">
        <f t="shared" si="21"/>
        <v>0</v>
      </c>
      <c r="J17" s="79">
        <f t="shared" si="22"/>
        <v>0</v>
      </c>
      <c r="K17" s="49"/>
      <c r="L17" s="84"/>
      <c r="M17" s="81">
        <f t="shared" si="0"/>
        <v>0</v>
      </c>
      <c r="N17" s="79">
        <f t="shared" si="1"/>
        <v>0</v>
      </c>
      <c r="O17" s="48"/>
      <c r="P17" s="84"/>
      <c r="Q17" s="81">
        <f t="shared" si="2"/>
        <v>0</v>
      </c>
      <c r="R17" s="79">
        <f t="shared" si="3"/>
        <v>0</v>
      </c>
      <c r="S17" s="49"/>
      <c r="T17" s="84"/>
      <c r="U17" s="81">
        <v>0</v>
      </c>
      <c r="V17" s="79">
        <v>0</v>
      </c>
      <c r="W17" s="49"/>
      <c r="X17" s="84"/>
      <c r="Y17" s="81">
        <v>0</v>
      </c>
      <c r="Z17" s="79">
        <v>0</v>
      </c>
      <c r="AA17" s="49"/>
      <c r="AB17" s="84"/>
      <c r="AC17" s="81">
        <v>0</v>
      </c>
      <c r="AD17" s="79">
        <v>0</v>
      </c>
      <c r="AE17" s="49"/>
      <c r="AF17" s="84"/>
      <c r="AG17" s="81">
        <f t="shared" si="23"/>
        <v>0</v>
      </c>
      <c r="AH17" s="79">
        <f t="shared" si="4"/>
        <v>0</v>
      </c>
      <c r="AI17" s="48">
        <v>1920</v>
      </c>
      <c r="AJ17" s="84"/>
      <c r="AK17" s="81">
        <f t="shared" si="5"/>
        <v>0</v>
      </c>
      <c r="AL17" s="79">
        <f t="shared" si="6"/>
        <v>0</v>
      </c>
      <c r="AM17" s="48"/>
      <c r="AN17" s="84"/>
      <c r="AO17" s="81">
        <f t="shared" si="7"/>
        <v>0</v>
      </c>
      <c r="AP17" s="79">
        <f t="shared" si="8"/>
        <v>0</v>
      </c>
      <c r="AQ17" s="48"/>
      <c r="AR17" s="84"/>
      <c r="AS17" s="81">
        <f t="shared" si="9"/>
        <v>0</v>
      </c>
      <c r="AT17" s="79">
        <f t="shared" si="10"/>
        <v>0</v>
      </c>
      <c r="AU17" s="49"/>
      <c r="AV17" s="84"/>
      <c r="AW17" s="81">
        <v>0</v>
      </c>
      <c r="AX17" s="79">
        <v>0</v>
      </c>
      <c r="AY17" s="49"/>
      <c r="AZ17" s="84"/>
      <c r="BA17" s="81">
        <v>0</v>
      </c>
      <c r="BB17" s="79">
        <v>0</v>
      </c>
      <c r="BC17" s="49"/>
      <c r="BD17" s="84"/>
      <c r="BE17" s="81">
        <v>0</v>
      </c>
      <c r="BF17" s="79">
        <v>0</v>
      </c>
      <c r="BG17" s="49"/>
      <c r="BH17" s="84"/>
      <c r="BI17" s="81">
        <v>0</v>
      </c>
      <c r="BJ17" s="79">
        <v>0</v>
      </c>
      <c r="BK17" s="49"/>
      <c r="BL17" s="84"/>
      <c r="BM17" s="81">
        <v>0</v>
      </c>
      <c r="BN17" s="79">
        <v>0</v>
      </c>
      <c r="BO17" s="49"/>
      <c r="BP17" s="84"/>
      <c r="BQ17" s="81">
        <v>0</v>
      </c>
      <c r="BR17" s="79">
        <v>0</v>
      </c>
      <c r="BS17" s="49"/>
      <c r="BT17" s="84"/>
      <c r="BU17" s="81">
        <f t="shared" si="11"/>
        <v>0</v>
      </c>
      <c r="BV17" s="79">
        <f t="shared" si="12"/>
        <v>0</v>
      </c>
      <c r="BW17" s="48"/>
      <c r="BX17" s="84"/>
      <c r="BY17" s="81">
        <f t="shared" si="13"/>
        <v>0</v>
      </c>
      <c r="BZ17" s="79">
        <f t="shared" si="14"/>
        <v>0</v>
      </c>
      <c r="CA17" s="48"/>
      <c r="CB17" s="84"/>
      <c r="CC17" s="81">
        <v>0</v>
      </c>
      <c r="CD17" s="79">
        <v>0</v>
      </c>
      <c r="CE17" s="49"/>
      <c r="CF17" s="84"/>
      <c r="CG17" s="81">
        <f t="shared" si="15"/>
        <v>0</v>
      </c>
      <c r="CH17" s="79">
        <f t="shared" si="16"/>
        <v>0</v>
      </c>
      <c r="CI17" s="33"/>
      <c r="CJ17" s="84"/>
      <c r="CK17" s="81">
        <f t="shared" si="17"/>
        <v>0</v>
      </c>
      <c r="CL17" s="79">
        <f t="shared" si="18"/>
        <v>0</v>
      </c>
      <c r="CM17" s="34"/>
      <c r="CN17" s="34"/>
      <c r="CO17" s="34"/>
      <c r="CP17" s="34"/>
      <c r="CQ17" s="50">
        <f t="shared" si="19"/>
        <v>1</v>
      </c>
      <c r="CR17" s="77">
        <f t="shared" si="20"/>
        <v>0</v>
      </c>
      <c r="CS17" s="28"/>
    </row>
    <row r="18" spans="1:97" s="1" customFormat="1">
      <c r="A18" s="30" t="s">
        <v>126</v>
      </c>
      <c r="B18" s="47"/>
      <c r="C18" s="31" t="s">
        <v>121</v>
      </c>
      <c r="D18" s="32"/>
      <c r="E18" s="32"/>
      <c r="F18" s="87"/>
      <c r="G18" s="48">
        <v>5760</v>
      </c>
      <c r="H18" s="84"/>
      <c r="I18" s="80">
        <f t="shared" si="21"/>
        <v>0</v>
      </c>
      <c r="J18" s="79">
        <f t="shared" si="22"/>
        <v>0</v>
      </c>
      <c r="K18" s="49"/>
      <c r="L18" s="84"/>
      <c r="M18" s="81">
        <f t="shared" si="0"/>
        <v>0</v>
      </c>
      <c r="N18" s="79">
        <f t="shared" si="1"/>
        <v>0</v>
      </c>
      <c r="O18" s="48"/>
      <c r="P18" s="84"/>
      <c r="Q18" s="81">
        <f t="shared" si="2"/>
        <v>0</v>
      </c>
      <c r="R18" s="79">
        <f t="shared" si="3"/>
        <v>0</v>
      </c>
      <c r="S18" s="49"/>
      <c r="T18" s="84"/>
      <c r="U18" s="81">
        <v>0</v>
      </c>
      <c r="V18" s="79">
        <v>0</v>
      </c>
      <c r="W18" s="49"/>
      <c r="X18" s="84"/>
      <c r="Y18" s="81">
        <v>0</v>
      </c>
      <c r="Z18" s="79">
        <v>0</v>
      </c>
      <c r="AA18" s="49"/>
      <c r="AB18" s="84"/>
      <c r="AC18" s="81">
        <v>0</v>
      </c>
      <c r="AD18" s="79">
        <v>0</v>
      </c>
      <c r="AE18" s="49"/>
      <c r="AF18" s="84"/>
      <c r="AG18" s="81">
        <f t="shared" si="23"/>
        <v>0</v>
      </c>
      <c r="AH18" s="79">
        <f t="shared" si="4"/>
        <v>0</v>
      </c>
      <c r="AI18" s="48"/>
      <c r="AJ18" s="84"/>
      <c r="AK18" s="81">
        <f t="shared" si="5"/>
        <v>0</v>
      </c>
      <c r="AL18" s="79">
        <f t="shared" si="6"/>
        <v>0</v>
      </c>
      <c r="AM18" s="48"/>
      <c r="AN18" s="84"/>
      <c r="AO18" s="81">
        <f t="shared" si="7"/>
        <v>0</v>
      </c>
      <c r="AP18" s="79">
        <f t="shared" si="8"/>
        <v>0</v>
      </c>
      <c r="AQ18" s="48"/>
      <c r="AR18" s="84"/>
      <c r="AS18" s="81">
        <f t="shared" si="9"/>
        <v>0</v>
      </c>
      <c r="AT18" s="79">
        <f t="shared" si="10"/>
        <v>0</v>
      </c>
      <c r="AU18" s="49"/>
      <c r="AV18" s="84"/>
      <c r="AW18" s="81">
        <v>0</v>
      </c>
      <c r="AX18" s="79">
        <v>0</v>
      </c>
      <c r="AY18" s="49"/>
      <c r="AZ18" s="84"/>
      <c r="BA18" s="81">
        <v>0</v>
      </c>
      <c r="BB18" s="79">
        <v>0</v>
      </c>
      <c r="BC18" s="49"/>
      <c r="BD18" s="84"/>
      <c r="BE18" s="81">
        <v>0</v>
      </c>
      <c r="BF18" s="79">
        <v>0</v>
      </c>
      <c r="BG18" s="49"/>
      <c r="BH18" s="84"/>
      <c r="BI18" s="81">
        <v>0</v>
      </c>
      <c r="BJ18" s="79">
        <v>0</v>
      </c>
      <c r="BK18" s="49"/>
      <c r="BL18" s="84"/>
      <c r="BM18" s="81">
        <v>0</v>
      </c>
      <c r="BN18" s="79">
        <v>0</v>
      </c>
      <c r="BO18" s="49"/>
      <c r="BP18" s="84"/>
      <c r="BQ18" s="81">
        <v>0</v>
      </c>
      <c r="BR18" s="79">
        <v>0</v>
      </c>
      <c r="BS18" s="49"/>
      <c r="BT18" s="84"/>
      <c r="BU18" s="81">
        <f t="shared" si="11"/>
        <v>0</v>
      </c>
      <c r="BV18" s="79">
        <f t="shared" si="12"/>
        <v>0</v>
      </c>
      <c r="BW18" s="48"/>
      <c r="BX18" s="84"/>
      <c r="BY18" s="81">
        <f t="shared" si="13"/>
        <v>0</v>
      </c>
      <c r="BZ18" s="79">
        <f t="shared" si="14"/>
        <v>0</v>
      </c>
      <c r="CA18" s="48"/>
      <c r="CB18" s="84"/>
      <c r="CC18" s="81">
        <v>0</v>
      </c>
      <c r="CD18" s="79">
        <v>0</v>
      </c>
      <c r="CE18" s="49"/>
      <c r="CF18" s="84"/>
      <c r="CG18" s="81">
        <f t="shared" si="15"/>
        <v>0</v>
      </c>
      <c r="CH18" s="79">
        <f t="shared" si="16"/>
        <v>0</v>
      </c>
      <c r="CI18" s="33"/>
      <c r="CJ18" s="84"/>
      <c r="CK18" s="81">
        <f t="shared" si="17"/>
        <v>0</v>
      </c>
      <c r="CL18" s="79">
        <f t="shared" si="18"/>
        <v>0</v>
      </c>
      <c r="CM18" s="34"/>
      <c r="CN18" s="34"/>
      <c r="CO18" s="34"/>
      <c r="CP18" s="34"/>
      <c r="CQ18" s="50">
        <f t="shared" si="19"/>
        <v>1</v>
      </c>
      <c r="CR18" s="77">
        <f t="shared" si="20"/>
        <v>0</v>
      </c>
      <c r="CS18" s="28"/>
    </row>
    <row r="19" spans="1:97" s="1" customFormat="1">
      <c r="A19" s="30" t="s">
        <v>126</v>
      </c>
      <c r="B19" s="47"/>
      <c r="C19" s="31" t="s">
        <v>123</v>
      </c>
      <c r="D19" s="32"/>
      <c r="E19" s="32"/>
      <c r="F19" s="87"/>
      <c r="G19" s="48">
        <v>21120</v>
      </c>
      <c r="H19" s="84"/>
      <c r="I19" s="80">
        <f t="shared" si="21"/>
        <v>0</v>
      </c>
      <c r="J19" s="79">
        <f t="shared" si="22"/>
        <v>0</v>
      </c>
      <c r="K19" s="49"/>
      <c r="L19" s="84"/>
      <c r="M19" s="81">
        <f t="shared" si="0"/>
        <v>0</v>
      </c>
      <c r="N19" s="79">
        <f t="shared" si="1"/>
        <v>0</v>
      </c>
      <c r="O19" s="48"/>
      <c r="P19" s="84"/>
      <c r="Q19" s="81">
        <f t="shared" si="2"/>
        <v>0</v>
      </c>
      <c r="R19" s="79">
        <f t="shared" si="3"/>
        <v>0</v>
      </c>
      <c r="S19" s="49"/>
      <c r="T19" s="84"/>
      <c r="U19" s="81">
        <v>0</v>
      </c>
      <c r="V19" s="79">
        <v>0</v>
      </c>
      <c r="W19" s="49"/>
      <c r="X19" s="84"/>
      <c r="Y19" s="81">
        <v>0</v>
      </c>
      <c r="Z19" s="79">
        <v>0</v>
      </c>
      <c r="AA19" s="49"/>
      <c r="AB19" s="84"/>
      <c r="AC19" s="81">
        <v>0</v>
      </c>
      <c r="AD19" s="79">
        <v>0</v>
      </c>
      <c r="AE19" s="49"/>
      <c r="AF19" s="84"/>
      <c r="AG19" s="81">
        <f t="shared" si="23"/>
        <v>0</v>
      </c>
      <c r="AH19" s="79">
        <f t="shared" si="4"/>
        <v>0</v>
      </c>
      <c r="AI19" s="48"/>
      <c r="AJ19" s="84"/>
      <c r="AK19" s="81">
        <f t="shared" si="5"/>
        <v>0</v>
      </c>
      <c r="AL19" s="79">
        <f t="shared" si="6"/>
        <v>0</v>
      </c>
      <c r="AM19" s="48"/>
      <c r="AN19" s="84"/>
      <c r="AO19" s="81">
        <f t="shared" si="7"/>
        <v>0</v>
      </c>
      <c r="AP19" s="79">
        <f t="shared" si="8"/>
        <v>0</v>
      </c>
      <c r="AQ19" s="48"/>
      <c r="AR19" s="84"/>
      <c r="AS19" s="81">
        <f t="shared" si="9"/>
        <v>0</v>
      </c>
      <c r="AT19" s="79">
        <f t="shared" si="10"/>
        <v>0</v>
      </c>
      <c r="AU19" s="49"/>
      <c r="AV19" s="84"/>
      <c r="AW19" s="81">
        <v>0</v>
      </c>
      <c r="AX19" s="79">
        <v>0</v>
      </c>
      <c r="AY19" s="49"/>
      <c r="AZ19" s="84"/>
      <c r="BA19" s="81">
        <v>0</v>
      </c>
      <c r="BB19" s="79">
        <v>0</v>
      </c>
      <c r="BC19" s="49"/>
      <c r="BD19" s="84"/>
      <c r="BE19" s="81">
        <v>0</v>
      </c>
      <c r="BF19" s="79">
        <v>0</v>
      </c>
      <c r="BG19" s="49"/>
      <c r="BH19" s="84"/>
      <c r="BI19" s="81">
        <v>0</v>
      </c>
      <c r="BJ19" s="79">
        <v>0</v>
      </c>
      <c r="BK19" s="49"/>
      <c r="BL19" s="84"/>
      <c r="BM19" s="81">
        <v>0</v>
      </c>
      <c r="BN19" s="79">
        <v>0</v>
      </c>
      <c r="BO19" s="49"/>
      <c r="BP19" s="84"/>
      <c r="BQ19" s="81">
        <v>0</v>
      </c>
      <c r="BR19" s="79">
        <v>0</v>
      </c>
      <c r="BS19" s="49"/>
      <c r="BT19" s="84"/>
      <c r="BU19" s="81">
        <f t="shared" si="11"/>
        <v>0</v>
      </c>
      <c r="BV19" s="79">
        <f t="shared" si="12"/>
        <v>0</v>
      </c>
      <c r="BW19" s="48"/>
      <c r="BX19" s="84"/>
      <c r="BY19" s="81">
        <f t="shared" si="13"/>
        <v>0</v>
      </c>
      <c r="BZ19" s="79">
        <f t="shared" si="14"/>
        <v>0</v>
      </c>
      <c r="CA19" s="48"/>
      <c r="CB19" s="84"/>
      <c r="CC19" s="81">
        <v>0</v>
      </c>
      <c r="CD19" s="79">
        <v>0</v>
      </c>
      <c r="CE19" s="49"/>
      <c r="CF19" s="84"/>
      <c r="CG19" s="81">
        <f t="shared" si="15"/>
        <v>0</v>
      </c>
      <c r="CH19" s="79">
        <f t="shared" si="16"/>
        <v>0</v>
      </c>
      <c r="CI19" s="33"/>
      <c r="CJ19" s="84"/>
      <c r="CK19" s="81">
        <f t="shared" si="17"/>
        <v>0</v>
      </c>
      <c r="CL19" s="79">
        <f t="shared" si="18"/>
        <v>0</v>
      </c>
      <c r="CM19" s="34"/>
      <c r="CN19" s="34"/>
      <c r="CO19" s="34"/>
      <c r="CP19" s="53"/>
      <c r="CQ19" s="50">
        <f t="shared" si="19"/>
        <v>1</v>
      </c>
      <c r="CR19" s="77">
        <f t="shared" si="20"/>
        <v>0</v>
      </c>
      <c r="CS19" s="28"/>
    </row>
    <row r="20" spans="1:97" s="1" customFormat="1">
      <c r="A20" s="30" t="s">
        <v>127</v>
      </c>
      <c r="B20" s="47"/>
      <c r="C20" s="31" t="s">
        <v>128</v>
      </c>
      <c r="D20" s="32"/>
      <c r="E20" s="32"/>
      <c r="F20" s="87"/>
      <c r="G20" s="48"/>
      <c r="H20" s="84"/>
      <c r="I20" s="80">
        <f t="shared" si="21"/>
        <v>0</v>
      </c>
      <c r="J20" s="79">
        <f t="shared" si="22"/>
        <v>0</v>
      </c>
      <c r="K20" s="49"/>
      <c r="L20" s="84"/>
      <c r="M20" s="81">
        <f t="shared" si="0"/>
        <v>0</v>
      </c>
      <c r="N20" s="79">
        <f t="shared" si="1"/>
        <v>0</v>
      </c>
      <c r="O20" s="48">
        <v>11520</v>
      </c>
      <c r="P20" s="84"/>
      <c r="Q20" s="81">
        <f t="shared" si="2"/>
        <v>0</v>
      </c>
      <c r="R20" s="79">
        <f t="shared" si="3"/>
        <v>0</v>
      </c>
      <c r="S20" s="49"/>
      <c r="T20" s="84"/>
      <c r="U20" s="81">
        <v>0</v>
      </c>
      <c r="V20" s="79">
        <v>0</v>
      </c>
      <c r="W20" s="49"/>
      <c r="X20" s="84"/>
      <c r="Y20" s="81">
        <v>0</v>
      </c>
      <c r="Z20" s="79">
        <v>0</v>
      </c>
      <c r="AA20" s="49"/>
      <c r="AB20" s="84"/>
      <c r="AC20" s="81">
        <v>0</v>
      </c>
      <c r="AD20" s="79">
        <v>0</v>
      </c>
      <c r="AE20" s="49"/>
      <c r="AF20" s="84"/>
      <c r="AG20" s="81">
        <f t="shared" si="23"/>
        <v>0</v>
      </c>
      <c r="AH20" s="79">
        <f t="shared" si="4"/>
        <v>0</v>
      </c>
      <c r="AI20" s="48"/>
      <c r="AJ20" s="84"/>
      <c r="AK20" s="81">
        <f t="shared" si="5"/>
        <v>0</v>
      </c>
      <c r="AL20" s="79">
        <f t="shared" si="6"/>
        <v>0</v>
      </c>
      <c r="AM20" s="48"/>
      <c r="AN20" s="84"/>
      <c r="AO20" s="81">
        <f t="shared" si="7"/>
        <v>0</v>
      </c>
      <c r="AP20" s="79">
        <f t="shared" si="8"/>
        <v>0</v>
      </c>
      <c r="AQ20" s="48"/>
      <c r="AR20" s="84"/>
      <c r="AS20" s="81">
        <f t="shared" si="9"/>
        <v>0</v>
      </c>
      <c r="AT20" s="79">
        <f t="shared" si="10"/>
        <v>0</v>
      </c>
      <c r="AU20" s="49"/>
      <c r="AV20" s="84"/>
      <c r="AW20" s="81">
        <v>0</v>
      </c>
      <c r="AX20" s="79">
        <v>0</v>
      </c>
      <c r="AY20" s="49"/>
      <c r="AZ20" s="84"/>
      <c r="BA20" s="81">
        <v>0</v>
      </c>
      <c r="BB20" s="79">
        <v>0</v>
      </c>
      <c r="BC20" s="49"/>
      <c r="BD20" s="84"/>
      <c r="BE20" s="81">
        <v>0</v>
      </c>
      <c r="BF20" s="79">
        <v>0</v>
      </c>
      <c r="BG20" s="49"/>
      <c r="BH20" s="84"/>
      <c r="BI20" s="81">
        <v>0</v>
      </c>
      <c r="BJ20" s="79">
        <v>0</v>
      </c>
      <c r="BK20" s="49"/>
      <c r="BL20" s="84"/>
      <c r="BM20" s="81">
        <v>0</v>
      </c>
      <c r="BN20" s="79">
        <v>0</v>
      </c>
      <c r="BO20" s="49"/>
      <c r="BP20" s="84"/>
      <c r="BQ20" s="81">
        <v>0</v>
      </c>
      <c r="BR20" s="79">
        <v>0</v>
      </c>
      <c r="BS20" s="49"/>
      <c r="BT20" s="84"/>
      <c r="BU20" s="81">
        <f t="shared" si="11"/>
        <v>0</v>
      </c>
      <c r="BV20" s="79">
        <f t="shared" si="12"/>
        <v>0</v>
      </c>
      <c r="BW20" s="48"/>
      <c r="BX20" s="84"/>
      <c r="BY20" s="81">
        <f t="shared" si="13"/>
        <v>0</v>
      </c>
      <c r="BZ20" s="79">
        <f t="shared" si="14"/>
        <v>0</v>
      </c>
      <c r="CA20" s="48"/>
      <c r="CB20" s="84"/>
      <c r="CC20" s="81">
        <v>0</v>
      </c>
      <c r="CD20" s="79">
        <v>0</v>
      </c>
      <c r="CE20" s="49"/>
      <c r="CF20" s="84"/>
      <c r="CG20" s="81">
        <f t="shared" si="15"/>
        <v>0</v>
      </c>
      <c r="CH20" s="79">
        <f t="shared" si="16"/>
        <v>0</v>
      </c>
      <c r="CI20" s="33"/>
      <c r="CJ20" s="84"/>
      <c r="CK20" s="81">
        <f t="shared" si="17"/>
        <v>0</v>
      </c>
      <c r="CL20" s="79">
        <f t="shared" si="18"/>
        <v>0</v>
      </c>
      <c r="CM20" s="34"/>
      <c r="CN20" s="34"/>
      <c r="CO20" s="34"/>
      <c r="CP20" s="34"/>
      <c r="CQ20" s="50">
        <f t="shared" si="19"/>
        <v>1</v>
      </c>
      <c r="CR20" s="77">
        <f t="shared" si="20"/>
        <v>0</v>
      </c>
      <c r="CS20" s="28"/>
    </row>
    <row r="21" spans="1:97" s="1" customFormat="1">
      <c r="A21" s="30" t="s">
        <v>127</v>
      </c>
      <c r="B21" s="47"/>
      <c r="C21" s="31" t="s">
        <v>123</v>
      </c>
      <c r="D21" s="32"/>
      <c r="E21" s="32"/>
      <c r="F21" s="87"/>
      <c r="G21" s="48"/>
      <c r="H21" s="84"/>
      <c r="I21" s="80">
        <f t="shared" si="21"/>
        <v>0</v>
      </c>
      <c r="J21" s="79">
        <f t="shared" si="22"/>
        <v>0</v>
      </c>
      <c r="K21" s="49"/>
      <c r="L21" s="84"/>
      <c r="M21" s="81">
        <f t="shared" si="0"/>
        <v>0</v>
      </c>
      <c r="N21" s="79">
        <f t="shared" si="1"/>
        <v>0</v>
      </c>
      <c r="O21" s="48"/>
      <c r="P21" s="84"/>
      <c r="Q21" s="81">
        <f t="shared" si="2"/>
        <v>0</v>
      </c>
      <c r="R21" s="79">
        <f t="shared" si="3"/>
        <v>0</v>
      </c>
      <c r="S21" s="49"/>
      <c r="T21" s="84"/>
      <c r="U21" s="81">
        <v>0</v>
      </c>
      <c r="V21" s="79">
        <v>0</v>
      </c>
      <c r="W21" s="49"/>
      <c r="X21" s="84"/>
      <c r="Y21" s="81">
        <v>0</v>
      </c>
      <c r="Z21" s="79">
        <v>0</v>
      </c>
      <c r="AA21" s="49"/>
      <c r="AB21" s="84"/>
      <c r="AC21" s="81">
        <v>0</v>
      </c>
      <c r="AD21" s="79">
        <v>0</v>
      </c>
      <c r="AE21" s="49"/>
      <c r="AF21" s="84"/>
      <c r="AG21" s="81">
        <f t="shared" si="23"/>
        <v>0</v>
      </c>
      <c r="AH21" s="79">
        <f t="shared" si="4"/>
        <v>0</v>
      </c>
      <c r="AI21" s="48"/>
      <c r="AJ21" s="84"/>
      <c r="AK21" s="81">
        <f t="shared" si="5"/>
        <v>0</v>
      </c>
      <c r="AL21" s="79">
        <f t="shared" si="6"/>
        <v>0</v>
      </c>
      <c r="AM21" s="48"/>
      <c r="AN21" s="84"/>
      <c r="AO21" s="81">
        <f t="shared" si="7"/>
        <v>0</v>
      </c>
      <c r="AP21" s="79">
        <f t="shared" si="8"/>
        <v>0</v>
      </c>
      <c r="AQ21" s="48"/>
      <c r="AR21" s="84"/>
      <c r="AS21" s="81">
        <f t="shared" si="9"/>
        <v>0</v>
      </c>
      <c r="AT21" s="79">
        <f t="shared" si="10"/>
        <v>0</v>
      </c>
      <c r="AU21" s="49"/>
      <c r="AV21" s="84"/>
      <c r="AW21" s="81">
        <v>0</v>
      </c>
      <c r="AX21" s="79">
        <v>0</v>
      </c>
      <c r="AY21" s="49"/>
      <c r="AZ21" s="84"/>
      <c r="BA21" s="81">
        <v>0</v>
      </c>
      <c r="BB21" s="79">
        <v>0</v>
      </c>
      <c r="BC21" s="49"/>
      <c r="BD21" s="84"/>
      <c r="BE21" s="81">
        <v>0</v>
      </c>
      <c r="BF21" s="79">
        <v>0</v>
      </c>
      <c r="BG21" s="49"/>
      <c r="BH21" s="84"/>
      <c r="BI21" s="81">
        <v>0</v>
      </c>
      <c r="BJ21" s="79">
        <v>0</v>
      </c>
      <c r="BK21" s="49"/>
      <c r="BL21" s="84"/>
      <c r="BM21" s="81">
        <v>0</v>
      </c>
      <c r="BN21" s="79">
        <v>0</v>
      </c>
      <c r="BO21" s="49"/>
      <c r="BP21" s="84"/>
      <c r="BQ21" s="81">
        <v>0</v>
      </c>
      <c r="BR21" s="79">
        <v>0</v>
      </c>
      <c r="BS21" s="49"/>
      <c r="BT21" s="84"/>
      <c r="BU21" s="81">
        <f t="shared" si="11"/>
        <v>0</v>
      </c>
      <c r="BV21" s="79">
        <f t="shared" si="12"/>
        <v>0</v>
      </c>
      <c r="BW21" s="48"/>
      <c r="BX21" s="84"/>
      <c r="BY21" s="81">
        <f t="shared" si="13"/>
        <v>0</v>
      </c>
      <c r="BZ21" s="79">
        <f t="shared" si="14"/>
        <v>0</v>
      </c>
      <c r="CA21" s="48"/>
      <c r="CB21" s="84"/>
      <c r="CC21" s="81">
        <v>0</v>
      </c>
      <c r="CD21" s="79">
        <v>0</v>
      </c>
      <c r="CE21" s="49"/>
      <c r="CF21" s="84"/>
      <c r="CG21" s="81">
        <f t="shared" si="15"/>
        <v>0</v>
      </c>
      <c r="CH21" s="79">
        <f t="shared" si="16"/>
        <v>0</v>
      </c>
      <c r="CI21" s="33"/>
      <c r="CJ21" s="84"/>
      <c r="CK21" s="81">
        <f t="shared" si="17"/>
        <v>0</v>
      </c>
      <c r="CL21" s="79">
        <f t="shared" si="18"/>
        <v>0</v>
      </c>
      <c r="CM21" s="34"/>
      <c r="CN21" s="34"/>
      <c r="CO21" s="34"/>
      <c r="CP21" s="34"/>
      <c r="CQ21" s="50">
        <f t="shared" si="19"/>
        <v>1</v>
      </c>
      <c r="CR21" s="77">
        <f t="shared" si="20"/>
        <v>0</v>
      </c>
      <c r="CS21" s="28"/>
    </row>
    <row r="22" spans="1:97" s="1" customFormat="1">
      <c r="A22" s="30" t="s">
        <v>129</v>
      </c>
      <c r="B22" s="47"/>
      <c r="C22" s="31" t="s">
        <v>123</v>
      </c>
      <c r="D22" s="32"/>
      <c r="E22" s="32"/>
      <c r="F22" s="87"/>
      <c r="G22" s="48"/>
      <c r="H22" s="84"/>
      <c r="I22" s="80">
        <f t="shared" si="21"/>
        <v>0</v>
      </c>
      <c r="J22" s="79">
        <f t="shared" si="22"/>
        <v>0</v>
      </c>
      <c r="K22" s="49"/>
      <c r="L22" s="84"/>
      <c r="M22" s="81">
        <f t="shared" si="0"/>
        <v>0</v>
      </c>
      <c r="N22" s="79">
        <f t="shared" si="1"/>
        <v>0</v>
      </c>
      <c r="O22" s="48"/>
      <c r="P22" s="84"/>
      <c r="Q22" s="81">
        <f t="shared" si="2"/>
        <v>0</v>
      </c>
      <c r="R22" s="79">
        <f t="shared" si="3"/>
        <v>0</v>
      </c>
      <c r="S22" s="49"/>
      <c r="T22" s="84"/>
      <c r="U22" s="81">
        <v>0</v>
      </c>
      <c r="V22" s="79">
        <v>0</v>
      </c>
      <c r="W22" s="49"/>
      <c r="X22" s="84"/>
      <c r="Y22" s="81">
        <v>0</v>
      </c>
      <c r="Z22" s="79">
        <v>0</v>
      </c>
      <c r="AA22" s="49"/>
      <c r="AB22" s="84"/>
      <c r="AC22" s="81">
        <v>0</v>
      </c>
      <c r="AD22" s="79">
        <v>0</v>
      </c>
      <c r="AE22" s="49"/>
      <c r="AF22" s="84"/>
      <c r="AG22" s="81">
        <f t="shared" si="23"/>
        <v>0</v>
      </c>
      <c r="AH22" s="79">
        <f t="shared" si="4"/>
        <v>0</v>
      </c>
      <c r="AI22" s="48">
        <v>1920</v>
      </c>
      <c r="AJ22" s="84"/>
      <c r="AK22" s="81">
        <f t="shared" si="5"/>
        <v>0</v>
      </c>
      <c r="AL22" s="79">
        <f t="shared" si="6"/>
        <v>0</v>
      </c>
      <c r="AM22" s="48"/>
      <c r="AN22" s="84"/>
      <c r="AO22" s="81">
        <f t="shared" si="7"/>
        <v>0</v>
      </c>
      <c r="AP22" s="79">
        <f t="shared" si="8"/>
        <v>0</v>
      </c>
      <c r="AQ22" s="48"/>
      <c r="AR22" s="84"/>
      <c r="AS22" s="81">
        <f t="shared" si="9"/>
        <v>0</v>
      </c>
      <c r="AT22" s="79">
        <f t="shared" si="10"/>
        <v>0</v>
      </c>
      <c r="AU22" s="49"/>
      <c r="AV22" s="84"/>
      <c r="AW22" s="81">
        <v>0</v>
      </c>
      <c r="AX22" s="79">
        <v>0</v>
      </c>
      <c r="AY22" s="49"/>
      <c r="AZ22" s="84"/>
      <c r="BA22" s="81">
        <v>0</v>
      </c>
      <c r="BB22" s="79">
        <v>0</v>
      </c>
      <c r="BC22" s="49"/>
      <c r="BD22" s="84"/>
      <c r="BE22" s="81">
        <v>0</v>
      </c>
      <c r="BF22" s="79">
        <v>0</v>
      </c>
      <c r="BG22" s="49"/>
      <c r="BH22" s="84"/>
      <c r="BI22" s="81">
        <v>0</v>
      </c>
      <c r="BJ22" s="79">
        <v>0</v>
      </c>
      <c r="BK22" s="49"/>
      <c r="BL22" s="84"/>
      <c r="BM22" s="81">
        <v>0</v>
      </c>
      <c r="BN22" s="79">
        <v>0</v>
      </c>
      <c r="BO22" s="49"/>
      <c r="BP22" s="84"/>
      <c r="BQ22" s="81">
        <v>0</v>
      </c>
      <c r="BR22" s="79">
        <v>0</v>
      </c>
      <c r="BS22" s="49"/>
      <c r="BT22" s="84"/>
      <c r="BU22" s="81">
        <f t="shared" si="11"/>
        <v>0</v>
      </c>
      <c r="BV22" s="79">
        <f t="shared" si="12"/>
        <v>0</v>
      </c>
      <c r="BW22" s="48"/>
      <c r="BX22" s="84"/>
      <c r="BY22" s="81">
        <f t="shared" si="13"/>
        <v>0</v>
      </c>
      <c r="BZ22" s="79">
        <f t="shared" si="14"/>
        <v>0</v>
      </c>
      <c r="CA22" s="48"/>
      <c r="CB22" s="84"/>
      <c r="CC22" s="81">
        <v>0</v>
      </c>
      <c r="CD22" s="79">
        <v>0</v>
      </c>
      <c r="CE22" s="49"/>
      <c r="CF22" s="84"/>
      <c r="CG22" s="81">
        <f t="shared" si="15"/>
        <v>0</v>
      </c>
      <c r="CH22" s="79">
        <f t="shared" si="16"/>
        <v>0</v>
      </c>
      <c r="CI22" s="33"/>
      <c r="CJ22" s="84"/>
      <c r="CK22" s="81">
        <f t="shared" si="17"/>
        <v>0</v>
      </c>
      <c r="CL22" s="79">
        <f t="shared" si="18"/>
        <v>0</v>
      </c>
      <c r="CM22" s="34"/>
      <c r="CN22" s="34"/>
      <c r="CO22" s="34"/>
      <c r="CP22" s="34"/>
      <c r="CQ22" s="50">
        <f t="shared" si="19"/>
        <v>1</v>
      </c>
      <c r="CR22" s="77">
        <f t="shared" si="20"/>
        <v>0</v>
      </c>
      <c r="CS22" s="28"/>
    </row>
    <row r="23" spans="1:97" s="1" customFormat="1">
      <c r="A23" s="30" t="s">
        <v>130</v>
      </c>
      <c r="B23" s="47"/>
      <c r="C23" s="31" t="s">
        <v>123</v>
      </c>
      <c r="D23" s="32"/>
      <c r="E23" s="32"/>
      <c r="F23" s="87"/>
      <c r="G23" s="48"/>
      <c r="H23" s="84"/>
      <c r="I23" s="80">
        <f t="shared" si="21"/>
        <v>0</v>
      </c>
      <c r="J23" s="79">
        <f t="shared" si="22"/>
        <v>0</v>
      </c>
      <c r="K23" s="48">
        <v>1920</v>
      </c>
      <c r="L23" s="84"/>
      <c r="M23" s="81">
        <f t="shared" si="0"/>
        <v>0</v>
      </c>
      <c r="N23" s="79">
        <f t="shared" si="1"/>
        <v>0</v>
      </c>
      <c r="O23" s="48"/>
      <c r="P23" s="84"/>
      <c r="Q23" s="81">
        <f t="shared" si="2"/>
        <v>0</v>
      </c>
      <c r="R23" s="79">
        <f t="shared" si="3"/>
        <v>0</v>
      </c>
      <c r="S23" s="49"/>
      <c r="T23" s="84"/>
      <c r="U23" s="81">
        <v>0</v>
      </c>
      <c r="V23" s="79">
        <v>0</v>
      </c>
      <c r="W23" s="49"/>
      <c r="X23" s="84"/>
      <c r="Y23" s="81">
        <v>0</v>
      </c>
      <c r="Z23" s="79">
        <v>0</v>
      </c>
      <c r="AA23" s="49"/>
      <c r="AB23" s="84"/>
      <c r="AC23" s="81">
        <v>0</v>
      </c>
      <c r="AD23" s="79">
        <v>0</v>
      </c>
      <c r="AE23" s="49"/>
      <c r="AF23" s="84"/>
      <c r="AG23" s="81">
        <f t="shared" si="23"/>
        <v>0</v>
      </c>
      <c r="AH23" s="79">
        <f t="shared" si="4"/>
        <v>0</v>
      </c>
      <c r="AI23" s="48"/>
      <c r="AJ23" s="84"/>
      <c r="AK23" s="81">
        <f t="shared" si="5"/>
        <v>0</v>
      </c>
      <c r="AL23" s="79">
        <f t="shared" si="6"/>
        <v>0</v>
      </c>
      <c r="AM23" s="48"/>
      <c r="AN23" s="84"/>
      <c r="AO23" s="81">
        <f t="shared" si="7"/>
        <v>0</v>
      </c>
      <c r="AP23" s="79">
        <f t="shared" si="8"/>
        <v>0</v>
      </c>
      <c r="AQ23" s="48"/>
      <c r="AR23" s="84"/>
      <c r="AS23" s="81">
        <f t="shared" si="9"/>
        <v>0</v>
      </c>
      <c r="AT23" s="79">
        <f t="shared" si="10"/>
        <v>0</v>
      </c>
      <c r="AU23" s="49"/>
      <c r="AV23" s="84"/>
      <c r="AW23" s="81">
        <v>0</v>
      </c>
      <c r="AX23" s="79">
        <v>0</v>
      </c>
      <c r="AY23" s="49"/>
      <c r="AZ23" s="84"/>
      <c r="BA23" s="81">
        <v>0</v>
      </c>
      <c r="BB23" s="79">
        <v>0</v>
      </c>
      <c r="BC23" s="49"/>
      <c r="BD23" s="84"/>
      <c r="BE23" s="81">
        <v>0</v>
      </c>
      <c r="BF23" s="79">
        <v>0</v>
      </c>
      <c r="BG23" s="49"/>
      <c r="BH23" s="84"/>
      <c r="BI23" s="81">
        <v>0</v>
      </c>
      <c r="BJ23" s="79">
        <v>0</v>
      </c>
      <c r="BK23" s="49"/>
      <c r="BL23" s="84"/>
      <c r="BM23" s="81">
        <v>0</v>
      </c>
      <c r="BN23" s="79">
        <v>0</v>
      </c>
      <c r="BO23" s="49"/>
      <c r="BP23" s="84"/>
      <c r="BQ23" s="81">
        <v>0</v>
      </c>
      <c r="BR23" s="79">
        <v>0</v>
      </c>
      <c r="BS23" s="49"/>
      <c r="BT23" s="84"/>
      <c r="BU23" s="81">
        <f t="shared" si="11"/>
        <v>0</v>
      </c>
      <c r="BV23" s="79">
        <f t="shared" si="12"/>
        <v>0</v>
      </c>
      <c r="BW23" s="48"/>
      <c r="BX23" s="84"/>
      <c r="BY23" s="81">
        <f t="shared" si="13"/>
        <v>0</v>
      </c>
      <c r="BZ23" s="79">
        <f t="shared" si="14"/>
        <v>0</v>
      </c>
      <c r="CA23" s="48"/>
      <c r="CB23" s="84"/>
      <c r="CC23" s="81">
        <v>0</v>
      </c>
      <c r="CD23" s="79">
        <v>0</v>
      </c>
      <c r="CE23" s="49"/>
      <c r="CF23" s="84"/>
      <c r="CG23" s="81">
        <f t="shared" si="15"/>
        <v>0</v>
      </c>
      <c r="CH23" s="79">
        <f t="shared" si="16"/>
        <v>0</v>
      </c>
      <c r="CI23" s="33"/>
      <c r="CJ23" s="84"/>
      <c r="CK23" s="81">
        <f t="shared" si="17"/>
        <v>0</v>
      </c>
      <c r="CL23" s="79">
        <f t="shared" si="18"/>
        <v>0</v>
      </c>
      <c r="CM23" s="34"/>
      <c r="CN23" s="34"/>
      <c r="CO23" s="34"/>
      <c r="CP23" s="34"/>
      <c r="CQ23" s="50">
        <f t="shared" si="19"/>
        <v>1</v>
      </c>
      <c r="CR23" s="77">
        <f t="shared" si="20"/>
        <v>0</v>
      </c>
      <c r="CS23" s="28"/>
    </row>
    <row r="24" spans="1:97" s="1" customFormat="1">
      <c r="A24" s="30" t="s">
        <v>131</v>
      </c>
      <c r="B24" s="47"/>
      <c r="C24" s="31" t="s">
        <v>121</v>
      </c>
      <c r="D24" s="32"/>
      <c r="E24" s="32"/>
      <c r="F24" s="87"/>
      <c r="G24" s="48"/>
      <c r="H24" s="84"/>
      <c r="I24" s="80">
        <f t="shared" si="21"/>
        <v>0</v>
      </c>
      <c r="J24" s="79">
        <f t="shared" si="22"/>
        <v>0</v>
      </c>
      <c r="K24" s="49"/>
      <c r="L24" s="84"/>
      <c r="M24" s="81">
        <f t="shared" si="0"/>
        <v>0</v>
      </c>
      <c r="N24" s="79">
        <f t="shared" si="1"/>
        <v>0</v>
      </c>
      <c r="O24" s="48">
        <v>1920</v>
      </c>
      <c r="P24" s="84"/>
      <c r="Q24" s="81">
        <f t="shared" si="2"/>
        <v>0</v>
      </c>
      <c r="R24" s="79">
        <f t="shared" si="3"/>
        <v>0</v>
      </c>
      <c r="S24" s="49"/>
      <c r="T24" s="84"/>
      <c r="U24" s="81">
        <v>0</v>
      </c>
      <c r="V24" s="79">
        <v>0</v>
      </c>
      <c r="W24" s="49"/>
      <c r="X24" s="84"/>
      <c r="Y24" s="81">
        <v>0</v>
      </c>
      <c r="Z24" s="79">
        <v>0</v>
      </c>
      <c r="AA24" s="49"/>
      <c r="AB24" s="84"/>
      <c r="AC24" s="81">
        <v>0</v>
      </c>
      <c r="AD24" s="79">
        <v>0</v>
      </c>
      <c r="AE24" s="49"/>
      <c r="AF24" s="84"/>
      <c r="AG24" s="81">
        <f t="shared" si="23"/>
        <v>0</v>
      </c>
      <c r="AH24" s="79">
        <f t="shared" si="4"/>
        <v>0</v>
      </c>
      <c r="AI24" s="48"/>
      <c r="AJ24" s="84"/>
      <c r="AK24" s="81">
        <f t="shared" si="5"/>
        <v>0</v>
      </c>
      <c r="AL24" s="79">
        <f t="shared" si="6"/>
        <v>0</v>
      </c>
      <c r="AM24" s="48"/>
      <c r="AN24" s="84"/>
      <c r="AO24" s="81">
        <f t="shared" si="7"/>
        <v>0</v>
      </c>
      <c r="AP24" s="79">
        <f t="shared" si="8"/>
        <v>0</v>
      </c>
      <c r="AQ24" s="48"/>
      <c r="AR24" s="84"/>
      <c r="AS24" s="81">
        <f t="shared" si="9"/>
        <v>0</v>
      </c>
      <c r="AT24" s="79">
        <f t="shared" si="10"/>
        <v>0</v>
      </c>
      <c r="AU24" s="49"/>
      <c r="AV24" s="84"/>
      <c r="AW24" s="81">
        <v>0</v>
      </c>
      <c r="AX24" s="79">
        <v>0</v>
      </c>
      <c r="AY24" s="49"/>
      <c r="AZ24" s="84"/>
      <c r="BA24" s="81">
        <v>0</v>
      </c>
      <c r="BB24" s="79">
        <v>0</v>
      </c>
      <c r="BC24" s="49"/>
      <c r="BD24" s="84"/>
      <c r="BE24" s="81">
        <v>0</v>
      </c>
      <c r="BF24" s="79">
        <v>0</v>
      </c>
      <c r="BG24" s="49"/>
      <c r="BH24" s="84"/>
      <c r="BI24" s="81">
        <v>0</v>
      </c>
      <c r="BJ24" s="79">
        <v>0</v>
      </c>
      <c r="BK24" s="49"/>
      <c r="BL24" s="84"/>
      <c r="BM24" s="81">
        <v>0</v>
      </c>
      <c r="BN24" s="79">
        <v>0</v>
      </c>
      <c r="BO24" s="49"/>
      <c r="BP24" s="84"/>
      <c r="BQ24" s="81">
        <v>0</v>
      </c>
      <c r="BR24" s="79">
        <v>0</v>
      </c>
      <c r="BS24" s="49"/>
      <c r="BT24" s="84"/>
      <c r="BU24" s="81">
        <f t="shared" si="11"/>
        <v>0</v>
      </c>
      <c r="BV24" s="79">
        <f t="shared" si="12"/>
        <v>0</v>
      </c>
      <c r="BW24" s="48"/>
      <c r="BX24" s="84"/>
      <c r="BY24" s="81">
        <f t="shared" si="13"/>
        <v>0</v>
      </c>
      <c r="BZ24" s="79">
        <f t="shared" si="14"/>
        <v>0</v>
      </c>
      <c r="CA24" s="48"/>
      <c r="CB24" s="84"/>
      <c r="CC24" s="81">
        <v>0</v>
      </c>
      <c r="CD24" s="79">
        <v>0</v>
      </c>
      <c r="CE24" s="49"/>
      <c r="CF24" s="84"/>
      <c r="CG24" s="81">
        <f t="shared" si="15"/>
        <v>0</v>
      </c>
      <c r="CH24" s="79">
        <f t="shared" si="16"/>
        <v>0</v>
      </c>
      <c r="CI24" s="33"/>
      <c r="CJ24" s="84"/>
      <c r="CK24" s="81">
        <f t="shared" si="17"/>
        <v>0</v>
      </c>
      <c r="CL24" s="79">
        <f t="shared" si="18"/>
        <v>0</v>
      </c>
      <c r="CM24" s="34"/>
      <c r="CN24" s="34"/>
      <c r="CO24" s="34"/>
      <c r="CP24" s="34"/>
      <c r="CQ24" s="50">
        <f t="shared" si="19"/>
        <v>1</v>
      </c>
      <c r="CR24" s="77">
        <f t="shared" si="20"/>
        <v>0</v>
      </c>
      <c r="CS24" s="28"/>
    </row>
    <row r="25" spans="1:97" s="1" customFormat="1">
      <c r="A25" s="30" t="s">
        <v>131</v>
      </c>
      <c r="B25" s="47"/>
      <c r="C25" s="31" t="s">
        <v>123</v>
      </c>
      <c r="D25" s="32"/>
      <c r="E25" s="32"/>
      <c r="F25" s="87"/>
      <c r="G25" s="48"/>
      <c r="H25" s="84"/>
      <c r="I25" s="80">
        <f t="shared" si="21"/>
        <v>0</v>
      </c>
      <c r="J25" s="79">
        <f t="shared" si="22"/>
        <v>0</v>
      </c>
      <c r="K25" s="49"/>
      <c r="L25" s="84"/>
      <c r="M25" s="81">
        <f t="shared" si="0"/>
        <v>0</v>
      </c>
      <c r="N25" s="79">
        <f t="shared" si="1"/>
        <v>0</v>
      </c>
      <c r="O25" s="48">
        <v>3840</v>
      </c>
      <c r="P25" s="84"/>
      <c r="Q25" s="81">
        <f t="shared" si="2"/>
        <v>0</v>
      </c>
      <c r="R25" s="79">
        <f t="shared" si="3"/>
        <v>0</v>
      </c>
      <c r="S25" s="49"/>
      <c r="T25" s="84"/>
      <c r="U25" s="81">
        <v>0</v>
      </c>
      <c r="V25" s="79">
        <v>0</v>
      </c>
      <c r="W25" s="49"/>
      <c r="X25" s="84"/>
      <c r="Y25" s="81">
        <v>0</v>
      </c>
      <c r="Z25" s="79">
        <v>0</v>
      </c>
      <c r="AA25" s="49"/>
      <c r="AB25" s="84"/>
      <c r="AC25" s="81">
        <v>0</v>
      </c>
      <c r="AD25" s="79">
        <v>0</v>
      </c>
      <c r="AE25" s="49"/>
      <c r="AF25" s="84"/>
      <c r="AG25" s="81">
        <f t="shared" si="23"/>
        <v>0</v>
      </c>
      <c r="AH25" s="79">
        <f t="shared" si="4"/>
        <v>0</v>
      </c>
      <c r="AI25" s="48"/>
      <c r="AJ25" s="84"/>
      <c r="AK25" s="81">
        <f t="shared" si="5"/>
        <v>0</v>
      </c>
      <c r="AL25" s="79">
        <f t="shared" si="6"/>
        <v>0</v>
      </c>
      <c r="AM25" s="48"/>
      <c r="AN25" s="84"/>
      <c r="AO25" s="81">
        <f t="shared" si="7"/>
        <v>0</v>
      </c>
      <c r="AP25" s="79">
        <f t="shared" si="8"/>
        <v>0</v>
      </c>
      <c r="AQ25" s="48"/>
      <c r="AR25" s="84"/>
      <c r="AS25" s="81">
        <f t="shared" si="9"/>
        <v>0</v>
      </c>
      <c r="AT25" s="79">
        <f t="shared" si="10"/>
        <v>0</v>
      </c>
      <c r="AU25" s="49"/>
      <c r="AV25" s="84"/>
      <c r="AW25" s="81">
        <v>0</v>
      </c>
      <c r="AX25" s="79">
        <v>0</v>
      </c>
      <c r="AY25" s="49"/>
      <c r="AZ25" s="84"/>
      <c r="BA25" s="81">
        <v>0</v>
      </c>
      <c r="BB25" s="79">
        <v>0</v>
      </c>
      <c r="BC25" s="49"/>
      <c r="BD25" s="84"/>
      <c r="BE25" s="81">
        <v>0</v>
      </c>
      <c r="BF25" s="79">
        <v>0</v>
      </c>
      <c r="BG25" s="49"/>
      <c r="BH25" s="84"/>
      <c r="BI25" s="81">
        <v>0</v>
      </c>
      <c r="BJ25" s="79">
        <v>0</v>
      </c>
      <c r="BK25" s="49"/>
      <c r="BL25" s="84"/>
      <c r="BM25" s="81">
        <v>0</v>
      </c>
      <c r="BN25" s="79">
        <v>0</v>
      </c>
      <c r="BO25" s="49"/>
      <c r="BP25" s="84"/>
      <c r="BQ25" s="81">
        <v>0</v>
      </c>
      <c r="BR25" s="79">
        <v>0</v>
      </c>
      <c r="BS25" s="49"/>
      <c r="BT25" s="84"/>
      <c r="BU25" s="81">
        <f t="shared" si="11"/>
        <v>0</v>
      </c>
      <c r="BV25" s="79">
        <f t="shared" si="12"/>
        <v>0</v>
      </c>
      <c r="BW25" s="48"/>
      <c r="BX25" s="84"/>
      <c r="BY25" s="81">
        <f t="shared" si="13"/>
        <v>0</v>
      </c>
      <c r="BZ25" s="79">
        <f t="shared" si="14"/>
        <v>0</v>
      </c>
      <c r="CA25" s="48"/>
      <c r="CB25" s="84"/>
      <c r="CC25" s="81">
        <v>0</v>
      </c>
      <c r="CD25" s="79">
        <v>0</v>
      </c>
      <c r="CE25" s="49"/>
      <c r="CF25" s="84"/>
      <c r="CG25" s="81">
        <f t="shared" si="15"/>
        <v>0</v>
      </c>
      <c r="CH25" s="79">
        <f t="shared" si="16"/>
        <v>0</v>
      </c>
      <c r="CI25" s="33"/>
      <c r="CJ25" s="84"/>
      <c r="CK25" s="81">
        <f t="shared" si="17"/>
        <v>0</v>
      </c>
      <c r="CL25" s="79">
        <f t="shared" si="18"/>
        <v>0</v>
      </c>
      <c r="CM25" s="34"/>
      <c r="CN25" s="34"/>
      <c r="CO25" s="34"/>
      <c r="CP25" s="34"/>
      <c r="CQ25" s="50">
        <f t="shared" si="19"/>
        <v>1</v>
      </c>
      <c r="CR25" s="77">
        <f t="shared" si="20"/>
        <v>0</v>
      </c>
      <c r="CS25" s="28"/>
    </row>
    <row r="26" spans="1:97" s="1" customFormat="1">
      <c r="A26" s="30" t="s">
        <v>132</v>
      </c>
      <c r="B26" s="47"/>
      <c r="C26" s="31" t="s">
        <v>123</v>
      </c>
      <c r="D26" s="32"/>
      <c r="E26" s="32"/>
      <c r="F26" s="87"/>
      <c r="G26" s="48"/>
      <c r="H26" s="84"/>
      <c r="I26" s="80">
        <f t="shared" si="21"/>
        <v>0</v>
      </c>
      <c r="J26" s="79">
        <f t="shared" si="22"/>
        <v>0</v>
      </c>
      <c r="K26" s="49"/>
      <c r="L26" s="84"/>
      <c r="M26" s="81">
        <f t="shared" si="0"/>
        <v>0</v>
      </c>
      <c r="N26" s="79">
        <f t="shared" si="1"/>
        <v>0</v>
      </c>
      <c r="O26" s="48"/>
      <c r="P26" s="84"/>
      <c r="Q26" s="81">
        <f t="shared" si="2"/>
        <v>0</v>
      </c>
      <c r="R26" s="79">
        <f t="shared" si="3"/>
        <v>0</v>
      </c>
      <c r="S26" s="49"/>
      <c r="T26" s="84"/>
      <c r="U26" s="81">
        <v>0</v>
      </c>
      <c r="V26" s="79">
        <v>0</v>
      </c>
      <c r="W26" s="49"/>
      <c r="X26" s="84"/>
      <c r="Y26" s="81">
        <v>0</v>
      </c>
      <c r="Z26" s="79">
        <v>0</v>
      </c>
      <c r="AA26" s="49"/>
      <c r="AB26" s="84"/>
      <c r="AC26" s="81">
        <v>0</v>
      </c>
      <c r="AD26" s="79">
        <v>0</v>
      </c>
      <c r="AE26" s="49"/>
      <c r="AF26" s="84"/>
      <c r="AG26" s="81">
        <f t="shared" si="23"/>
        <v>0</v>
      </c>
      <c r="AH26" s="79">
        <f t="shared" si="4"/>
        <v>0</v>
      </c>
      <c r="AI26" s="48"/>
      <c r="AJ26" s="84"/>
      <c r="AK26" s="81">
        <f t="shared" si="5"/>
        <v>0</v>
      </c>
      <c r="AL26" s="79">
        <f t="shared" si="6"/>
        <v>0</v>
      </c>
      <c r="AM26" s="48"/>
      <c r="AN26" s="84"/>
      <c r="AO26" s="81">
        <f t="shared" si="7"/>
        <v>0</v>
      </c>
      <c r="AP26" s="79">
        <f t="shared" si="8"/>
        <v>0</v>
      </c>
      <c r="AQ26" s="48"/>
      <c r="AR26" s="84"/>
      <c r="AS26" s="81">
        <f t="shared" si="9"/>
        <v>0</v>
      </c>
      <c r="AT26" s="79">
        <f t="shared" si="10"/>
        <v>0</v>
      </c>
      <c r="AU26" s="49"/>
      <c r="AV26" s="84"/>
      <c r="AW26" s="81">
        <v>0</v>
      </c>
      <c r="AX26" s="79">
        <v>0</v>
      </c>
      <c r="AY26" s="49"/>
      <c r="AZ26" s="84"/>
      <c r="BA26" s="81">
        <v>0</v>
      </c>
      <c r="BB26" s="79">
        <v>0</v>
      </c>
      <c r="BC26" s="49"/>
      <c r="BD26" s="84"/>
      <c r="BE26" s="81">
        <v>0</v>
      </c>
      <c r="BF26" s="79">
        <v>0</v>
      </c>
      <c r="BG26" s="49"/>
      <c r="BH26" s="84"/>
      <c r="BI26" s="81">
        <v>0</v>
      </c>
      <c r="BJ26" s="79">
        <v>0</v>
      </c>
      <c r="BK26" s="49"/>
      <c r="BL26" s="84"/>
      <c r="BM26" s="81">
        <v>0</v>
      </c>
      <c r="BN26" s="79">
        <v>0</v>
      </c>
      <c r="BO26" s="49"/>
      <c r="BP26" s="84"/>
      <c r="BQ26" s="81">
        <v>0</v>
      </c>
      <c r="BR26" s="79">
        <v>0</v>
      </c>
      <c r="BS26" s="49"/>
      <c r="BT26" s="84"/>
      <c r="BU26" s="81">
        <f t="shared" si="11"/>
        <v>0</v>
      </c>
      <c r="BV26" s="79">
        <f t="shared" si="12"/>
        <v>0</v>
      </c>
      <c r="BW26" s="48">
        <v>1920</v>
      </c>
      <c r="BX26" s="84"/>
      <c r="BY26" s="81">
        <f t="shared" si="13"/>
        <v>0</v>
      </c>
      <c r="BZ26" s="79">
        <f t="shared" si="14"/>
        <v>0</v>
      </c>
      <c r="CA26" s="48"/>
      <c r="CB26" s="84"/>
      <c r="CC26" s="81">
        <v>0</v>
      </c>
      <c r="CD26" s="79">
        <v>0</v>
      </c>
      <c r="CE26" s="49"/>
      <c r="CF26" s="84"/>
      <c r="CG26" s="81">
        <f t="shared" si="15"/>
        <v>0</v>
      </c>
      <c r="CH26" s="79">
        <f t="shared" si="16"/>
        <v>0</v>
      </c>
      <c r="CI26" s="33"/>
      <c r="CJ26" s="84"/>
      <c r="CK26" s="81">
        <f t="shared" si="17"/>
        <v>0</v>
      </c>
      <c r="CL26" s="79">
        <f t="shared" si="18"/>
        <v>0</v>
      </c>
      <c r="CM26" s="34"/>
      <c r="CN26" s="34"/>
      <c r="CO26" s="34"/>
      <c r="CP26" s="34"/>
      <c r="CQ26" s="50">
        <f t="shared" si="19"/>
        <v>1</v>
      </c>
      <c r="CR26" s="77">
        <f t="shared" si="20"/>
        <v>0</v>
      </c>
      <c r="CS26" s="28"/>
    </row>
    <row r="27" spans="1:97" s="1" customFormat="1">
      <c r="A27" s="30" t="s">
        <v>133</v>
      </c>
      <c r="B27" s="47"/>
      <c r="C27" s="31" t="s">
        <v>123</v>
      </c>
      <c r="D27" s="32"/>
      <c r="E27" s="32"/>
      <c r="F27" s="87"/>
      <c r="G27" s="48"/>
      <c r="H27" s="84"/>
      <c r="I27" s="80">
        <f t="shared" si="21"/>
        <v>0</v>
      </c>
      <c r="J27" s="79">
        <f t="shared" si="22"/>
        <v>0</v>
      </c>
      <c r="K27" s="49"/>
      <c r="L27" s="84"/>
      <c r="M27" s="81">
        <v>87</v>
      </c>
      <c r="N27" s="79">
        <f t="shared" si="1"/>
        <v>0</v>
      </c>
      <c r="O27" s="48">
        <v>3840</v>
      </c>
      <c r="P27" s="84"/>
      <c r="Q27" s="81">
        <f t="shared" si="2"/>
        <v>0</v>
      </c>
      <c r="R27" s="79">
        <f t="shared" si="3"/>
        <v>0</v>
      </c>
      <c r="S27" s="49"/>
      <c r="T27" s="84"/>
      <c r="U27" s="81">
        <v>0</v>
      </c>
      <c r="V27" s="79">
        <v>0</v>
      </c>
      <c r="W27" s="49"/>
      <c r="X27" s="84"/>
      <c r="Y27" s="81">
        <v>0</v>
      </c>
      <c r="Z27" s="79">
        <v>0</v>
      </c>
      <c r="AA27" s="49"/>
      <c r="AB27" s="84"/>
      <c r="AC27" s="81">
        <v>0</v>
      </c>
      <c r="AD27" s="79">
        <v>0</v>
      </c>
      <c r="AE27" s="49"/>
      <c r="AF27" s="84"/>
      <c r="AG27" s="81">
        <f t="shared" si="23"/>
        <v>0</v>
      </c>
      <c r="AH27" s="79">
        <f t="shared" si="4"/>
        <v>0</v>
      </c>
      <c r="AI27" s="48"/>
      <c r="AJ27" s="84"/>
      <c r="AK27" s="81">
        <f t="shared" si="5"/>
        <v>0</v>
      </c>
      <c r="AL27" s="79">
        <f t="shared" si="6"/>
        <v>0</v>
      </c>
      <c r="AM27" s="48"/>
      <c r="AN27" s="84"/>
      <c r="AO27" s="81">
        <f t="shared" si="7"/>
        <v>0</v>
      </c>
      <c r="AP27" s="79">
        <f t="shared" si="8"/>
        <v>0</v>
      </c>
      <c r="AQ27" s="48"/>
      <c r="AR27" s="84"/>
      <c r="AS27" s="81">
        <f t="shared" si="9"/>
        <v>0</v>
      </c>
      <c r="AT27" s="79">
        <f t="shared" si="10"/>
        <v>0</v>
      </c>
      <c r="AU27" s="49"/>
      <c r="AV27" s="84"/>
      <c r="AW27" s="81">
        <v>0</v>
      </c>
      <c r="AX27" s="79">
        <v>0</v>
      </c>
      <c r="AY27" s="49"/>
      <c r="AZ27" s="84"/>
      <c r="BA27" s="81">
        <v>0</v>
      </c>
      <c r="BB27" s="79">
        <v>0</v>
      </c>
      <c r="BC27" s="49"/>
      <c r="BD27" s="84"/>
      <c r="BE27" s="81">
        <v>0</v>
      </c>
      <c r="BF27" s="79">
        <v>0</v>
      </c>
      <c r="BG27" s="49"/>
      <c r="BH27" s="84"/>
      <c r="BI27" s="81">
        <v>0</v>
      </c>
      <c r="BJ27" s="79">
        <v>0</v>
      </c>
      <c r="BK27" s="49"/>
      <c r="BL27" s="84"/>
      <c r="BM27" s="81">
        <v>0</v>
      </c>
      <c r="BN27" s="79">
        <v>0</v>
      </c>
      <c r="BO27" s="49"/>
      <c r="BP27" s="84"/>
      <c r="BQ27" s="81">
        <v>0</v>
      </c>
      <c r="BR27" s="79">
        <v>0</v>
      </c>
      <c r="BS27" s="49"/>
      <c r="BT27" s="84"/>
      <c r="BU27" s="81">
        <f t="shared" si="11"/>
        <v>0</v>
      </c>
      <c r="BV27" s="79">
        <f t="shared" si="12"/>
        <v>0</v>
      </c>
      <c r="BW27" s="48"/>
      <c r="BX27" s="84"/>
      <c r="BY27" s="81">
        <f t="shared" si="13"/>
        <v>0</v>
      </c>
      <c r="BZ27" s="79">
        <f t="shared" si="14"/>
        <v>0</v>
      </c>
      <c r="CA27" s="48"/>
      <c r="CB27" s="84"/>
      <c r="CC27" s="81">
        <v>0</v>
      </c>
      <c r="CD27" s="79">
        <v>0</v>
      </c>
      <c r="CE27" s="49"/>
      <c r="CF27" s="84"/>
      <c r="CG27" s="81">
        <f t="shared" si="15"/>
        <v>0</v>
      </c>
      <c r="CH27" s="79">
        <f t="shared" si="16"/>
        <v>0</v>
      </c>
      <c r="CI27" s="33"/>
      <c r="CJ27" s="84"/>
      <c r="CK27" s="81">
        <f t="shared" si="17"/>
        <v>0</v>
      </c>
      <c r="CL27" s="79">
        <f t="shared" si="18"/>
        <v>0</v>
      </c>
      <c r="CM27" s="34"/>
      <c r="CN27" s="34"/>
      <c r="CO27" s="34"/>
      <c r="CP27" s="34"/>
      <c r="CQ27" s="50">
        <f t="shared" si="19"/>
        <v>1</v>
      </c>
      <c r="CR27" s="77">
        <f t="shared" si="20"/>
        <v>0</v>
      </c>
      <c r="CS27" s="28"/>
    </row>
    <row r="28" spans="1:97" s="1" customFormat="1">
      <c r="A28" s="30" t="s">
        <v>134</v>
      </c>
      <c r="B28" s="47"/>
      <c r="C28" s="36" t="s">
        <v>123</v>
      </c>
      <c r="D28" s="32"/>
      <c r="E28" s="32"/>
      <c r="F28" s="87"/>
      <c r="G28" s="48"/>
      <c r="H28" s="84"/>
      <c r="I28" s="80">
        <f t="shared" si="21"/>
        <v>0</v>
      </c>
      <c r="J28" s="79">
        <f t="shared" si="22"/>
        <v>0</v>
      </c>
      <c r="K28" s="48">
        <v>1920</v>
      </c>
      <c r="L28" s="84"/>
      <c r="M28" s="81">
        <f t="shared" ref="M28:M59" si="24">L28*CQ28</f>
        <v>0</v>
      </c>
      <c r="N28" s="79">
        <f t="shared" si="1"/>
        <v>0</v>
      </c>
      <c r="O28" s="48"/>
      <c r="P28" s="84"/>
      <c r="Q28" s="81">
        <f t="shared" si="2"/>
        <v>0</v>
      </c>
      <c r="R28" s="79">
        <f t="shared" si="3"/>
        <v>0</v>
      </c>
      <c r="S28" s="49"/>
      <c r="T28" s="84"/>
      <c r="U28" s="81">
        <v>0</v>
      </c>
      <c r="V28" s="79">
        <v>0</v>
      </c>
      <c r="W28" s="49"/>
      <c r="X28" s="84"/>
      <c r="Y28" s="81">
        <v>0</v>
      </c>
      <c r="Z28" s="79">
        <v>0</v>
      </c>
      <c r="AA28" s="49"/>
      <c r="AB28" s="84"/>
      <c r="AC28" s="81">
        <v>0</v>
      </c>
      <c r="AD28" s="79">
        <v>0</v>
      </c>
      <c r="AE28" s="49"/>
      <c r="AF28" s="84"/>
      <c r="AG28" s="81">
        <f t="shared" si="23"/>
        <v>0</v>
      </c>
      <c r="AH28" s="79">
        <f t="shared" si="4"/>
        <v>0</v>
      </c>
      <c r="AI28" s="48"/>
      <c r="AJ28" s="84"/>
      <c r="AK28" s="81">
        <f t="shared" si="5"/>
        <v>0</v>
      </c>
      <c r="AL28" s="79">
        <f t="shared" si="6"/>
        <v>0</v>
      </c>
      <c r="AM28" s="48"/>
      <c r="AN28" s="84"/>
      <c r="AO28" s="81">
        <f t="shared" si="7"/>
        <v>0</v>
      </c>
      <c r="AP28" s="79">
        <f t="shared" si="8"/>
        <v>0</v>
      </c>
      <c r="AQ28" s="48"/>
      <c r="AR28" s="84"/>
      <c r="AS28" s="81">
        <f t="shared" si="9"/>
        <v>0</v>
      </c>
      <c r="AT28" s="79">
        <f t="shared" si="10"/>
        <v>0</v>
      </c>
      <c r="AU28" s="49"/>
      <c r="AV28" s="84"/>
      <c r="AW28" s="81">
        <v>0</v>
      </c>
      <c r="AX28" s="79">
        <v>0</v>
      </c>
      <c r="AY28" s="49"/>
      <c r="AZ28" s="84"/>
      <c r="BA28" s="81">
        <v>0</v>
      </c>
      <c r="BB28" s="79">
        <v>0</v>
      </c>
      <c r="BC28" s="49"/>
      <c r="BD28" s="84"/>
      <c r="BE28" s="81">
        <v>0</v>
      </c>
      <c r="BF28" s="79">
        <v>0</v>
      </c>
      <c r="BG28" s="49"/>
      <c r="BH28" s="84"/>
      <c r="BI28" s="81">
        <v>0</v>
      </c>
      <c r="BJ28" s="79">
        <v>0</v>
      </c>
      <c r="BK28" s="49"/>
      <c r="BL28" s="84"/>
      <c r="BM28" s="81">
        <v>0</v>
      </c>
      <c r="BN28" s="79">
        <v>0</v>
      </c>
      <c r="BO28" s="49"/>
      <c r="BP28" s="84"/>
      <c r="BQ28" s="81">
        <v>0</v>
      </c>
      <c r="BR28" s="79">
        <v>0</v>
      </c>
      <c r="BS28" s="49"/>
      <c r="BT28" s="84"/>
      <c r="BU28" s="81">
        <f t="shared" si="11"/>
        <v>0</v>
      </c>
      <c r="BV28" s="79">
        <f t="shared" si="12"/>
        <v>0</v>
      </c>
      <c r="BW28" s="48"/>
      <c r="BX28" s="84"/>
      <c r="BY28" s="81">
        <f t="shared" si="13"/>
        <v>0</v>
      </c>
      <c r="BZ28" s="79">
        <f t="shared" si="14"/>
        <v>0</v>
      </c>
      <c r="CA28" s="48"/>
      <c r="CB28" s="84"/>
      <c r="CC28" s="81">
        <v>0</v>
      </c>
      <c r="CD28" s="79">
        <v>0</v>
      </c>
      <c r="CE28" s="49"/>
      <c r="CF28" s="84"/>
      <c r="CG28" s="81">
        <f t="shared" si="15"/>
        <v>0</v>
      </c>
      <c r="CH28" s="79">
        <f t="shared" si="16"/>
        <v>0</v>
      </c>
      <c r="CI28" s="33"/>
      <c r="CJ28" s="84"/>
      <c r="CK28" s="81">
        <f t="shared" si="17"/>
        <v>0</v>
      </c>
      <c r="CL28" s="79">
        <f t="shared" si="18"/>
        <v>0</v>
      </c>
      <c r="CM28" s="34"/>
      <c r="CN28" s="34"/>
      <c r="CO28" s="34"/>
      <c r="CP28" s="34"/>
      <c r="CQ28" s="50">
        <f t="shared" si="19"/>
        <v>1</v>
      </c>
      <c r="CR28" s="77">
        <f t="shared" si="20"/>
        <v>0</v>
      </c>
      <c r="CS28" s="28"/>
    </row>
    <row r="29" spans="1:97" s="1" customFormat="1">
      <c r="A29" s="30" t="s">
        <v>135</v>
      </c>
      <c r="B29" s="47"/>
      <c r="C29" s="31" t="s">
        <v>121</v>
      </c>
      <c r="D29" s="32"/>
      <c r="E29" s="32"/>
      <c r="F29" s="87"/>
      <c r="G29" s="48"/>
      <c r="H29" s="84"/>
      <c r="I29" s="80">
        <f t="shared" si="21"/>
        <v>0</v>
      </c>
      <c r="J29" s="79">
        <f t="shared" si="22"/>
        <v>0</v>
      </c>
      <c r="K29" s="49"/>
      <c r="L29" s="84"/>
      <c r="M29" s="81">
        <f t="shared" si="24"/>
        <v>0</v>
      </c>
      <c r="N29" s="79">
        <f t="shared" si="1"/>
        <v>0</v>
      </c>
      <c r="O29" s="48">
        <v>1920</v>
      </c>
      <c r="P29" s="84"/>
      <c r="Q29" s="81">
        <f t="shared" si="2"/>
        <v>0</v>
      </c>
      <c r="R29" s="79">
        <f t="shared" si="3"/>
        <v>0</v>
      </c>
      <c r="S29" s="49"/>
      <c r="T29" s="84"/>
      <c r="U29" s="81">
        <v>0</v>
      </c>
      <c r="V29" s="79">
        <v>0</v>
      </c>
      <c r="W29" s="49"/>
      <c r="X29" s="84"/>
      <c r="Y29" s="81">
        <v>0</v>
      </c>
      <c r="Z29" s="79">
        <v>0</v>
      </c>
      <c r="AA29" s="49"/>
      <c r="AB29" s="84"/>
      <c r="AC29" s="81">
        <v>0</v>
      </c>
      <c r="AD29" s="79">
        <v>0</v>
      </c>
      <c r="AE29" s="49"/>
      <c r="AF29" s="84"/>
      <c r="AG29" s="81">
        <f t="shared" si="23"/>
        <v>0</v>
      </c>
      <c r="AH29" s="79">
        <f t="shared" si="4"/>
        <v>0</v>
      </c>
      <c r="AI29" s="48"/>
      <c r="AJ29" s="84"/>
      <c r="AK29" s="81">
        <f t="shared" si="5"/>
        <v>0</v>
      </c>
      <c r="AL29" s="79">
        <f t="shared" si="6"/>
        <v>0</v>
      </c>
      <c r="AM29" s="48"/>
      <c r="AN29" s="84"/>
      <c r="AO29" s="81">
        <f t="shared" si="7"/>
        <v>0</v>
      </c>
      <c r="AP29" s="79">
        <f t="shared" si="8"/>
        <v>0</v>
      </c>
      <c r="AQ29" s="48"/>
      <c r="AR29" s="84"/>
      <c r="AS29" s="81">
        <f t="shared" si="9"/>
        <v>0</v>
      </c>
      <c r="AT29" s="79">
        <f t="shared" si="10"/>
        <v>0</v>
      </c>
      <c r="AU29" s="49"/>
      <c r="AV29" s="84"/>
      <c r="AW29" s="81">
        <v>0</v>
      </c>
      <c r="AX29" s="79">
        <v>0</v>
      </c>
      <c r="AY29" s="49"/>
      <c r="AZ29" s="84"/>
      <c r="BA29" s="81">
        <v>0</v>
      </c>
      <c r="BB29" s="79">
        <v>0</v>
      </c>
      <c r="BC29" s="49"/>
      <c r="BD29" s="84"/>
      <c r="BE29" s="81">
        <v>0</v>
      </c>
      <c r="BF29" s="79">
        <v>0</v>
      </c>
      <c r="BG29" s="49"/>
      <c r="BH29" s="84"/>
      <c r="BI29" s="81">
        <v>0</v>
      </c>
      <c r="BJ29" s="79">
        <v>0</v>
      </c>
      <c r="BK29" s="49"/>
      <c r="BL29" s="84"/>
      <c r="BM29" s="81">
        <v>0</v>
      </c>
      <c r="BN29" s="79">
        <v>0</v>
      </c>
      <c r="BO29" s="49"/>
      <c r="BP29" s="84"/>
      <c r="BQ29" s="81">
        <v>0</v>
      </c>
      <c r="BR29" s="79">
        <v>0</v>
      </c>
      <c r="BS29" s="49"/>
      <c r="BT29" s="84"/>
      <c r="BU29" s="81">
        <f t="shared" si="11"/>
        <v>0</v>
      </c>
      <c r="BV29" s="79">
        <f t="shared" si="12"/>
        <v>0</v>
      </c>
      <c r="BW29" s="48"/>
      <c r="BX29" s="84"/>
      <c r="BY29" s="81">
        <f t="shared" si="13"/>
        <v>0</v>
      </c>
      <c r="BZ29" s="79">
        <f t="shared" si="14"/>
        <v>0</v>
      </c>
      <c r="CA29" s="48"/>
      <c r="CB29" s="84"/>
      <c r="CC29" s="81">
        <v>0</v>
      </c>
      <c r="CD29" s="79">
        <v>0</v>
      </c>
      <c r="CE29" s="49"/>
      <c r="CF29" s="84"/>
      <c r="CG29" s="81">
        <f t="shared" si="15"/>
        <v>0</v>
      </c>
      <c r="CH29" s="79">
        <f t="shared" si="16"/>
        <v>0</v>
      </c>
      <c r="CI29" s="33"/>
      <c r="CJ29" s="84"/>
      <c r="CK29" s="81">
        <f t="shared" si="17"/>
        <v>0</v>
      </c>
      <c r="CL29" s="79">
        <f t="shared" si="18"/>
        <v>0</v>
      </c>
      <c r="CM29" s="34"/>
      <c r="CN29" s="34"/>
      <c r="CO29" s="34"/>
      <c r="CP29" s="34"/>
      <c r="CQ29" s="50">
        <f t="shared" si="19"/>
        <v>1</v>
      </c>
      <c r="CR29" s="77">
        <f t="shared" si="20"/>
        <v>0</v>
      </c>
      <c r="CS29" s="28"/>
    </row>
    <row r="30" spans="1:97" s="1" customFormat="1">
      <c r="A30" s="30" t="s">
        <v>136</v>
      </c>
      <c r="B30" s="47"/>
      <c r="C30" s="31" t="s">
        <v>123</v>
      </c>
      <c r="D30" s="32"/>
      <c r="E30" s="32"/>
      <c r="F30" s="87"/>
      <c r="G30" s="48"/>
      <c r="H30" s="84"/>
      <c r="I30" s="80">
        <f t="shared" si="21"/>
        <v>0</v>
      </c>
      <c r="J30" s="79">
        <f t="shared" si="22"/>
        <v>0</v>
      </c>
      <c r="K30" s="49"/>
      <c r="L30" s="84"/>
      <c r="M30" s="81">
        <f t="shared" si="24"/>
        <v>0</v>
      </c>
      <c r="N30" s="79">
        <f t="shared" si="1"/>
        <v>0</v>
      </c>
      <c r="O30" s="48">
        <v>1920</v>
      </c>
      <c r="P30" s="84"/>
      <c r="Q30" s="81">
        <f t="shared" si="2"/>
        <v>0</v>
      </c>
      <c r="R30" s="79">
        <f t="shared" si="3"/>
        <v>0</v>
      </c>
      <c r="S30" s="49"/>
      <c r="T30" s="84"/>
      <c r="U30" s="81">
        <v>0</v>
      </c>
      <c r="V30" s="79">
        <v>0</v>
      </c>
      <c r="W30" s="49"/>
      <c r="X30" s="84"/>
      <c r="Y30" s="81">
        <v>0</v>
      </c>
      <c r="Z30" s="79">
        <v>0</v>
      </c>
      <c r="AA30" s="49"/>
      <c r="AB30" s="84"/>
      <c r="AC30" s="81">
        <v>0</v>
      </c>
      <c r="AD30" s="79">
        <v>0</v>
      </c>
      <c r="AE30" s="49"/>
      <c r="AF30" s="84"/>
      <c r="AG30" s="81">
        <f t="shared" si="23"/>
        <v>0</v>
      </c>
      <c r="AH30" s="79">
        <f t="shared" si="4"/>
        <v>0</v>
      </c>
      <c r="AI30" s="48"/>
      <c r="AJ30" s="84"/>
      <c r="AK30" s="81">
        <f t="shared" si="5"/>
        <v>0</v>
      </c>
      <c r="AL30" s="79">
        <f t="shared" si="6"/>
        <v>0</v>
      </c>
      <c r="AM30" s="48"/>
      <c r="AN30" s="84"/>
      <c r="AO30" s="81">
        <f t="shared" si="7"/>
        <v>0</v>
      </c>
      <c r="AP30" s="79">
        <f t="shared" si="8"/>
        <v>0</v>
      </c>
      <c r="AQ30" s="48"/>
      <c r="AR30" s="84"/>
      <c r="AS30" s="81">
        <f t="shared" si="9"/>
        <v>0</v>
      </c>
      <c r="AT30" s="79">
        <f t="shared" si="10"/>
        <v>0</v>
      </c>
      <c r="AU30" s="49"/>
      <c r="AV30" s="84"/>
      <c r="AW30" s="81">
        <v>0</v>
      </c>
      <c r="AX30" s="79">
        <v>0</v>
      </c>
      <c r="AY30" s="49"/>
      <c r="AZ30" s="84"/>
      <c r="BA30" s="81">
        <v>0</v>
      </c>
      <c r="BB30" s="79">
        <v>0</v>
      </c>
      <c r="BC30" s="49"/>
      <c r="BD30" s="84"/>
      <c r="BE30" s="81">
        <v>0</v>
      </c>
      <c r="BF30" s="79">
        <v>0</v>
      </c>
      <c r="BG30" s="49"/>
      <c r="BH30" s="84"/>
      <c r="BI30" s="81">
        <v>0</v>
      </c>
      <c r="BJ30" s="79">
        <v>0</v>
      </c>
      <c r="BK30" s="49"/>
      <c r="BL30" s="84"/>
      <c r="BM30" s="81">
        <v>0</v>
      </c>
      <c r="BN30" s="79">
        <v>0</v>
      </c>
      <c r="BO30" s="49"/>
      <c r="BP30" s="84"/>
      <c r="BQ30" s="81">
        <v>0</v>
      </c>
      <c r="BR30" s="79">
        <v>0</v>
      </c>
      <c r="BS30" s="49"/>
      <c r="BT30" s="84"/>
      <c r="BU30" s="81">
        <f t="shared" si="11"/>
        <v>0</v>
      </c>
      <c r="BV30" s="79">
        <f t="shared" si="12"/>
        <v>0</v>
      </c>
      <c r="BW30" s="48"/>
      <c r="BX30" s="84"/>
      <c r="BY30" s="81">
        <f t="shared" si="13"/>
        <v>0</v>
      </c>
      <c r="BZ30" s="79">
        <f t="shared" si="14"/>
        <v>0</v>
      </c>
      <c r="CA30" s="48"/>
      <c r="CB30" s="84"/>
      <c r="CC30" s="81">
        <v>0</v>
      </c>
      <c r="CD30" s="79">
        <v>0</v>
      </c>
      <c r="CE30" s="49"/>
      <c r="CF30" s="84"/>
      <c r="CG30" s="81">
        <f t="shared" si="15"/>
        <v>0</v>
      </c>
      <c r="CH30" s="79">
        <f t="shared" si="16"/>
        <v>0</v>
      </c>
      <c r="CI30" s="33"/>
      <c r="CJ30" s="84"/>
      <c r="CK30" s="81">
        <f t="shared" si="17"/>
        <v>0</v>
      </c>
      <c r="CL30" s="79">
        <f t="shared" si="18"/>
        <v>0</v>
      </c>
      <c r="CM30" s="34"/>
      <c r="CN30" s="34"/>
      <c r="CO30" s="34"/>
      <c r="CP30" s="34"/>
      <c r="CQ30" s="50">
        <f t="shared" si="19"/>
        <v>1</v>
      </c>
      <c r="CR30" s="77">
        <f t="shared" si="20"/>
        <v>0</v>
      </c>
      <c r="CS30" s="28"/>
    </row>
    <row r="31" spans="1:97" s="1" customFormat="1">
      <c r="A31" s="30" t="s">
        <v>137</v>
      </c>
      <c r="B31" s="47"/>
      <c r="C31" s="31" t="s">
        <v>123</v>
      </c>
      <c r="D31" s="32"/>
      <c r="E31" s="32"/>
      <c r="F31" s="87"/>
      <c r="G31" s="48">
        <v>960</v>
      </c>
      <c r="H31" s="84"/>
      <c r="I31" s="80">
        <f t="shared" si="21"/>
        <v>0</v>
      </c>
      <c r="J31" s="79">
        <f t="shared" si="22"/>
        <v>0</v>
      </c>
      <c r="K31" s="49"/>
      <c r="L31" s="84"/>
      <c r="M31" s="81">
        <f t="shared" si="24"/>
        <v>0</v>
      </c>
      <c r="N31" s="79">
        <f t="shared" si="1"/>
        <v>0</v>
      </c>
      <c r="O31" s="48">
        <v>1920</v>
      </c>
      <c r="P31" s="84"/>
      <c r="Q31" s="81">
        <f t="shared" si="2"/>
        <v>0</v>
      </c>
      <c r="R31" s="79">
        <f t="shared" si="3"/>
        <v>0</v>
      </c>
      <c r="S31" s="49"/>
      <c r="T31" s="84"/>
      <c r="U31" s="81">
        <v>0</v>
      </c>
      <c r="V31" s="79">
        <v>0</v>
      </c>
      <c r="W31" s="49"/>
      <c r="X31" s="84"/>
      <c r="Y31" s="81">
        <v>0</v>
      </c>
      <c r="Z31" s="79">
        <v>0</v>
      </c>
      <c r="AA31" s="49"/>
      <c r="AB31" s="84"/>
      <c r="AC31" s="81">
        <v>0</v>
      </c>
      <c r="AD31" s="79">
        <v>0</v>
      </c>
      <c r="AE31" s="49"/>
      <c r="AF31" s="84"/>
      <c r="AG31" s="81">
        <f t="shared" si="23"/>
        <v>0</v>
      </c>
      <c r="AH31" s="79">
        <f t="shared" si="4"/>
        <v>0</v>
      </c>
      <c r="AI31" s="48"/>
      <c r="AJ31" s="84"/>
      <c r="AK31" s="81">
        <f t="shared" si="5"/>
        <v>0</v>
      </c>
      <c r="AL31" s="79">
        <f t="shared" si="6"/>
        <v>0</v>
      </c>
      <c r="AM31" s="48"/>
      <c r="AN31" s="84"/>
      <c r="AO31" s="81">
        <f t="shared" si="7"/>
        <v>0</v>
      </c>
      <c r="AP31" s="79">
        <f t="shared" si="8"/>
        <v>0</v>
      </c>
      <c r="AQ31" s="48"/>
      <c r="AR31" s="84"/>
      <c r="AS31" s="81">
        <f t="shared" si="9"/>
        <v>0</v>
      </c>
      <c r="AT31" s="79">
        <f t="shared" si="10"/>
        <v>0</v>
      </c>
      <c r="AU31" s="49"/>
      <c r="AV31" s="84"/>
      <c r="AW31" s="81">
        <v>0</v>
      </c>
      <c r="AX31" s="79">
        <v>0</v>
      </c>
      <c r="AY31" s="49"/>
      <c r="AZ31" s="84"/>
      <c r="BA31" s="81">
        <v>0</v>
      </c>
      <c r="BB31" s="79">
        <v>0</v>
      </c>
      <c r="BC31" s="49"/>
      <c r="BD31" s="84"/>
      <c r="BE31" s="81">
        <v>0</v>
      </c>
      <c r="BF31" s="79">
        <v>0</v>
      </c>
      <c r="BG31" s="49"/>
      <c r="BH31" s="84"/>
      <c r="BI31" s="81">
        <v>0</v>
      </c>
      <c r="BJ31" s="79">
        <v>0</v>
      </c>
      <c r="BK31" s="49"/>
      <c r="BL31" s="84"/>
      <c r="BM31" s="81">
        <v>0</v>
      </c>
      <c r="BN31" s="79">
        <v>0</v>
      </c>
      <c r="BO31" s="49"/>
      <c r="BP31" s="84"/>
      <c r="BQ31" s="81">
        <v>0</v>
      </c>
      <c r="BR31" s="79">
        <v>0</v>
      </c>
      <c r="BS31" s="49"/>
      <c r="BT31" s="84"/>
      <c r="BU31" s="81">
        <f t="shared" si="11"/>
        <v>0</v>
      </c>
      <c r="BV31" s="79">
        <f t="shared" si="12"/>
        <v>0</v>
      </c>
      <c r="BW31" s="48"/>
      <c r="BX31" s="84"/>
      <c r="BY31" s="81">
        <f t="shared" si="13"/>
        <v>0</v>
      </c>
      <c r="BZ31" s="79">
        <f t="shared" si="14"/>
        <v>0</v>
      </c>
      <c r="CA31" s="48"/>
      <c r="CB31" s="84"/>
      <c r="CC31" s="81">
        <v>0</v>
      </c>
      <c r="CD31" s="79">
        <v>0</v>
      </c>
      <c r="CE31" s="49"/>
      <c r="CF31" s="84"/>
      <c r="CG31" s="81">
        <f t="shared" si="15"/>
        <v>0</v>
      </c>
      <c r="CH31" s="79">
        <f t="shared" si="16"/>
        <v>0</v>
      </c>
      <c r="CI31" s="33"/>
      <c r="CJ31" s="84"/>
      <c r="CK31" s="81">
        <f t="shared" si="17"/>
        <v>0</v>
      </c>
      <c r="CL31" s="79">
        <f t="shared" si="18"/>
        <v>0</v>
      </c>
      <c r="CM31" s="34"/>
      <c r="CN31" s="34"/>
      <c r="CO31" s="34"/>
      <c r="CP31" s="34"/>
      <c r="CQ31" s="50">
        <f t="shared" si="19"/>
        <v>1</v>
      </c>
      <c r="CR31" s="77">
        <f t="shared" si="20"/>
        <v>0</v>
      </c>
      <c r="CS31" s="28"/>
    </row>
    <row r="32" spans="1:97" s="1" customFormat="1">
      <c r="A32" s="30" t="s">
        <v>138</v>
      </c>
      <c r="B32" s="47"/>
      <c r="C32" s="31" t="s">
        <v>121</v>
      </c>
      <c r="D32" s="32"/>
      <c r="E32" s="32"/>
      <c r="F32" s="87"/>
      <c r="G32" s="48"/>
      <c r="H32" s="84"/>
      <c r="I32" s="80">
        <f t="shared" si="21"/>
        <v>0</v>
      </c>
      <c r="J32" s="79">
        <f t="shared" si="22"/>
        <v>0</v>
      </c>
      <c r="K32" s="49"/>
      <c r="L32" s="84"/>
      <c r="M32" s="81">
        <f t="shared" si="24"/>
        <v>0</v>
      </c>
      <c r="N32" s="79">
        <f t="shared" si="1"/>
        <v>0</v>
      </c>
      <c r="O32" s="48">
        <v>1920</v>
      </c>
      <c r="P32" s="84"/>
      <c r="Q32" s="81">
        <f t="shared" si="2"/>
        <v>0</v>
      </c>
      <c r="R32" s="79">
        <f t="shared" si="3"/>
        <v>0</v>
      </c>
      <c r="S32" s="49"/>
      <c r="T32" s="84"/>
      <c r="U32" s="81">
        <v>0</v>
      </c>
      <c r="V32" s="79">
        <v>0</v>
      </c>
      <c r="W32" s="49"/>
      <c r="X32" s="84"/>
      <c r="Y32" s="81">
        <v>0</v>
      </c>
      <c r="Z32" s="79">
        <v>0</v>
      </c>
      <c r="AA32" s="49"/>
      <c r="AB32" s="84"/>
      <c r="AC32" s="81">
        <v>0</v>
      </c>
      <c r="AD32" s="79">
        <v>0</v>
      </c>
      <c r="AE32" s="49"/>
      <c r="AF32" s="84"/>
      <c r="AG32" s="81">
        <f t="shared" si="23"/>
        <v>0</v>
      </c>
      <c r="AH32" s="79">
        <f t="shared" si="4"/>
        <v>0</v>
      </c>
      <c r="AI32" s="48"/>
      <c r="AJ32" s="84"/>
      <c r="AK32" s="81">
        <f t="shared" si="5"/>
        <v>0</v>
      </c>
      <c r="AL32" s="79">
        <f t="shared" si="6"/>
        <v>0</v>
      </c>
      <c r="AM32" s="48"/>
      <c r="AN32" s="84"/>
      <c r="AO32" s="81">
        <f t="shared" si="7"/>
        <v>0</v>
      </c>
      <c r="AP32" s="79">
        <f t="shared" si="8"/>
        <v>0</v>
      </c>
      <c r="AQ32" s="48"/>
      <c r="AR32" s="84"/>
      <c r="AS32" s="81">
        <f t="shared" si="9"/>
        <v>0</v>
      </c>
      <c r="AT32" s="79">
        <f t="shared" si="10"/>
        <v>0</v>
      </c>
      <c r="AU32" s="49"/>
      <c r="AV32" s="84"/>
      <c r="AW32" s="81">
        <v>0</v>
      </c>
      <c r="AX32" s="79">
        <v>0</v>
      </c>
      <c r="AY32" s="49"/>
      <c r="AZ32" s="84"/>
      <c r="BA32" s="81">
        <v>0</v>
      </c>
      <c r="BB32" s="79">
        <v>0</v>
      </c>
      <c r="BC32" s="49"/>
      <c r="BD32" s="84"/>
      <c r="BE32" s="81">
        <v>0</v>
      </c>
      <c r="BF32" s="79">
        <v>0</v>
      </c>
      <c r="BG32" s="49"/>
      <c r="BH32" s="84"/>
      <c r="BI32" s="81">
        <v>0</v>
      </c>
      <c r="BJ32" s="79">
        <v>0</v>
      </c>
      <c r="BK32" s="49"/>
      <c r="BL32" s="84"/>
      <c r="BM32" s="81">
        <v>0</v>
      </c>
      <c r="BN32" s="79">
        <v>0</v>
      </c>
      <c r="BO32" s="49"/>
      <c r="BP32" s="84"/>
      <c r="BQ32" s="81">
        <v>0</v>
      </c>
      <c r="BR32" s="79">
        <v>0</v>
      </c>
      <c r="BS32" s="49"/>
      <c r="BT32" s="84"/>
      <c r="BU32" s="81">
        <f t="shared" si="11"/>
        <v>0</v>
      </c>
      <c r="BV32" s="79">
        <f t="shared" si="12"/>
        <v>0</v>
      </c>
      <c r="BW32" s="48"/>
      <c r="BX32" s="84"/>
      <c r="BY32" s="81">
        <f t="shared" si="13"/>
        <v>0</v>
      </c>
      <c r="BZ32" s="79">
        <f t="shared" si="14"/>
        <v>0</v>
      </c>
      <c r="CA32" s="48"/>
      <c r="CB32" s="84"/>
      <c r="CC32" s="81">
        <v>0</v>
      </c>
      <c r="CD32" s="79">
        <v>0</v>
      </c>
      <c r="CE32" s="49"/>
      <c r="CF32" s="84"/>
      <c r="CG32" s="81">
        <f t="shared" si="15"/>
        <v>0</v>
      </c>
      <c r="CH32" s="79">
        <f t="shared" si="16"/>
        <v>0</v>
      </c>
      <c r="CI32" s="33"/>
      <c r="CJ32" s="84"/>
      <c r="CK32" s="81">
        <f t="shared" si="17"/>
        <v>0</v>
      </c>
      <c r="CL32" s="79">
        <f t="shared" si="18"/>
        <v>0</v>
      </c>
      <c r="CM32" s="34"/>
      <c r="CN32" s="34"/>
      <c r="CO32" s="34"/>
      <c r="CP32" s="34"/>
      <c r="CQ32" s="50">
        <f t="shared" si="19"/>
        <v>1</v>
      </c>
      <c r="CR32" s="77">
        <f t="shared" si="20"/>
        <v>0</v>
      </c>
      <c r="CS32" s="28"/>
    </row>
    <row r="33" spans="1:97" s="1" customFormat="1">
      <c r="A33" s="30" t="s">
        <v>138</v>
      </c>
      <c r="B33" s="47"/>
      <c r="C33" s="31" t="s">
        <v>123</v>
      </c>
      <c r="D33" s="32"/>
      <c r="E33" s="32"/>
      <c r="F33" s="87"/>
      <c r="G33" s="48"/>
      <c r="H33" s="84"/>
      <c r="I33" s="80">
        <f t="shared" si="21"/>
        <v>0</v>
      </c>
      <c r="J33" s="79">
        <f t="shared" si="22"/>
        <v>0</v>
      </c>
      <c r="K33" s="49"/>
      <c r="L33" s="84"/>
      <c r="M33" s="81">
        <f t="shared" si="24"/>
        <v>0</v>
      </c>
      <c r="N33" s="79">
        <f t="shared" si="1"/>
        <v>0</v>
      </c>
      <c r="O33" s="48"/>
      <c r="P33" s="84"/>
      <c r="Q33" s="81">
        <f t="shared" si="2"/>
        <v>0</v>
      </c>
      <c r="R33" s="79">
        <f t="shared" si="3"/>
        <v>0</v>
      </c>
      <c r="S33" s="49"/>
      <c r="T33" s="84"/>
      <c r="U33" s="81">
        <v>0</v>
      </c>
      <c r="V33" s="79">
        <v>0</v>
      </c>
      <c r="W33" s="49"/>
      <c r="X33" s="84"/>
      <c r="Y33" s="81">
        <v>0</v>
      </c>
      <c r="Z33" s="79">
        <v>0</v>
      </c>
      <c r="AA33" s="49"/>
      <c r="AB33" s="84"/>
      <c r="AC33" s="81">
        <v>0</v>
      </c>
      <c r="AD33" s="79">
        <v>0</v>
      </c>
      <c r="AE33" s="49"/>
      <c r="AF33" s="84"/>
      <c r="AG33" s="81">
        <f t="shared" si="23"/>
        <v>0</v>
      </c>
      <c r="AH33" s="79">
        <f t="shared" si="4"/>
        <v>0</v>
      </c>
      <c r="AI33" s="48">
        <v>1920</v>
      </c>
      <c r="AJ33" s="84"/>
      <c r="AK33" s="81">
        <f t="shared" si="5"/>
        <v>0</v>
      </c>
      <c r="AL33" s="79">
        <f t="shared" si="6"/>
        <v>0</v>
      </c>
      <c r="AM33" s="48"/>
      <c r="AN33" s="84"/>
      <c r="AO33" s="81">
        <f t="shared" si="7"/>
        <v>0</v>
      </c>
      <c r="AP33" s="79">
        <f t="shared" si="8"/>
        <v>0</v>
      </c>
      <c r="AQ33" s="48"/>
      <c r="AR33" s="84"/>
      <c r="AS33" s="81">
        <f t="shared" si="9"/>
        <v>0</v>
      </c>
      <c r="AT33" s="79">
        <f t="shared" si="10"/>
        <v>0</v>
      </c>
      <c r="AU33" s="49"/>
      <c r="AV33" s="84"/>
      <c r="AW33" s="81">
        <v>0</v>
      </c>
      <c r="AX33" s="79">
        <v>0</v>
      </c>
      <c r="AY33" s="49"/>
      <c r="AZ33" s="84"/>
      <c r="BA33" s="81">
        <v>0</v>
      </c>
      <c r="BB33" s="79">
        <v>0</v>
      </c>
      <c r="BC33" s="49"/>
      <c r="BD33" s="84"/>
      <c r="BE33" s="81">
        <v>0</v>
      </c>
      <c r="BF33" s="79">
        <v>0</v>
      </c>
      <c r="BG33" s="49"/>
      <c r="BH33" s="84"/>
      <c r="BI33" s="81">
        <v>0</v>
      </c>
      <c r="BJ33" s="79">
        <v>0</v>
      </c>
      <c r="BK33" s="49"/>
      <c r="BL33" s="84"/>
      <c r="BM33" s="81">
        <v>0</v>
      </c>
      <c r="BN33" s="79">
        <v>0</v>
      </c>
      <c r="BO33" s="49"/>
      <c r="BP33" s="84"/>
      <c r="BQ33" s="81">
        <v>0</v>
      </c>
      <c r="BR33" s="79">
        <v>0</v>
      </c>
      <c r="BS33" s="49"/>
      <c r="BT33" s="84"/>
      <c r="BU33" s="81">
        <f t="shared" si="11"/>
        <v>0</v>
      </c>
      <c r="BV33" s="79">
        <f t="shared" si="12"/>
        <v>0</v>
      </c>
      <c r="BW33" s="48"/>
      <c r="BX33" s="84"/>
      <c r="BY33" s="81">
        <f t="shared" si="13"/>
        <v>0</v>
      </c>
      <c r="BZ33" s="79">
        <f t="shared" si="14"/>
        <v>0</v>
      </c>
      <c r="CA33" s="48"/>
      <c r="CB33" s="84"/>
      <c r="CC33" s="81">
        <v>0</v>
      </c>
      <c r="CD33" s="79">
        <v>0</v>
      </c>
      <c r="CE33" s="49"/>
      <c r="CF33" s="84"/>
      <c r="CG33" s="81">
        <f t="shared" si="15"/>
        <v>0</v>
      </c>
      <c r="CH33" s="79">
        <f t="shared" si="16"/>
        <v>0</v>
      </c>
      <c r="CI33" s="33"/>
      <c r="CJ33" s="84"/>
      <c r="CK33" s="81">
        <f t="shared" si="17"/>
        <v>0</v>
      </c>
      <c r="CL33" s="79">
        <f t="shared" si="18"/>
        <v>0</v>
      </c>
      <c r="CM33" s="34"/>
      <c r="CN33" s="34"/>
      <c r="CO33" s="34"/>
      <c r="CP33" s="34"/>
      <c r="CQ33" s="50">
        <f t="shared" si="19"/>
        <v>1</v>
      </c>
      <c r="CR33" s="77">
        <f t="shared" si="20"/>
        <v>0</v>
      </c>
      <c r="CS33" s="28"/>
    </row>
    <row r="34" spans="1:97" s="1" customFormat="1">
      <c r="A34" s="30" t="s">
        <v>139</v>
      </c>
      <c r="B34" s="47"/>
      <c r="C34" s="31" t="s">
        <v>140</v>
      </c>
      <c r="D34" s="32"/>
      <c r="E34" s="32"/>
      <c r="F34" s="87"/>
      <c r="G34" s="48">
        <v>1920</v>
      </c>
      <c r="H34" s="84"/>
      <c r="I34" s="80">
        <f t="shared" si="21"/>
        <v>0</v>
      </c>
      <c r="J34" s="79">
        <f t="shared" si="22"/>
        <v>0</v>
      </c>
      <c r="K34" s="49"/>
      <c r="L34" s="84"/>
      <c r="M34" s="81">
        <f t="shared" si="24"/>
        <v>0</v>
      </c>
      <c r="N34" s="79">
        <f t="shared" si="1"/>
        <v>0</v>
      </c>
      <c r="O34" s="48"/>
      <c r="P34" s="84"/>
      <c r="Q34" s="81">
        <f t="shared" si="2"/>
        <v>0</v>
      </c>
      <c r="R34" s="79">
        <f t="shared" si="3"/>
        <v>0</v>
      </c>
      <c r="S34" s="49"/>
      <c r="T34" s="84"/>
      <c r="U34" s="81">
        <v>0</v>
      </c>
      <c r="V34" s="79">
        <v>0</v>
      </c>
      <c r="W34" s="49"/>
      <c r="X34" s="84"/>
      <c r="Y34" s="81">
        <v>0</v>
      </c>
      <c r="Z34" s="79">
        <v>0</v>
      </c>
      <c r="AA34" s="49"/>
      <c r="AB34" s="84"/>
      <c r="AC34" s="81">
        <v>0</v>
      </c>
      <c r="AD34" s="79">
        <v>0</v>
      </c>
      <c r="AE34" s="49"/>
      <c r="AF34" s="84"/>
      <c r="AG34" s="81">
        <f t="shared" si="23"/>
        <v>0</v>
      </c>
      <c r="AH34" s="79">
        <f t="shared" si="4"/>
        <v>0</v>
      </c>
      <c r="AI34" s="48"/>
      <c r="AJ34" s="84"/>
      <c r="AK34" s="81">
        <f t="shared" si="5"/>
        <v>0</v>
      </c>
      <c r="AL34" s="79">
        <f t="shared" si="6"/>
        <v>0</v>
      </c>
      <c r="AM34" s="48"/>
      <c r="AN34" s="84"/>
      <c r="AO34" s="81">
        <f t="shared" si="7"/>
        <v>0</v>
      </c>
      <c r="AP34" s="79">
        <f t="shared" si="8"/>
        <v>0</v>
      </c>
      <c r="AQ34" s="48"/>
      <c r="AR34" s="84"/>
      <c r="AS34" s="81">
        <f t="shared" si="9"/>
        <v>0</v>
      </c>
      <c r="AT34" s="79">
        <f t="shared" si="10"/>
        <v>0</v>
      </c>
      <c r="AU34" s="49"/>
      <c r="AV34" s="84"/>
      <c r="AW34" s="81">
        <v>0</v>
      </c>
      <c r="AX34" s="79">
        <v>0</v>
      </c>
      <c r="AY34" s="49"/>
      <c r="AZ34" s="84"/>
      <c r="BA34" s="81">
        <v>0</v>
      </c>
      <c r="BB34" s="79">
        <v>0</v>
      </c>
      <c r="BC34" s="49"/>
      <c r="BD34" s="84"/>
      <c r="BE34" s="81">
        <v>0</v>
      </c>
      <c r="BF34" s="79">
        <v>0</v>
      </c>
      <c r="BG34" s="49"/>
      <c r="BH34" s="84"/>
      <c r="BI34" s="81">
        <v>0</v>
      </c>
      <c r="BJ34" s="79">
        <v>0</v>
      </c>
      <c r="BK34" s="49"/>
      <c r="BL34" s="84"/>
      <c r="BM34" s="81">
        <v>0</v>
      </c>
      <c r="BN34" s="79">
        <v>0</v>
      </c>
      <c r="BO34" s="49"/>
      <c r="BP34" s="84"/>
      <c r="BQ34" s="81">
        <v>0</v>
      </c>
      <c r="BR34" s="79">
        <v>0</v>
      </c>
      <c r="BS34" s="49"/>
      <c r="BT34" s="84"/>
      <c r="BU34" s="81">
        <f t="shared" si="11"/>
        <v>0</v>
      </c>
      <c r="BV34" s="79">
        <f t="shared" si="12"/>
        <v>0</v>
      </c>
      <c r="BW34" s="48"/>
      <c r="BX34" s="84"/>
      <c r="BY34" s="81">
        <f t="shared" si="13"/>
        <v>0</v>
      </c>
      <c r="BZ34" s="79">
        <f t="shared" si="14"/>
        <v>0</v>
      </c>
      <c r="CA34" s="48"/>
      <c r="CB34" s="84"/>
      <c r="CC34" s="81">
        <v>0</v>
      </c>
      <c r="CD34" s="79">
        <v>0</v>
      </c>
      <c r="CE34" s="49"/>
      <c r="CF34" s="84"/>
      <c r="CG34" s="81">
        <f t="shared" si="15"/>
        <v>0</v>
      </c>
      <c r="CH34" s="79">
        <f t="shared" si="16"/>
        <v>0</v>
      </c>
      <c r="CI34" s="33"/>
      <c r="CJ34" s="84"/>
      <c r="CK34" s="81">
        <f t="shared" si="17"/>
        <v>0</v>
      </c>
      <c r="CL34" s="79">
        <f t="shared" si="18"/>
        <v>0</v>
      </c>
      <c r="CM34" s="34"/>
      <c r="CN34" s="34"/>
      <c r="CO34" s="34"/>
      <c r="CP34" s="34"/>
      <c r="CQ34" s="50">
        <f t="shared" si="19"/>
        <v>1</v>
      </c>
      <c r="CR34" s="77">
        <f t="shared" si="20"/>
        <v>0</v>
      </c>
      <c r="CS34" s="28"/>
    </row>
    <row r="35" spans="1:97" s="1" customFormat="1">
      <c r="A35" s="30" t="s">
        <v>141</v>
      </c>
      <c r="B35" s="47"/>
      <c r="C35" s="63" t="s">
        <v>120</v>
      </c>
      <c r="D35" s="32"/>
      <c r="E35" s="32"/>
      <c r="F35" s="87"/>
      <c r="G35" s="48"/>
      <c r="H35" s="84"/>
      <c r="I35" s="80">
        <f t="shared" si="21"/>
        <v>0</v>
      </c>
      <c r="J35" s="79">
        <f t="shared" si="22"/>
        <v>0</v>
      </c>
      <c r="K35" s="49">
        <v>11520</v>
      </c>
      <c r="L35" s="84"/>
      <c r="M35" s="81">
        <f t="shared" si="24"/>
        <v>0</v>
      </c>
      <c r="N35" s="79">
        <f t="shared" si="1"/>
        <v>0</v>
      </c>
      <c r="O35" s="48"/>
      <c r="P35" s="84"/>
      <c r="Q35" s="81">
        <f t="shared" si="2"/>
        <v>0</v>
      </c>
      <c r="R35" s="79">
        <f t="shared" si="3"/>
        <v>0</v>
      </c>
      <c r="S35" s="49"/>
      <c r="T35" s="84"/>
      <c r="U35" s="81">
        <v>0</v>
      </c>
      <c r="V35" s="79">
        <v>0</v>
      </c>
      <c r="W35" s="49"/>
      <c r="X35" s="84"/>
      <c r="Y35" s="81">
        <v>0</v>
      </c>
      <c r="Z35" s="79">
        <v>0</v>
      </c>
      <c r="AA35" s="49"/>
      <c r="AB35" s="84"/>
      <c r="AC35" s="81">
        <v>0</v>
      </c>
      <c r="AD35" s="79">
        <v>0</v>
      </c>
      <c r="AE35" s="49"/>
      <c r="AF35" s="84"/>
      <c r="AG35" s="81">
        <f t="shared" si="23"/>
        <v>0</v>
      </c>
      <c r="AH35" s="79">
        <f t="shared" si="4"/>
        <v>0</v>
      </c>
      <c r="AI35" s="48"/>
      <c r="AJ35" s="84"/>
      <c r="AK35" s="81">
        <f t="shared" si="5"/>
        <v>0</v>
      </c>
      <c r="AL35" s="79">
        <f t="shared" si="6"/>
        <v>0</v>
      </c>
      <c r="AM35" s="48">
        <v>1920</v>
      </c>
      <c r="AN35" s="84"/>
      <c r="AO35" s="81">
        <f t="shared" si="7"/>
        <v>0</v>
      </c>
      <c r="AP35" s="79">
        <f t="shared" si="8"/>
        <v>0</v>
      </c>
      <c r="AQ35" s="48"/>
      <c r="AR35" s="84"/>
      <c r="AS35" s="81">
        <f t="shared" si="9"/>
        <v>0</v>
      </c>
      <c r="AT35" s="79">
        <f t="shared" si="10"/>
        <v>0</v>
      </c>
      <c r="AU35" s="49"/>
      <c r="AV35" s="84"/>
      <c r="AW35" s="81">
        <v>0</v>
      </c>
      <c r="AX35" s="79">
        <v>0</v>
      </c>
      <c r="AY35" s="49"/>
      <c r="AZ35" s="84"/>
      <c r="BA35" s="81">
        <v>0</v>
      </c>
      <c r="BB35" s="79">
        <v>0</v>
      </c>
      <c r="BC35" s="49"/>
      <c r="BD35" s="84"/>
      <c r="BE35" s="81">
        <v>0</v>
      </c>
      <c r="BF35" s="79">
        <v>0</v>
      </c>
      <c r="BG35" s="49"/>
      <c r="BH35" s="84"/>
      <c r="BI35" s="81">
        <v>0</v>
      </c>
      <c r="BJ35" s="79">
        <v>0</v>
      </c>
      <c r="BK35" s="49"/>
      <c r="BL35" s="84"/>
      <c r="BM35" s="81">
        <v>0</v>
      </c>
      <c r="BN35" s="79">
        <v>0</v>
      </c>
      <c r="BO35" s="49"/>
      <c r="BP35" s="84"/>
      <c r="BQ35" s="81">
        <v>0</v>
      </c>
      <c r="BR35" s="79">
        <v>0</v>
      </c>
      <c r="BS35" s="49"/>
      <c r="BT35" s="84"/>
      <c r="BU35" s="81">
        <f t="shared" si="11"/>
        <v>0</v>
      </c>
      <c r="BV35" s="79">
        <f t="shared" si="12"/>
        <v>0</v>
      </c>
      <c r="BW35" s="48"/>
      <c r="BX35" s="84"/>
      <c r="BY35" s="81">
        <f t="shared" si="13"/>
        <v>0</v>
      </c>
      <c r="BZ35" s="79">
        <f t="shared" si="14"/>
        <v>0</v>
      </c>
      <c r="CA35" s="48"/>
      <c r="CB35" s="84"/>
      <c r="CC35" s="81">
        <v>0</v>
      </c>
      <c r="CD35" s="79">
        <v>0</v>
      </c>
      <c r="CE35" s="49"/>
      <c r="CF35" s="84"/>
      <c r="CG35" s="81">
        <f t="shared" si="15"/>
        <v>0</v>
      </c>
      <c r="CH35" s="79">
        <f t="shared" si="16"/>
        <v>0</v>
      </c>
      <c r="CI35" s="33"/>
      <c r="CJ35" s="84"/>
      <c r="CK35" s="81">
        <f t="shared" si="17"/>
        <v>0</v>
      </c>
      <c r="CL35" s="79">
        <f t="shared" si="18"/>
        <v>0</v>
      </c>
      <c r="CM35" s="34"/>
      <c r="CN35" s="34"/>
      <c r="CO35" s="34"/>
      <c r="CP35" s="34"/>
      <c r="CQ35" s="50">
        <f t="shared" si="19"/>
        <v>1</v>
      </c>
      <c r="CR35" s="77">
        <f t="shared" si="20"/>
        <v>0</v>
      </c>
      <c r="CS35" s="28"/>
    </row>
    <row r="36" spans="1:97" s="1" customFormat="1">
      <c r="A36" s="30" t="s">
        <v>141</v>
      </c>
      <c r="B36" s="47"/>
      <c r="C36" s="31" t="s">
        <v>121</v>
      </c>
      <c r="D36" s="32"/>
      <c r="E36" s="32"/>
      <c r="F36" s="87"/>
      <c r="G36" s="48">
        <v>3840</v>
      </c>
      <c r="H36" s="84"/>
      <c r="I36" s="80">
        <f t="shared" si="21"/>
        <v>0</v>
      </c>
      <c r="J36" s="79">
        <f t="shared" si="22"/>
        <v>0</v>
      </c>
      <c r="K36" s="49"/>
      <c r="L36" s="84"/>
      <c r="M36" s="81">
        <f t="shared" si="24"/>
        <v>0</v>
      </c>
      <c r="N36" s="79">
        <f t="shared" si="1"/>
        <v>0</v>
      </c>
      <c r="O36" s="48"/>
      <c r="P36" s="84"/>
      <c r="Q36" s="81">
        <f t="shared" si="2"/>
        <v>0</v>
      </c>
      <c r="R36" s="79">
        <f t="shared" si="3"/>
        <v>0</v>
      </c>
      <c r="S36" s="49"/>
      <c r="T36" s="84"/>
      <c r="U36" s="81">
        <v>0</v>
      </c>
      <c r="V36" s="79">
        <v>0</v>
      </c>
      <c r="W36" s="49"/>
      <c r="X36" s="84"/>
      <c r="Y36" s="81">
        <v>0</v>
      </c>
      <c r="Z36" s="79">
        <v>0</v>
      </c>
      <c r="AA36" s="49"/>
      <c r="AB36" s="84"/>
      <c r="AC36" s="81">
        <v>0</v>
      </c>
      <c r="AD36" s="79">
        <v>0</v>
      </c>
      <c r="AE36" s="49"/>
      <c r="AF36" s="84"/>
      <c r="AG36" s="81">
        <f t="shared" si="23"/>
        <v>0</v>
      </c>
      <c r="AH36" s="79">
        <f t="shared" si="4"/>
        <v>0</v>
      </c>
      <c r="AI36" s="48">
        <v>1920</v>
      </c>
      <c r="AJ36" s="84"/>
      <c r="AK36" s="81">
        <f t="shared" si="5"/>
        <v>0</v>
      </c>
      <c r="AL36" s="79">
        <f t="shared" si="6"/>
        <v>0</v>
      </c>
      <c r="AM36" s="48"/>
      <c r="AN36" s="84"/>
      <c r="AO36" s="81">
        <f t="shared" si="7"/>
        <v>0</v>
      </c>
      <c r="AP36" s="79">
        <f t="shared" si="8"/>
        <v>0</v>
      </c>
      <c r="AQ36" s="48"/>
      <c r="AR36" s="84"/>
      <c r="AS36" s="81">
        <f t="shared" si="9"/>
        <v>0</v>
      </c>
      <c r="AT36" s="79">
        <f t="shared" si="10"/>
        <v>0</v>
      </c>
      <c r="AU36" s="49"/>
      <c r="AV36" s="84"/>
      <c r="AW36" s="81">
        <v>0</v>
      </c>
      <c r="AX36" s="79">
        <v>0</v>
      </c>
      <c r="AY36" s="49"/>
      <c r="AZ36" s="84"/>
      <c r="BA36" s="81">
        <v>0</v>
      </c>
      <c r="BB36" s="79">
        <v>0</v>
      </c>
      <c r="BC36" s="49"/>
      <c r="BD36" s="84"/>
      <c r="BE36" s="81">
        <v>0</v>
      </c>
      <c r="BF36" s="79">
        <v>0</v>
      </c>
      <c r="BG36" s="49"/>
      <c r="BH36" s="84"/>
      <c r="BI36" s="81">
        <v>0</v>
      </c>
      <c r="BJ36" s="79">
        <v>0</v>
      </c>
      <c r="BK36" s="49"/>
      <c r="BL36" s="84"/>
      <c r="BM36" s="81">
        <v>0</v>
      </c>
      <c r="BN36" s="79">
        <v>0</v>
      </c>
      <c r="BO36" s="49"/>
      <c r="BP36" s="84"/>
      <c r="BQ36" s="81">
        <v>0</v>
      </c>
      <c r="BR36" s="79">
        <v>0</v>
      </c>
      <c r="BS36" s="49"/>
      <c r="BT36" s="84"/>
      <c r="BU36" s="81">
        <f t="shared" si="11"/>
        <v>0</v>
      </c>
      <c r="BV36" s="79">
        <f t="shared" si="12"/>
        <v>0</v>
      </c>
      <c r="BW36" s="48"/>
      <c r="BX36" s="84"/>
      <c r="BY36" s="81">
        <f t="shared" si="13"/>
        <v>0</v>
      </c>
      <c r="BZ36" s="79">
        <f t="shared" si="14"/>
        <v>0</v>
      </c>
      <c r="CA36" s="48"/>
      <c r="CB36" s="84"/>
      <c r="CC36" s="81">
        <v>0</v>
      </c>
      <c r="CD36" s="79">
        <v>0</v>
      </c>
      <c r="CE36" s="49"/>
      <c r="CF36" s="84"/>
      <c r="CG36" s="81">
        <f t="shared" si="15"/>
        <v>0</v>
      </c>
      <c r="CH36" s="79">
        <f t="shared" si="16"/>
        <v>0</v>
      </c>
      <c r="CI36" s="33"/>
      <c r="CJ36" s="84"/>
      <c r="CK36" s="81">
        <f t="shared" si="17"/>
        <v>0</v>
      </c>
      <c r="CL36" s="79">
        <f t="shared" si="18"/>
        <v>0</v>
      </c>
      <c r="CM36" s="34"/>
      <c r="CN36" s="34"/>
      <c r="CO36" s="34"/>
      <c r="CP36" s="34"/>
      <c r="CQ36" s="50">
        <f t="shared" si="19"/>
        <v>1</v>
      </c>
      <c r="CR36" s="77">
        <f t="shared" si="20"/>
        <v>0</v>
      </c>
      <c r="CS36" s="28"/>
    </row>
    <row r="37" spans="1:97" s="1" customFormat="1">
      <c r="A37" s="30" t="s">
        <v>141</v>
      </c>
      <c r="B37" s="47"/>
      <c r="C37" s="36" t="s">
        <v>123</v>
      </c>
      <c r="D37" s="32"/>
      <c r="E37" s="32"/>
      <c r="F37" s="87"/>
      <c r="G37" s="48">
        <v>11520</v>
      </c>
      <c r="H37" s="84"/>
      <c r="I37" s="80">
        <f t="shared" si="21"/>
        <v>0</v>
      </c>
      <c r="J37" s="79">
        <f t="shared" si="22"/>
        <v>0</v>
      </c>
      <c r="K37" s="49">
        <v>1920</v>
      </c>
      <c r="L37" s="84"/>
      <c r="M37" s="81">
        <f t="shared" si="24"/>
        <v>0</v>
      </c>
      <c r="N37" s="79">
        <f t="shared" si="1"/>
        <v>0</v>
      </c>
      <c r="O37" s="48"/>
      <c r="P37" s="84"/>
      <c r="Q37" s="81">
        <f t="shared" si="2"/>
        <v>0</v>
      </c>
      <c r="R37" s="79">
        <f t="shared" si="3"/>
        <v>0</v>
      </c>
      <c r="S37" s="49"/>
      <c r="T37" s="84"/>
      <c r="U37" s="81">
        <v>0</v>
      </c>
      <c r="V37" s="79">
        <v>0</v>
      </c>
      <c r="W37" s="49"/>
      <c r="X37" s="84"/>
      <c r="Y37" s="81">
        <v>0</v>
      </c>
      <c r="Z37" s="79">
        <v>0</v>
      </c>
      <c r="AA37" s="49"/>
      <c r="AB37" s="84"/>
      <c r="AC37" s="81">
        <v>0</v>
      </c>
      <c r="AD37" s="79">
        <v>0</v>
      </c>
      <c r="AE37" s="49"/>
      <c r="AF37" s="84"/>
      <c r="AG37" s="81">
        <f t="shared" si="23"/>
        <v>0</v>
      </c>
      <c r="AH37" s="79">
        <f t="shared" si="4"/>
        <v>0</v>
      </c>
      <c r="AI37" s="48">
        <v>1920</v>
      </c>
      <c r="AJ37" s="84"/>
      <c r="AK37" s="81">
        <f t="shared" si="5"/>
        <v>0</v>
      </c>
      <c r="AL37" s="79">
        <f t="shared" si="6"/>
        <v>0</v>
      </c>
      <c r="AM37" s="48"/>
      <c r="AN37" s="84"/>
      <c r="AO37" s="81">
        <f t="shared" si="7"/>
        <v>0</v>
      </c>
      <c r="AP37" s="79">
        <f t="shared" si="8"/>
        <v>0</v>
      </c>
      <c r="AQ37" s="48"/>
      <c r="AR37" s="84"/>
      <c r="AS37" s="81">
        <f t="shared" si="9"/>
        <v>0</v>
      </c>
      <c r="AT37" s="79">
        <f t="shared" si="10"/>
        <v>0</v>
      </c>
      <c r="AU37" s="49"/>
      <c r="AV37" s="84"/>
      <c r="AW37" s="81">
        <v>0</v>
      </c>
      <c r="AX37" s="79">
        <v>0</v>
      </c>
      <c r="AY37" s="49"/>
      <c r="AZ37" s="84"/>
      <c r="BA37" s="81">
        <v>0</v>
      </c>
      <c r="BB37" s="79">
        <v>0</v>
      </c>
      <c r="BC37" s="49"/>
      <c r="BD37" s="84"/>
      <c r="BE37" s="81">
        <v>0</v>
      </c>
      <c r="BF37" s="79">
        <v>0</v>
      </c>
      <c r="BG37" s="49"/>
      <c r="BH37" s="84"/>
      <c r="BI37" s="81">
        <v>0</v>
      </c>
      <c r="BJ37" s="79">
        <v>0</v>
      </c>
      <c r="BK37" s="49"/>
      <c r="BL37" s="84"/>
      <c r="BM37" s="81">
        <v>0</v>
      </c>
      <c r="BN37" s="79">
        <v>0</v>
      </c>
      <c r="BO37" s="49"/>
      <c r="BP37" s="84"/>
      <c r="BQ37" s="81">
        <v>0</v>
      </c>
      <c r="BR37" s="79">
        <v>0</v>
      </c>
      <c r="BS37" s="49"/>
      <c r="BT37" s="84"/>
      <c r="BU37" s="81">
        <f t="shared" si="11"/>
        <v>0</v>
      </c>
      <c r="BV37" s="79">
        <f t="shared" si="12"/>
        <v>0</v>
      </c>
      <c r="BW37" s="48"/>
      <c r="BX37" s="84"/>
      <c r="BY37" s="81">
        <f t="shared" si="13"/>
        <v>0</v>
      </c>
      <c r="BZ37" s="79">
        <f t="shared" si="14"/>
        <v>0</v>
      </c>
      <c r="CA37" s="48"/>
      <c r="CB37" s="84"/>
      <c r="CC37" s="81">
        <v>0</v>
      </c>
      <c r="CD37" s="79">
        <v>0</v>
      </c>
      <c r="CE37" s="49"/>
      <c r="CF37" s="84"/>
      <c r="CG37" s="81">
        <f t="shared" si="15"/>
        <v>0</v>
      </c>
      <c r="CH37" s="79">
        <f t="shared" si="16"/>
        <v>0</v>
      </c>
      <c r="CI37" s="33"/>
      <c r="CJ37" s="84"/>
      <c r="CK37" s="81">
        <f t="shared" si="17"/>
        <v>0</v>
      </c>
      <c r="CL37" s="79">
        <f t="shared" si="18"/>
        <v>0</v>
      </c>
      <c r="CM37" s="34"/>
      <c r="CN37" s="34"/>
      <c r="CO37" s="34"/>
      <c r="CP37" s="34"/>
      <c r="CQ37" s="50">
        <f t="shared" si="19"/>
        <v>1</v>
      </c>
      <c r="CR37" s="77">
        <f t="shared" si="20"/>
        <v>0</v>
      </c>
      <c r="CS37" s="28"/>
    </row>
    <row r="38" spans="1:97" s="1" customFormat="1">
      <c r="A38" s="30" t="s">
        <v>142</v>
      </c>
      <c r="B38" s="47"/>
      <c r="C38" s="31" t="s">
        <v>143</v>
      </c>
      <c r="D38" s="32"/>
      <c r="E38" s="32"/>
      <c r="F38" s="87"/>
      <c r="G38" s="48"/>
      <c r="H38" s="84"/>
      <c r="I38" s="80">
        <f t="shared" si="21"/>
        <v>0</v>
      </c>
      <c r="J38" s="79">
        <f t="shared" si="22"/>
        <v>0</v>
      </c>
      <c r="K38" s="49"/>
      <c r="L38" s="84"/>
      <c r="M38" s="81">
        <f t="shared" si="24"/>
        <v>0</v>
      </c>
      <c r="N38" s="79">
        <f t="shared" si="1"/>
        <v>0</v>
      </c>
      <c r="O38" s="48"/>
      <c r="P38" s="84"/>
      <c r="Q38" s="81">
        <f t="shared" si="2"/>
        <v>0</v>
      </c>
      <c r="R38" s="79">
        <f t="shared" si="3"/>
        <v>0</v>
      </c>
      <c r="S38" s="49"/>
      <c r="T38" s="84"/>
      <c r="U38" s="81">
        <v>0</v>
      </c>
      <c r="V38" s="79">
        <v>0</v>
      </c>
      <c r="W38" s="49"/>
      <c r="X38" s="84"/>
      <c r="Y38" s="81">
        <v>0</v>
      </c>
      <c r="Z38" s="79">
        <v>0</v>
      </c>
      <c r="AA38" s="49"/>
      <c r="AB38" s="84"/>
      <c r="AC38" s="81">
        <v>0</v>
      </c>
      <c r="AD38" s="79">
        <v>0</v>
      </c>
      <c r="AE38" s="49"/>
      <c r="AF38" s="84"/>
      <c r="AG38" s="81">
        <f t="shared" si="23"/>
        <v>0</v>
      </c>
      <c r="AH38" s="79">
        <f t="shared" si="4"/>
        <v>0</v>
      </c>
      <c r="AI38" s="48"/>
      <c r="AJ38" s="84"/>
      <c r="AK38" s="81">
        <f t="shared" si="5"/>
        <v>0</v>
      </c>
      <c r="AL38" s="79">
        <f t="shared" si="6"/>
        <v>0</v>
      </c>
      <c r="AM38" s="48"/>
      <c r="AN38" s="84"/>
      <c r="AO38" s="81">
        <f t="shared" si="7"/>
        <v>0</v>
      </c>
      <c r="AP38" s="79">
        <f t="shared" si="8"/>
        <v>0</v>
      </c>
      <c r="AQ38" s="48">
        <v>3840</v>
      </c>
      <c r="AR38" s="84"/>
      <c r="AS38" s="81">
        <f t="shared" si="9"/>
        <v>0</v>
      </c>
      <c r="AT38" s="79">
        <f t="shared" si="10"/>
        <v>0</v>
      </c>
      <c r="AU38" s="49"/>
      <c r="AV38" s="84"/>
      <c r="AW38" s="81">
        <v>0</v>
      </c>
      <c r="AX38" s="79">
        <v>0</v>
      </c>
      <c r="AY38" s="49"/>
      <c r="AZ38" s="84"/>
      <c r="BA38" s="81">
        <v>0</v>
      </c>
      <c r="BB38" s="79">
        <v>0</v>
      </c>
      <c r="BC38" s="49"/>
      <c r="BD38" s="84"/>
      <c r="BE38" s="81">
        <v>0</v>
      </c>
      <c r="BF38" s="79">
        <v>0</v>
      </c>
      <c r="BG38" s="49"/>
      <c r="BH38" s="84"/>
      <c r="BI38" s="81">
        <v>0</v>
      </c>
      <c r="BJ38" s="79">
        <v>0</v>
      </c>
      <c r="BK38" s="49"/>
      <c r="BL38" s="84"/>
      <c r="BM38" s="81">
        <v>0</v>
      </c>
      <c r="BN38" s="79">
        <v>0</v>
      </c>
      <c r="BO38" s="49"/>
      <c r="BP38" s="84"/>
      <c r="BQ38" s="81">
        <v>0</v>
      </c>
      <c r="BR38" s="79">
        <v>0</v>
      </c>
      <c r="BS38" s="49"/>
      <c r="BT38" s="84"/>
      <c r="BU38" s="81">
        <f t="shared" si="11"/>
        <v>0</v>
      </c>
      <c r="BV38" s="79">
        <f t="shared" si="12"/>
        <v>0</v>
      </c>
      <c r="BW38" s="48"/>
      <c r="BX38" s="84"/>
      <c r="BY38" s="81">
        <f t="shared" si="13"/>
        <v>0</v>
      </c>
      <c r="BZ38" s="79">
        <f t="shared" si="14"/>
        <v>0</v>
      </c>
      <c r="CA38" s="48"/>
      <c r="CB38" s="84"/>
      <c r="CC38" s="81">
        <v>0</v>
      </c>
      <c r="CD38" s="79">
        <v>0</v>
      </c>
      <c r="CE38" s="49"/>
      <c r="CF38" s="84"/>
      <c r="CG38" s="81">
        <f t="shared" si="15"/>
        <v>0</v>
      </c>
      <c r="CH38" s="79">
        <f t="shared" si="16"/>
        <v>0</v>
      </c>
      <c r="CI38" s="33"/>
      <c r="CJ38" s="84"/>
      <c r="CK38" s="81">
        <f t="shared" si="17"/>
        <v>0</v>
      </c>
      <c r="CL38" s="79">
        <f t="shared" si="18"/>
        <v>0</v>
      </c>
      <c r="CM38" s="34"/>
      <c r="CN38" s="34"/>
      <c r="CO38" s="34"/>
      <c r="CP38" s="34"/>
      <c r="CQ38" s="50">
        <f t="shared" si="19"/>
        <v>1</v>
      </c>
      <c r="CR38" s="77">
        <f t="shared" si="20"/>
        <v>0</v>
      </c>
      <c r="CS38" s="28"/>
    </row>
    <row r="39" spans="1:97" s="1" customFormat="1">
      <c r="A39" s="30" t="s">
        <v>144</v>
      </c>
      <c r="B39" s="47"/>
      <c r="C39" s="63" t="s">
        <v>120</v>
      </c>
      <c r="D39" s="32"/>
      <c r="E39" s="32"/>
      <c r="F39" s="87"/>
      <c r="G39" s="48">
        <v>5760</v>
      </c>
      <c r="H39" s="84"/>
      <c r="I39" s="80">
        <f t="shared" si="21"/>
        <v>0</v>
      </c>
      <c r="J39" s="79">
        <f t="shared" si="22"/>
        <v>0</v>
      </c>
      <c r="K39" s="49"/>
      <c r="L39" s="84"/>
      <c r="M39" s="81">
        <f t="shared" si="24"/>
        <v>0</v>
      </c>
      <c r="N39" s="79">
        <f t="shared" si="1"/>
        <v>0</v>
      </c>
      <c r="O39" s="48"/>
      <c r="P39" s="84"/>
      <c r="Q39" s="81">
        <f t="shared" si="2"/>
        <v>0</v>
      </c>
      <c r="R39" s="79">
        <f t="shared" si="3"/>
        <v>0</v>
      </c>
      <c r="S39" s="49"/>
      <c r="T39" s="84"/>
      <c r="U39" s="81">
        <v>0</v>
      </c>
      <c r="V39" s="79">
        <v>0</v>
      </c>
      <c r="W39" s="49"/>
      <c r="X39" s="84"/>
      <c r="Y39" s="81">
        <v>0</v>
      </c>
      <c r="Z39" s="79">
        <v>0</v>
      </c>
      <c r="AA39" s="49"/>
      <c r="AB39" s="84"/>
      <c r="AC39" s="81">
        <v>0</v>
      </c>
      <c r="AD39" s="79">
        <v>0</v>
      </c>
      <c r="AE39" s="49"/>
      <c r="AF39" s="84"/>
      <c r="AG39" s="81">
        <f t="shared" si="23"/>
        <v>0</v>
      </c>
      <c r="AH39" s="79">
        <f t="shared" si="4"/>
        <v>0</v>
      </c>
      <c r="AI39" s="48">
        <v>5760</v>
      </c>
      <c r="AJ39" s="84"/>
      <c r="AK39" s="81">
        <f t="shared" si="5"/>
        <v>0</v>
      </c>
      <c r="AL39" s="79">
        <f t="shared" si="6"/>
        <v>0</v>
      </c>
      <c r="AM39" s="48"/>
      <c r="AN39" s="84"/>
      <c r="AO39" s="81">
        <f t="shared" si="7"/>
        <v>0</v>
      </c>
      <c r="AP39" s="79">
        <f t="shared" si="8"/>
        <v>0</v>
      </c>
      <c r="AQ39" s="48"/>
      <c r="AR39" s="84"/>
      <c r="AS39" s="81">
        <f t="shared" si="9"/>
        <v>0</v>
      </c>
      <c r="AT39" s="79">
        <f t="shared" si="10"/>
        <v>0</v>
      </c>
      <c r="AU39" s="54">
        <v>1920</v>
      </c>
      <c r="AV39" s="84"/>
      <c r="AW39" s="81">
        <v>0</v>
      </c>
      <c r="AX39" s="79">
        <v>0</v>
      </c>
      <c r="AY39" s="54">
        <v>1920</v>
      </c>
      <c r="AZ39" s="84"/>
      <c r="BA39" s="81">
        <v>0</v>
      </c>
      <c r="BB39" s="79">
        <v>0</v>
      </c>
      <c r="BC39" s="54">
        <v>9600</v>
      </c>
      <c r="BD39" s="84"/>
      <c r="BE39" s="81">
        <v>0</v>
      </c>
      <c r="BF39" s="79">
        <v>0</v>
      </c>
      <c r="BG39" s="49"/>
      <c r="BH39" s="84"/>
      <c r="BI39" s="81">
        <v>0</v>
      </c>
      <c r="BJ39" s="79">
        <v>0</v>
      </c>
      <c r="BK39" s="49"/>
      <c r="BL39" s="84"/>
      <c r="BM39" s="81">
        <v>0</v>
      </c>
      <c r="BN39" s="79">
        <v>0</v>
      </c>
      <c r="BO39" s="49"/>
      <c r="BP39" s="84"/>
      <c r="BQ39" s="81">
        <v>0</v>
      </c>
      <c r="BR39" s="79">
        <v>0</v>
      </c>
      <c r="BS39" s="49"/>
      <c r="BT39" s="84"/>
      <c r="BU39" s="81">
        <f t="shared" si="11"/>
        <v>0</v>
      </c>
      <c r="BV39" s="79">
        <f t="shared" si="12"/>
        <v>0</v>
      </c>
      <c r="BW39" s="48"/>
      <c r="BX39" s="84"/>
      <c r="BY39" s="81">
        <f t="shared" si="13"/>
        <v>0</v>
      </c>
      <c r="BZ39" s="79">
        <f t="shared" si="14"/>
        <v>0</v>
      </c>
      <c r="CA39" s="48"/>
      <c r="CB39" s="84"/>
      <c r="CC39" s="81">
        <v>0</v>
      </c>
      <c r="CD39" s="79">
        <v>0</v>
      </c>
      <c r="CE39" s="49"/>
      <c r="CF39" s="84"/>
      <c r="CG39" s="81">
        <f t="shared" si="15"/>
        <v>0</v>
      </c>
      <c r="CH39" s="79">
        <f t="shared" si="16"/>
        <v>0</v>
      </c>
      <c r="CI39" s="33"/>
      <c r="CJ39" s="84"/>
      <c r="CK39" s="81">
        <f t="shared" si="17"/>
        <v>0</v>
      </c>
      <c r="CL39" s="79">
        <f t="shared" si="18"/>
        <v>0</v>
      </c>
      <c r="CM39" s="34"/>
      <c r="CN39" s="34"/>
      <c r="CO39" s="34"/>
      <c r="CP39" s="34"/>
      <c r="CQ39" s="50">
        <f t="shared" si="19"/>
        <v>1</v>
      </c>
      <c r="CR39" s="77">
        <f t="shared" si="20"/>
        <v>0</v>
      </c>
      <c r="CS39" s="28"/>
    </row>
    <row r="40" spans="1:97" s="1" customFormat="1">
      <c r="A40" s="30" t="s">
        <v>144</v>
      </c>
      <c r="B40" s="47"/>
      <c r="C40" s="31" t="s">
        <v>123</v>
      </c>
      <c r="D40" s="32"/>
      <c r="E40" s="32"/>
      <c r="F40" s="87"/>
      <c r="G40" s="48">
        <v>1920</v>
      </c>
      <c r="H40" s="84"/>
      <c r="I40" s="80">
        <f t="shared" si="21"/>
        <v>0</v>
      </c>
      <c r="J40" s="79">
        <f t="shared" si="22"/>
        <v>0</v>
      </c>
      <c r="K40" s="49"/>
      <c r="L40" s="84"/>
      <c r="M40" s="81">
        <f t="shared" si="24"/>
        <v>0</v>
      </c>
      <c r="N40" s="79">
        <f t="shared" si="1"/>
        <v>0</v>
      </c>
      <c r="O40" s="48">
        <v>24960</v>
      </c>
      <c r="P40" s="84"/>
      <c r="Q40" s="81">
        <f t="shared" si="2"/>
        <v>0</v>
      </c>
      <c r="R40" s="79">
        <f t="shared" si="3"/>
        <v>0</v>
      </c>
      <c r="S40" s="49"/>
      <c r="T40" s="84"/>
      <c r="U40" s="81">
        <v>0</v>
      </c>
      <c r="V40" s="79">
        <v>0</v>
      </c>
      <c r="W40" s="49"/>
      <c r="X40" s="84"/>
      <c r="Y40" s="81">
        <v>0</v>
      </c>
      <c r="Z40" s="79">
        <v>0</v>
      </c>
      <c r="AA40" s="49"/>
      <c r="AB40" s="84"/>
      <c r="AC40" s="81">
        <v>0</v>
      </c>
      <c r="AD40" s="79">
        <v>0</v>
      </c>
      <c r="AE40" s="49"/>
      <c r="AF40" s="84"/>
      <c r="AG40" s="81">
        <f t="shared" si="23"/>
        <v>0</v>
      </c>
      <c r="AH40" s="79">
        <f t="shared" si="4"/>
        <v>0</v>
      </c>
      <c r="AI40" s="48"/>
      <c r="AJ40" s="84"/>
      <c r="AK40" s="81">
        <f t="shared" si="5"/>
        <v>0</v>
      </c>
      <c r="AL40" s="79">
        <f t="shared" si="6"/>
        <v>0</v>
      </c>
      <c r="AM40" s="48"/>
      <c r="AN40" s="84"/>
      <c r="AO40" s="81">
        <f t="shared" si="7"/>
        <v>0</v>
      </c>
      <c r="AP40" s="79">
        <f t="shared" si="8"/>
        <v>0</v>
      </c>
      <c r="AQ40" s="48"/>
      <c r="AR40" s="84"/>
      <c r="AS40" s="81">
        <f t="shared" si="9"/>
        <v>0</v>
      </c>
      <c r="AT40" s="79">
        <f t="shared" si="10"/>
        <v>0</v>
      </c>
      <c r="AU40" s="49"/>
      <c r="AV40" s="84"/>
      <c r="AW40" s="81">
        <v>0</v>
      </c>
      <c r="AX40" s="79">
        <v>0</v>
      </c>
      <c r="AY40" s="49"/>
      <c r="AZ40" s="84"/>
      <c r="BA40" s="81">
        <v>0</v>
      </c>
      <c r="BB40" s="79">
        <v>0</v>
      </c>
      <c r="BC40" s="49"/>
      <c r="BD40" s="84"/>
      <c r="BE40" s="81">
        <v>0</v>
      </c>
      <c r="BF40" s="79">
        <v>0</v>
      </c>
      <c r="BG40" s="49"/>
      <c r="BH40" s="84"/>
      <c r="BI40" s="81">
        <v>0</v>
      </c>
      <c r="BJ40" s="79">
        <v>0</v>
      </c>
      <c r="BK40" s="49"/>
      <c r="BL40" s="84"/>
      <c r="BM40" s="81">
        <v>0</v>
      </c>
      <c r="BN40" s="79">
        <v>0</v>
      </c>
      <c r="BO40" s="49"/>
      <c r="BP40" s="84"/>
      <c r="BQ40" s="81">
        <v>0</v>
      </c>
      <c r="BR40" s="79">
        <v>0</v>
      </c>
      <c r="BS40" s="49"/>
      <c r="BT40" s="84"/>
      <c r="BU40" s="81">
        <f t="shared" si="11"/>
        <v>0</v>
      </c>
      <c r="BV40" s="79">
        <f t="shared" si="12"/>
        <v>0</v>
      </c>
      <c r="BW40" s="48"/>
      <c r="BX40" s="84"/>
      <c r="BY40" s="81">
        <f t="shared" si="13"/>
        <v>0</v>
      </c>
      <c r="BZ40" s="79">
        <f t="shared" si="14"/>
        <v>0</v>
      </c>
      <c r="CA40" s="48"/>
      <c r="CB40" s="84"/>
      <c r="CC40" s="81">
        <v>0</v>
      </c>
      <c r="CD40" s="79">
        <v>0</v>
      </c>
      <c r="CE40" s="49"/>
      <c r="CF40" s="84"/>
      <c r="CG40" s="81">
        <f t="shared" si="15"/>
        <v>0</v>
      </c>
      <c r="CH40" s="79">
        <f t="shared" si="16"/>
        <v>0</v>
      </c>
      <c r="CI40" s="33"/>
      <c r="CJ40" s="84"/>
      <c r="CK40" s="81">
        <f t="shared" si="17"/>
        <v>0</v>
      </c>
      <c r="CL40" s="79">
        <f t="shared" si="18"/>
        <v>0</v>
      </c>
      <c r="CM40" s="34"/>
      <c r="CN40" s="34"/>
      <c r="CO40" s="34"/>
      <c r="CP40" s="34"/>
      <c r="CQ40" s="50">
        <f t="shared" si="19"/>
        <v>1</v>
      </c>
      <c r="CR40" s="77">
        <f t="shared" si="20"/>
        <v>0</v>
      </c>
      <c r="CS40" s="28"/>
    </row>
    <row r="41" spans="1:97" s="1" customFormat="1">
      <c r="A41" s="30" t="s">
        <v>145</v>
      </c>
      <c r="B41" s="47"/>
      <c r="C41" s="31" t="s">
        <v>121</v>
      </c>
      <c r="D41" s="32"/>
      <c r="E41" s="32"/>
      <c r="F41" s="87"/>
      <c r="G41" s="48"/>
      <c r="H41" s="84"/>
      <c r="I41" s="80">
        <f t="shared" si="21"/>
        <v>0</v>
      </c>
      <c r="J41" s="79">
        <f t="shared" si="22"/>
        <v>0</v>
      </c>
      <c r="K41" s="49"/>
      <c r="L41" s="84"/>
      <c r="M41" s="81">
        <f t="shared" si="24"/>
        <v>0</v>
      </c>
      <c r="N41" s="79">
        <f t="shared" si="1"/>
        <v>0</v>
      </c>
      <c r="O41" s="48">
        <v>11520</v>
      </c>
      <c r="P41" s="84"/>
      <c r="Q41" s="81">
        <f t="shared" si="2"/>
        <v>0</v>
      </c>
      <c r="R41" s="79">
        <f t="shared" si="3"/>
        <v>0</v>
      </c>
      <c r="S41" s="49"/>
      <c r="T41" s="84"/>
      <c r="U41" s="81">
        <v>0</v>
      </c>
      <c r="V41" s="79">
        <v>0</v>
      </c>
      <c r="W41" s="49"/>
      <c r="X41" s="84"/>
      <c r="Y41" s="81">
        <v>0</v>
      </c>
      <c r="Z41" s="79">
        <v>0</v>
      </c>
      <c r="AA41" s="49"/>
      <c r="AB41" s="84"/>
      <c r="AC41" s="81">
        <v>0</v>
      </c>
      <c r="AD41" s="79">
        <v>0</v>
      </c>
      <c r="AE41" s="49"/>
      <c r="AF41" s="84"/>
      <c r="AG41" s="81">
        <f t="shared" si="23"/>
        <v>0</v>
      </c>
      <c r="AH41" s="79">
        <f t="shared" si="4"/>
        <v>0</v>
      </c>
      <c r="AI41" s="48"/>
      <c r="AJ41" s="84"/>
      <c r="AK41" s="81">
        <f t="shared" si="5"/>
        <v>0</v>
      </c>
      <c r="AL41" s="79">
        <f t="shared" si="6"/>
        <v>0</v>
      </c>
      <c r="AM41" s="48"/>
      <c r="AN41" s="84"/>
      <c r="AO41" s="81">
        <f t="shared" si="7"/>
        <v>0</v>
      </c>
      <c r="AP41" s="79">
        <f t="shared" si="8"/>
        <v>0</v>
      </c>
      <c r="AQ41" s="48"/>
      <c r="AR41" s="84"/>
      <c r="AS41" s="81">
        <f t="shared" si="9"/>
        <v>0</v>
      </c>
      <c r="AT41" s="79">
        <f t="shared" si="10"/>
        <v>0</v>
      </c>
      <c r="AU41" s="49"/>
      <c r="AV41" s="84"/>
      <c r="AW41" s="81">
        <v>0</v>
      </c>
      <c r="AX41" s="79">
        <v>0</v>
      </c>
      <c r="AY41" s="49"/>
      <c r="AZ41" s="84"/>
      <c r="BA41" s="81">
        <v>0</v>
      </c>
      <c r="BB41" s="79">
        <v>0</v>
      </c>
      <c r="BC41" s="49"/>
      <c r="BD41" s="84"/>
      <c r="BE41" s="81">
        <v>0</v>
      </c>
      <c r="BF41" s="79">
        <v>0</v>
      </c>
      <c r="BG41" s="49"/>
      <c r="BH41" s="84"/>
      <c r="BI41" s="81">
        <v>0</v>
      </c>
      <c r="BJ41" s="79">
        <v>0</v>
      </c>
      <c r="BK41" s="49"/>
      <c r="BL41" s="84"/>
      <c r="BM41" s="81">
        <v>0</v>
      </c>
      <c r="BN41" s="79">
        <v>0</v>
      </c>
      <c r="BO41" s="49"/>
      <c r="BP41" s="84"/>
      <c r="BQ41" s="81">
        <v>0</v>
      </c>
      <c r="BR41" s="79">
        <v>0</v>
      </c>
      <c r="BS41" s="49"/>
      <c r="BT41" s="84"/>
      <c r="BU41" s="81">
        <f t="shared" si="11"/>
        <v>0</v>
      </c>
      <c r="BV41" s="79">
        <f t="shared" si="12"/>
        <v>0</v>
      </c>
      <c r="BW41" s="48"/>
      <c r="BX41" s="84"/>
      <c r="BY41" s="81">
        <f t="shared" si="13"/>
        <v>0</v>
      </c>
      <c r="BZ41" s="79">
        <f t="shared" si="14"/>
        <v>0</v>
      </c>
      <c r="CA41" s="48"/>
      <c r="CB41" s="84"/>
      <c r="CC41" s="81">
        <v>0</v>
      </c>
      <c r="CD41" s="79">
        <v>0</v>
      </c>
      <c r="CE41" s="49">
        <v>1920</v>
      </c>
      <c r="CF41" s="84"/>
      <c r="CG41" s="81">
        <f t="shared" si="15"/>
        <v>0</v>
      </c>
      <c r="CH41" s="79">
        <f t="shared" si="16"/>
        <v>0</v>
      </c>
      <c r="CI41" s="33"/>
      <c r="CJ41" s="84"/>
      <c r="CK41" s="81">
        <f t="shared" si="17"/>
        <v>0</v>
      </c>
      <c r="CL41" s="79">
        <f t="shared" si="18"/>
        <v>0</v>
      </c>
      <c r="CM41" s="34"/>
      <c r="CN41" s="34"/>
      <c r="CO41" s="34"/>
      <c r="CP41" s="34"/>
      <c r="CQ41" s="50">
        <f t="shared" si="19"/>
        <v>1</v>
      </c>
      <c r="CR41" s="77">
        <f t="shared" si="20"/>
        <v>0</v>
      </c>
      <c r="CS41" s="28"/>
    </row>
    <row r="42" spans="1:97" s="1" customFormat="1">
      <c r="A42" s="30" t="s">
        <v>146</v>
      </c>
      <c r="B42" s="47"/>
      <c r="C42" s="63" t="s">
        <v>120</v>
      </c>
      <c r="D42" s="32"/>
      <c r="E42" s="32"/>
      <c r="F42" s="87"/>
      <c r="G42" s="48">
        <v>5760</v>
      </c>
      <c r="H42" s="84"/>
      <c r="I42" s="80">
        <f t="shared" si="21"/>
        <v>0</v>
      </c>
      <c r="J42" s="79">
        <f t="shared" si="22"/>
        <v>0</v>
      </c>
      <c r="K42" s="49"/>
      <c r="L42" s="84"/>
      <c r="M42" s="81">
        <f t="shared" si="24"/>
        <v>0</v>
      </c>
      <c r="N42" s="79">
        <f t="shared" si="1"/>
        <v>0</v>
      </c>
      <c r="O42" s="48"/>
      <c r="P42" s="84"/>
      <c r="Q42" s="81">
        <f t="shared" si="2"/>
        <v>0</v>
      </c>
      <c r="R42" s="79">
        <f t="shared" si="3"/>
        <v>0</v>
      </c>
      <c r="S42" s="49"/>
      <c r="T42" s="84"/>
      <c r="U42" s="81">
        <v>0</v>
      </c>
      <c r="V42" s="79">
        <v>0</v>
      </c>
      <c r="W42" s="54">
        <v>1920</v>
      </c>
      <c r="X42" s="84"/>
      <c r="Y42" s="81">
        <v>0</v>
      </c>
      <c r="Z42" s="79">
        <v>0</v>
      </c>
      <c r="AA42" s="54"/>
      <c r="AB42" s="84"/>
      <c r="AC42" s="81">
        <v>0</v>
      </c>
      <c r="AD42" s="79">
        <v>0</v>
      </c>
      <c r="AE42" s="54"/>
      <c r="AF42" s="84"/>
      <c r="AG42" s="81">
        <f t="shared" si="23"/>
        <v>0</v>
      </c>
      <c r="AH42" s="79">
        <f t="shared" si="4"/>
        <v>0</v>
      </c>
      <c r="AI42" s="48">
        <v>7680</v>
      </c>
      <c r="AJ42" s="84"/>
      <c r="AK42" s="81">
        <f t="shared" si="5"/>
        <v>0</v>
      </c>
      <c r="AL42" s="79">
        <f t="shared" si="6"/>
        <v>0</v>
      </c>
      <c r="AM42" s="48"/>
      <c r="AN42" s="84"/>
      <c r="AO42" s="81">
        <f t="shared" si="7"/>
        <v>0</v>
      </c>
      <c r="AP42" s="79">
        <f t="shared" si="8"/>
        <v>0</v>
      </c>
      <c r="AQ42" s="48"/>
      <c r="AR42" s="84"/>
      <c r="AS42" s="81">
        <f t="shared" si="9"/>
        <v>0</v>
      </c>
      <c r="AT42" s="79">
        <f t="shared" si="10"/>
        <v>0</v>
      </c>
      <c r="AU42" s="49"/>
      <c r="AV42" s="84"/>
      <c r="AW42" s="81">
        <v>0</v>
      </c>
      <c r="AX42" s="79">
        <v>0</v>
      </c>
      <c r="AY42" s="49"/>
      <c r="AZ42" s="84"/>
      <c r="BA42" s="81">
        <v>0</v>
      </c>
      <c r="BB42" s="79">
        <v>0</v>
      </c>
      <c r="BC42" s="49"/>
      <c r="BD42" s="84"/>
      <c r="BE42" s="81">
        <v>0</v>
      </c>
      <c r="BF42" s="79">
        <v>0</v>
      </c>
      <c r="BG42" s="49"/>
      <c r="BH42" s="84"/>
      <c r="BI42" s="81">
        <v>0</v>
      </c>
      <c r="BJ42" s="79">
        <v>0</v>
      </c>
      <c r="BK42" s="49"/>
      <c r="BL42" s="84"/>
      <c r="BM42" s="81">
        <v>0</v>
      </c>
      <c r="BN42" s="79">
        <v>0</v>
      </c>
      <c r="BO42" s="49"/>
      <c r="BP42" s="84"/>
      <c r="BQ42" s="81">
        <v>0</v>
      </c>
      <c r="BR42" s="79">
        <v>0</v>
      </c>
      <c r="BS42" s="49"/>
      <c r="BT42" s="84"/>
      <c r="BU42" s="81">
        <f t="shared" si="11"/>
        <v>0</v>
      </c>
      <c r="BV42" s="79">
        <f t="shared" si="12"/>
        <v>0</v>
      </c>
      <c r="BW42" s="48"/>
      <c r="BX42" s="84"/>
      <c r="BY42" s="81">
        <f t="shared" si="13"/>
        <v>0</v>
      </c>
      <c r="BZ42" s="79">
        <f t="shared" si="14"/>
        <v>0</v>
      </c>
      <c r="CA42" s="48"/>
      <c r="CB42" s="84"/>
      <c r="CC42" s="81">
        <v>0</v>
      </c>
      <c r="CD42" s="79">
        <v>0</v>
      </c>
      <c r="CE42" s="49"/>
      <c r="CF42" s="84"/>
      <c r="CG42" s="81">
        <f t="shared" si="15"/>
        <v>0</v>
      </c>
      <c r="CH42" s="79">
        <f t="shared" si="16"/>
        <v>0</v>
      </c>
      <c r="CI42" s="33"/>
      <c r="CJ42" s="84"/>
      <c r="CK42" s="81">
        <f t="shared" si="17"/>
        <v>0</v>
      </c>
      <c r="CL42" s="79">
        <f t="shared" si="18"/>
        <v>0</v>
      </c>
      <c r="CM42" s="34"/>
      <c r="CN42" s="34"/>
      <c r="CO42" s="34"/>
      <c r="CP42" s="34"/>
      <c r="CQ42" s="50">
        <f t="shared" si="19"/>
        <v>1</v>
      </c>
      <c r="CR42" s="77">
        <f t="shared" si="20"/>
        <v>0</v>
      </c>
      <c r="CS42" s="28"/>
    </row>
    <row r="43" spans="1:97" s="1" customFormat="1">
      <c r="A43" s="30" t="s">
        <v>146</v>
      </c>
      <c r="B43" s="47"/>
      <c r="C43" s="31" t="s">
        <v>121</v>
      </c>
      <c r="D43" s="32"/>
      <c r="E43" s="32"/>
      <c r="F43" s="87"/>
      <c r="G43" s="48">
        <v>1920</v>
      </c>
      <c r="H43" s="84"/>
      <c r="I43" s="80">
        <f t="shared" si="21"/>
        <v>0</v>
      </c>
      <c r="J43" s="79">
        <f t="shared" si="22"/>
        <v>0</v>
      </c>
      <c r="K43" s="49"/>
      <c r="L43" s="84"/>
      <c r="M43" s="81">
        <f t="shared" si="24"/>
        <v>0</v>
      </c>
      <c r="N43" s="79">
        <f t="shared" ref="N43:N59" si="25">K43*M43</f>
        <v>0</v>
      </c>
      <c r="O43" s="48">
        <v>5760</v>
      </c>
      <c r="P43" s="84"/>
      <c r="Q43" s="81">
        <f t="shared" ref="Q43:Q59" si="26">P43*CQ43</f>
        <v>0</v>
      </c>
      <c r="R43" s="79">
        <f t="shared" ref="R43:R59" si="27">O43*Q43</f>
        <v>0</v>
      </c>
      <c r="S43" s="49"/>
      <c r="T43" s="84"/>
      <c r="U43" s="81">
        <v>0</v>
      </c>
      <c r="V43" s="79">
        <v>0</v>
      </c>
      <c r="W43" s="49"/>
      <c r="X43" s="84"/>
      <c r="Y43" s="81">
        <v>0</v>
      </c>
      <c r="Z43" s="79">
        <v>0</v>
      </c>
      <c r="AA43" s="49"/>
      <c r="AB43" s="84"/>
      <c r="AC43" s="81">
        <v>0</v>
      </c>
      <c r="AD43" s="79">
        <v>0</v>
      </c>
      <c r="AE43" s="49"/>
      <c r="AF43" s="84"/>
      <c r="AG43" s="81">
        <f t="shared" si="23"/>
        <v>0</v>
      </c>
      <c r="AH43" s="79">
        <f t="shared" ref="AH43:AH59" si="28">AE43*AG43</f>
        <v>0</v>
      </c>
      <c r="AI43" s="48">
        <v>13440</v>
      </c>
      <c r="AJ43" s="84"/>
      <c r="AK43" s="81">
        <f t="shared" ref="AK43:AK59" si="29">AJ43*CQ43</f>
        <v>0</v>
      </c>
      <c r="AL43" s="79">
        <f t="shared" ref="AL43:AL59" si="30">AI43*AK43</f>
        <v>0</v>
      </c>
      <c r="AM43" s="48"/>
      <c r="AN43" s="84"/>
      <c r="AO43" s="81">
        <f t="shared" ref="AO43:AO59" si="31">AN43*CQ43</f>
        <v>0</v>
      </c>
      <c r="AP43" s="79">
        <f t="shared" ref="AP43:AP59" si="32">AM43*AO43</f>
        <v>0</v>
      </c>
      <c r="AQ43" s="48"/>
      <c r="AR43" s="84"/>
      <c r="AS43" s="81">
        <f t="shared" ref="AS43:AS59" si="33">AR43*CQ43</f>
        <v>0</v>
      </c>
      <c r="AT43" s="79">
        <f t="shared" ref="AT43:AT59" si="34">AQ43*AS43</f>
        <v>0</v>
      </c>
      <c r="AU43" s="49"/>
      <c r="AV43" s="84"/>
      <c r="AW43" s="81">
        <v>0</v>
      </c>
      <c r="AX43" s="79">
        <v>0</v>
      </c>
      <c r="AY43" s="49"/>
      <c r="AZ43" s="84"/>
      <c r="BA43" s="81">
        <v>0</v>
      </c>
      <c r="BB43" s="79">
        <v>0</v>
      </c>
      <c r="BC43" s="49"/>
      <c r="BD43" s="84"/>
      <c r="BE43" s="81">
        <v>0</v>
      </c>
      <c r="BF43" s="79">
        <v>0</v>
      </c>
      <c r="BG43" s="49"/>
      <c r="BH43" s="84"/>
      <c r="BI43" s="81">
        <v>0</v>
      </c>
      <c r="BJ43" s="79">
        <v>0</v>
      </c>
      <c r="BK43" s="49"/>
      <c r="BL43" s="84"/>
      <c r="BM43" s="81">
        <v>0</v>
      </c>
      <c r="BN43" s="79">
        <v>0</v>
      </c>
      <c r="BO43" s="49"/>
      <c r="BP43" s="84"/>
      <c r="BQ43" s="81">
        <v>0</v>
      </c>
      <c r="BR43" s="79">
        <v>0</v>
      </c>
      <c r="BS43" s="49"/>
      <c r="BT43" s="84"/>
      <c r="BU43" s="81">
        <f t="shared" ref="BU43:BU59" si="35">BT43*CQ43</f>
        <v>0</v>
      </c>
      <c r="BV43" s="79">
        <f t="shared" ref="BV43:BV59" si="36">BS43*BU43</f>
        <v>0</v>
      </c>
      <c r="BW43" s="48">
        <v>960</v>
      </c>
      <c r="BX43" s="84"/>
      <c r="BY43" s="81">
        <f t="shared" ref="BY43:BY59" si="37">BX43*CQ43</f>
        <v>0</v>
      </c>
      <c r="BZ43" s="79">
        <f t="shared" ref="BZ43:BZ59" si="38">BW43*BY43</f>
        <v>0</v>
      </c>
      <c r="CA43" s="48"/>
      <c r="CB43" s="84"/>
      <c r="CC43" s="81">
        <v>0</v>
      </c>
      <c r="CD43" s="79">
        <v>0</v>
      </c>
      <c r="CE43" s="49"/>
      <c r="CF43" s="84"/>
      <c r="CG43" s="81">
        <f t="shared" ref="CG43:CG59" si="39">CF43*CQ43</f>
        <v>0</v>
      </c>
      <c r="CH43" s="79">
        <f t="shared" ref="CH43:CH59" si="40">CE43*CG43</f>
        <v>0</v>
      </c>
      <c r="CI43" s="33"/>
      <c r="CJ43" s="84"/>
      <c r="CK43" s="81">
        <f t="shared" ref="CK43:CK59" si="41">CJ43*CQ43</f>
        <v>0</v>
      </c>
      <c r="CL43" s="79">
        <f t="shared" ref="CL43:CL59" si="42">CI43*CK43</f>
        <v>0</v>
      </c>
      <c r="CM43" s="34"/>
      <c r="CN43" s="34"/>
      <c r="CO43" s="34"/>
      <c r="CP43" s="34"/>
      <c r="CQ43" s="50">
        <f t="shared" ref="CQ43:CQ59" si="43">(1+CM43)*(1+CN43)*(1+CO43)*(1+CP43)</f>
        <v>1</v>
      </c>
      <c r="CR43" s="77">
        <f t="shared" ref="CR43:CR59" si="44">J43+N43+R43+V43+Z43+AD43+AH43+AL43+AP43+AT43+AX43+BB43+BF43+BJ43+BN43+BR43+BV43+BZ43+CD43+CH43+CL43</f>
        <v>0</v>
      </c>
      <c r="CS43" s="28"/>
    </row>
    <row r="44" spans="1:97" s="1" customFormat="1">
      <c r="A44" s="30" t="s">
        <v>146</v>
      </c>
      <c r="B44" s="47"/>
      <c r="C44" s="31" t="s">
        <v>123</v>
      </c>
      <c r="D44" s="32"/>
      <c r="E44" s="32"/>
      <c r="F44" s="87"/>
      <c r="G44" s="48">
        <v>1920</v>
      </c>
      <c r="H44" s="84"/>
      <c r="I44" s="80">
        <f t="shared" si="21"/>
        <v>0</v>
      </c>
      <c r="J44" s="79">
        <f t="shared" si="22"/>
        <v>0</v>
      </c>
      <c r="K44" s="49"/>
      <c r="L44" s="84"/>
      <c r="M44" s="81">
        <f t="shared" si="24"/>
        <v>0</v>
      </c>
      <c r="N44" s="79">
        <f t="shared" si="25"/>
        <v>0</v>
      </c>
      <c r="O44" s="48">
        <v>46080</v>
      </c>
      <c r="P44" s="84"/>
      <c r="Q44" s="81">
        <f t="shared" si="26"/>
        <v>0</v>
      </c>
      <c r="R44" s="79">
        <f t="shared" si="27"/>
        <v>0</v>
      </c>
      <c r="S44" s="49"/>
      <c r="T44" s="84"/>
      <c r="U44" s="81">
        <v>0</v>
      </c>
      <c r="V44" s="79">
        <v>0</v>
      </c>
      <c r="W44" s="49"/>
      <c r="X44" s="84"/>
      <c r="Y44" s="81">
        <v>0</v>
      </c>
      <c r="Z44" s="79">
        <v>0</v>
      </c>
      <c r="AA44" s="54">
        <v>1920</v>
      </c>
      <c r="AB44" s="84"/>
      <c r="AC44" s="81">
        <v>0</v>
      </c>
      <c r="AD44" s="79">
        <v>0</v>
      </c>
      <c r="AE44" s="54">
        <v>1920</v>
      </c>
      <c r="AF44" s="84"/>
      <c r="AG44" s="81">
        <f t="shared" si="23"/>
        <v>0</v>
      </c>
      <c r="AH44" s="79">
        <f t="shared" si="28"/>
        <v>0</v>
      </c>
      <c r="AI44" s="48"/>
      <c r="AJ44" s="84"/>
      <c r="AK44" s="81">
        <f t="shared" si="29"/>
        <v>0</v>
      </c>
      <c r="AL44" s="79">
        <f t="shared" si="30"/>
        <v>0</v>
      </c>
      <c r="AM44" s="48"/>
      <c r="AN44" s="84"/>
      <c r="AO44" s="81">
        <f t="shared" si="31"/>
        <v>0</v>
      </c>
      <c r="AP44" s="79">
        <f t="shared" si="32"/>
        <v>0</v>
      </c>
      <c r="AQ44" s="48"/>
      <c r="AR44" s="84"/>
      <c r="AS44" s="81">
        <f t="shared" si="33"/>
        <v>0</v>
      </c>
      <c r="AT44" s="79">
        <f t="shared" si="34"/>
        <v>0</v>
      </c>
      <c r="AU44" s="49"/>
      <c r="AV44" s="84"/>
      <c r="AW44" s="81">
        <v>0</v>
      </c>
      <c r="AX44" s="79">
        <v>0</v>
      </c>
      <c r="AY44" s="49"/>
      <c r="AZ44" s="84"/>
      <c r="BA44" s="81">
        <v>0</v>
      </c>
      <c r="BB44" s="79">
        <v>0</v>
      </c>
      <c r="BC44" s="49"/>
      <c r="BD44" s="84"/>
      <c r="BE44" s="81">
        <v>0</v>
      </c>
      <c r="BF44" s="79">
        <v>0</v>
      </c>
      <c r="BG44" s="54">
        <v>1920</v>
      </c>
      <c r="BH44" s="84"/>
      <c r="BI44" s="81">
        <v>0</v>
      </c>
      <c r="BJ44" s="79">
        <v>0</v>
      </c>
      <c r="BK44" s="54">
        <v>1920</v>
      </c>
      <c r="BL44" s="84"/>
      <c r="BM44" s="81">
        <v>0</v>
      </c>
      <c r="BN44" s="79">
        <v>0</v>
      </c>
      <c r="BO44" s="54">
        <v>1920</v>
      </c>
      <c r="BP44" s="84"/>
      <c r="BQ44" s="81">
        <v>0</v>
      </c>
      <c r="BR44" s="79">
        <v>0</v>
      </c>
      <c r="BS44" s="54">
        <v>1920</v>
      </c>
      <c r="BT44" s="84"/>
      <c r="BU44" s="81">
        <f t="shared" si="35"/>
        <v>0</v>
      </c>
      <c r="BV44" s="79">
        <f t="shared" si="36"/>
        <v>0</v>
      </c>
      <c r="BW44" s="48"/>
      <c r="BX44" s="84"/>
      <c r="BY44" s="81">
        <f t="shared" si="37"/>
        <v>0</v>
      </c>
      <c r="BZ44" s="79">
        <f t="shared" si="38"/>
        <v>0</v>
      </c>
      <c r="CA44" s="48"/>
      <c r="CB44" s="84"/>
      <c r="CC44" s="81">
        <v>0</v>
      </c>
      <c r="CD44" s="79">
        <v>0</v>
      </c>
      <c r="CE44" s="49"/>
      <c r="CF44" s="84"/>
      <c r="CG44" s="81">
        <f t="shared" si="39"/>
        <v>0</v>
      </c>
      <c r="CH44" s="79">
        <f t="shared" si="40"/>
        <v>0</v>
      </c>
      <c r="CI44" s="33"/>
      <c r="CJ44" s="84"/>
      <c r="CK44" s="81">
        <f t="shared" si="41"/>
        <v>0</v>
      </c>
      <c r="CL44" s="79">
        <f t="shared" si="42"/>
        <v>0</v>
      </c>
      <c r="CM44" s="34"/>
      <c r="CN44" s="34"/>
      <c r="CO44" s="34"/>
      <c r="CP44" s="34"/>
      <c r="CQ44" s="50">
        <f t="shared" si="43"/>
        <v>1</v>
      </c>
      <c r="CR44" s="77">
        <f t="shared" si="44"/>
        <v>0</v>
      </c>
      <c r="CS44" s="28"/>
    </row>
    <row r="45" spans="1:97" s="1" customFormat="1">
      <c r="A45" s="30" t="s">
        <v>147</v>
      </c>
      <c r="B45" s="47"/>
      <c r="C45" s="63" t="s">
        <v>120</v>
      </c>
      <c r="D45" s="32"/>
      <c r="E45" s="32"/>
      <c r="F45" s="87"/>
      <c r="G45" s="48"/>
      <c r="H45" s="84"/>
      <c r="I45" s="80">
        <f t="shared" si="21"/>
        <v>0</v>
      </c>
      <c r="J45" s="79">
        <f t="shared" si="22"/>
        <v>0</v>
      </c>
      <c r="K45" s="49"/>
      <c r="L45" s="84"/>
      <c r="M45" s="81">
        <f t="shared" si="24"/>
        <v>0</v>
      </c>
      <c r="N45" s="79">
        <f t="shared" si="25"/>
        <v>0</v>
      </c>
      <c r="O45" s="48"/>
      <c r="P45" s="84"/>
      <c r="Q45" s="81">
        <f t="shared" si="26"/>
        <v>0</v>
      </c>
      <c r="R45" s="79">
        <f t="shared" si="27"/>
        <v>0</v>
      </c>
      <c r="S45" s="54">
        <v>1920</v>
      </c>
      <c r="T45" s="89"/>
      <c r="U45" s="81">
        <v>0</v>
      </c>
      <c r="V45" s="79">
        <v>0</v>
      </c>
      <c r="W45" s="49"/>
      <c r="X45" s="89"/>
      <c r="Y45" s="81">
        <v>0</v>
      </c>
      <c r="Z45" s="79">
        <v>0</v>
      </c>
      <c r="AA45" s="49"/>
      <c r="AB45" s="89"/>
      <c r="AC45" s="81">
        <v>0</v>
      </c>
      <c r="AD45" s="79">
        <v>0</v>
      </c>
      <c r="AE45" s="49"/>
      <c r="AF45" s="89"/>
      <c r="AG45" s="81">
        <f t="shared" si="23"/>
        <v>0</v>
      </c>
      <c r="AH45" s="79">
        <f t="shared" si="28"/>
        <v>0</v>
      </c>
      <c r="AI45" s="48"/>
      <c r="AJ45" s="84"/>
      <c r="AK45" s="81">
        <f t="shared" si="29"/>
        <v>0</v>
      </c>
      <c r="AL45" s="79">
        <f t="shared" si="30"/>
        <v>0</v>
      </c>
      <c r="AM45" s="48"/>
      <c r="AN45" s="84"/>
      <c r="AO45" s="81">
        <f t="shared" si="31"/>
        <v>0</v>
      </c>
      <c r="AP45" s="79">
        <f t="shared" si="32"/>
        <v>0</v>
      </c>
      <c r="AQ45" s="48"/>
      <c r="AR45" s="84"/>
      <c r="AS45" s="81">
        <f t="shared" si="33"/>
        <v>0</v>
      </c>
      <c r="AT45" s="79">
        <f t="shared" si="34"/>
        <v>0</v>
      </c>
      <c r="AU45" s="49"/>
      <c r="AV45" s="84"/>
      <c r="AW45" s="81">
        <v>0</v>
      </c>
      <c r="AX45" s="79">
        <v>0</v>
      </c>
      <c r="AY45" s="49"/>
      <c r="AZ45" s="84"/>
      <c r="BA45" s="81">
        <v>0</v>
      </c>
      <c r="BB45" s="79">
        <v>0</v>
      </c>
      <c r="BC45" s="49"/>
      <c r="BD45" s="84"/>
      <c r="BE45" s="81">
        <v>0</v>
      </c>
      <c r="BF45" s="79">
        <v>0</v>
      </c>
      <c r="BG45" s="49"/>
      <c r="BH45" s="84"/>
      <c r="BI45" s="81">
        <v>0</v>
      </c>
      <c r="BJ45" s="79">
        <v>0</v>
      </c>
      <c r="BK45" s="49"/>
      <c r="BL45" s="84"/>
      <c r="BM45" s="81">
        <v>0</v>
      </c>
      <c r="BN45" s="79">
        <v>0</v>
      </c>
      <c r="BO45" s="49"/>
      <c r="BP45" s="84"/>
      <c r="BQ45" s="81">
        <v>0</v>
      </c>
      <c r="BR45" s="79">
        <v>0</v>
      </c>
      <c r="BS45" s="49"/>
      <c r="BT45" s="84"/>
      <c r="BU45" s="81">
        <f t="shared" si="35"/>
        <v>0</v>
      </c>
      <c r="BV45" s="79">
        <f t="shared" si="36"/>
        <v>0</v>
      </c>
      <c r="BW45" s="48"/>
      <c r="BX45" s="84"/>
      <c r="BY45" s="81">
        <f t="shared" si="37"/>
        <v>0</v>
      </c>
      <c r="BZ45" s="79">
        <f t="shared" si="38"/>
        <v>0</v>
      </c>
      <c r="CA45" s="48"/>
      <c r="CB45" s="84"/>
      <c r="CC45" s="81">
        <v>0</v>
      </c>
      <c r="CD45" s="79">
        <v>0</v>
      </c>
      <c r="CE45" s="49"/>
      <c r="CF45" s="84"/>
      <c r="CG45" s="81">
        <f t="shared" si="39"/>
        <v>0</v>
      </c>
      <c r="CH45" s="79">
        <f t="shared" si="40"/>
        <v>0</v>
      </c>
      <c r="CI45" s="33"/>
      <c r="CJ45" s="84"/>
      <c r="CK45" s="81">
        <f t="shared" si="41"/>
        <v>0</v>
      </c>
      <c r="CL45" s="79">
        <f t="shared" si="42"/>
        <v>0</v>
      </c>
      <c r="CM45" s="34"/>
      <c r="CN45" s="34"/>
      <c r="CO45" s="34"/>
      <c r="CP45" s="34"/>
      <c r="CQ45" s="50">
        <f t="shared" si="43"/>
        <v>1</v>
      </c>
      <c r="CR45" s="77">
        <f t="shared" si="44"/>
        <v>0</v>
      </c>
      <c r="CS45" s="28"/>
    </row>
    <row r="46" spans="1:97" s="1" customFormat="1">
      <c r="A46" s="30" t="s">
        <v>148</v>
      </c>
      <c r="B46" s="47"/>
      <c r="C46" s="31" t="s">
        <v>121</v>
      </c>
      <c r="D46" s="32"/>
      <c r="E46" s="32"/>
      <c r="F46" s="87"/>
      <c r="G46" s="48"/>
      <c r="H46" s="84"/>
      <c r="I46" s="80">
        <f t="shared" si="21"/>
        <v>0</v>
      </c>
      <c r="J46" s="79">
        <f t="shared" si="22"/>
        <v>0</v>
      </c>
      <c r="K46" s="49"/>
      <c r="L46" s="84"/>
      <c r="M46" s="81">
        <f t="shared" si="24"/>
        <v>0</v>
      </c>
      <c r="N46" s="79">
        <f t="shared" si="25"/>
        <v>0</v>
      </c>
      <c r="O46" s="48">
        <v>3840</v>
      </c>
      <c r="P46" s="84"/>
      <c r="Q46" s="81">
        <f t="shared" si="26"/>
        <v>0</v>
      </c>
      <c r="R46" s="79">
        <f t="shared" si="27"/>
        <v>0</v>
      </c>
      <c r="S46" s="49"/>
      <c r="T46" s="84"/>
      <c r="U46" s="81">
        <v>0</v>
      </c>
      <c r="V46" s="79">
        <v>0</v>
      </c>
      <c r="W46" s="49"/>
      <c r="X46" s="84"/>
      <c r="Y46" s="81">
        <v>0</v>
      </c>
      <c r="Z46" s="79">
        <v>0</v>
      </c>
      <c r="AA46" s="49"/>
      <c r="AB46" s="84"/>
      <c r="AC46" s="81">
        <v>0</v>
      </c>
      <c r="AD46" s="79">
        <v>0</v>
      </c>
      <c r="AE46" s="49"/>
      <c r="AF46" s="84"/>
      <c r="AG46" s="81">
        <f t="shared" si="23"/>
        <v>0</v>
      </c>
      <c r="AH46" s="79">
        <f t="shared" si="28"/>
        <v>0</v>
      </c>
      <c r="AI46" s="48"/>
      <c r="AJ46" s="84"/>
      <c r="AK46" s="81">
        <f t="shared" si="29"/>
        <v>0</v>
      </c>
      <c r="AL46" s="79">
        <f t="shared" si="30"/>
        <v>0</v>
      </c>
      <c r="AM46" s="48"/>
      <c r="AN46" s="84"/>
      <c r="AO46" s="81">
        <f t="shared" si="31"/>
        <v>0</v>
      </c>
      <c r="AP46" s="79">
        <f t="shared" si="32"/>
        <v>0</v>
      </c>
      <c r="AQ46" s="48">
        <v>49920</v>
      </c>
      <c r="AR46" s="84"/>
      <c r="AS46" s="81">
        <f t="shared" si="33"/>
        <v>0</v>
      </c>
      <c r="AT46" s="79">
        <f t="shared" si="34"/>
        <v>0</v>
      </c>
      <c r="AU46" s="49"/>
      <c r="AV46" s="84"/>
      <c r="AW46" s="81">
        <v>0</v>
      </c>
      <c r="AX46" s="79">
        <v>0</v>
      </c>
      <c r="AY46" s="49"/>
      <c r="AZ46" s="84"/>
      <c r="BA46" s="81">
        <v>0</v>
      </c>
      <c r="BB46" s="79">
        <v>0</v>
      </c>
      <c r="BC46" s="49"/>
      <c r="BD46" s="84"/>
      <c r="BE46" s="81">
        <v>0</v>
      </c>
      <c r="BF46" s="79">
        <v>0</v>
      </c>
      <c r="BG46" s="49"/>
      <c r="BH46" s="84"/>
      <c r="BI46" s="81">
        <v>0</v>
      </c>
      <c r="BJ46" s="79">
        <v>0</v>
      </c>
      <c r="BK46" s="49"/>
      <c r="BL46" s="84"/>
      <c r="BM46" s="81">
        <v>0</v>
      </c>
      <c r="BN46" s="79">
        <v>0</v>
      </c>
      <c r="BO46" s="49"/>
      <c r="BP46" s="84"/>
      <c r="BQ46" s="81">
        <v>0</v>
      </c>
      <c r="BR46" s="79">
        <v>0</v>
      </c>
      <c r="BS46" s="49"/>
      <c r="BT46" s="84"/>
      <c r="BU46" s="81">
        <f t="shared" si="35"/>
        <v>0</v>
      </c>
      <c r="BV46" s="79">
        <f t="shared" si="36"/>
        <v>0</v>
      </c>
      <c r="BW46" s="48">
        <v>1920</v>
      </c>
      <c r="BX46" s="84"/>
      <c r="BY46" s="81">
        <f t="shared" si="37"/>
        <v>0</v>
      </c>
      <c r="BZ46" s="79">
        <f t="shared" si="38"/>
        <v>0</v>
      </c>
      <c r="CA46" s="48"/>
      <c r="CB46" s="84"/>
      <c r="CC46" s="81">
        <v>0</v>
      </c>
      <c r="CD46" s="79">
        <v>0</v>
      </c>
      <c r="CE46" s="49">
        <v>1920</v>
      </c>
      <c r="CF46" s="84"/>
      <c r="CG46" s="81">
        <f t="shared" si="39"/>
        <v>0</v>
      </c>
      <c r="CH46" s="79">
        <f t="shared" si="40"/>
        <v>0</v>
      </c>
      <c r="CI46" s="33"/>
      <c r="CJ46" s="84"/>
      <c r="CK46" s="81">
        <f t="shared" si="41"/>
        <v>0</v>
      </c>
      <c r="CL46" s="79">
        <f t="shared" si="42"/>
        <v>0</v>
      </c>
      <c r="CM46" s="34"/>
      <c r="CN46" s="34"/>
      <c r="CO46" s="34"/>
      <c r="CP46" s="34"/>
      <c r="CQ46" s="50">
        <f t="shared" si="43"/>
        <v>1</v>
      </c>
      <c r="CR46" s="77">
        <f t="shared" si="44"/>
        <v>0</v>
      </c>
      <c r="CS46" s="28"/>
    </row>
    <row r="47" spans="1:97" s="1" customFormat="1">
      <c r="A47" s="30" t="s">
        <v>148</v>
      </c>
      <c r="B47" s="47"/>
      <c r="C47" s="31" t="s">
        <v>123</v>
      </c>
      <c r="D47" s="32"/>
      <c r="E47" s="32"/>
      <c r="F47" s="87"/>
      <c r="G47" s="48">
        <v>9600</v>
      </c>
      <c r="H47" s="84"/>
      <c r="I47" s="80">
        <f t="shared" si="21"/>
        <v>0</v>
      </c>
      <c r="J47" s="79">
        <f t="shared" si="22"/>
        <v>0</v>
      </c>
      <c r="K47" s="49"/>
      <c r="L47" s="84"/>
      <c r="M47" s="81">
        <f t="shared" si="24"/>
        <v>0</v>
      </c>
      <c r="N47" s="79">
        <f t="shared" si="25"/>
        <v>0</v>
      </c>
      <c r="O47" s="48"/>
      <c r="P47" s="84"/>
      <c r="Q47" s="81">
        <f t="shared" si="26"/>
        <v>0</v>
      </c>
      <c r="R47" s="79">
        <f t="shared" si="27"/>
        <v>0</v>
      </c>
      <c r="S47" s="49"/>
      <c r="T47" s="84"/>
      <c r="U47" s="81">
        <v>0</v>
      </c>
      <c r="V47" s="79">
        <v>0</v>
      </c>
      <c r="W47" s="49"/>
      <c r="X47" s="84"/>
      <c r="Y47" s="81">
        <v>0</v>
      </c>
      <c r="Z47" s="79">
        <v>0</v>
      </c>
      <c r="AA47" s="49"/>
      <c r="AB47" s="84"/>
      <c r="AC47" s="81">
        <v>0</v>
      </c>
      <c r="AD47" s="79">
        <v>0</v>
      </c>
      <c r="AE47" s="49"/>
      <c r="AF47" s="84"/>
      <c r="AG47" s="81">
        <f t="shared" si="23"/>
        <v>0</v>
      </c>
      <c r="AH47" s="79">
        <f t="shared" si="28"/>
        <v>0</v>
      </c>
      <c r="AI47" s="48"/>
      <c r="AJ47" s="84"/>
      <c r="AK47" s="81">
        <f t="shared" si="29"/>
        <v>0</v>
      </c>
      <c r="AL47" s="79">
        <f t="shared" si="30"/>
        <v>0</v>
      </c>
      <c r="AM47" s="48"/>
      <c r="AN47" s="84"/>
      <c r="AO47" s="81">
        <f t="shared" si="31"/>
        <v>0</v>
      </c>
      <c r="AP47" s="79">
        <f t="shared" si="32"/>
        <v>0</v>
      </c>
      <c r="AQ47" s="48"/>
      <c r="AR47" s="84"/>
      <c r="AS47" s="81">
        <f t="shared" si="33"/>
        <v>0</v>
      </c>
      <c r="AT47" s="79">
        <f t="shared" si="34"/>
        <v>0</v>
      </c>
      <c r="AU47" s="49"/>
      <c r="AV47" s="84"/>
      <c r="AW47" s="81">
        <v>0</v>
      </c>
      <c r="AX47" s="79">
        <v>0</v>
      </c>
      <c r="AY47" s="49"/>
      <c r="AZ47" s="84"/>
      <c r="BA47" s="81">
        <v>0</v>
      </c>
      <c r="BB47" s="79">
        <v>0</v>
      </c>
      <c r="BC47" s="49"/>
      <c r="BD47" s="84"/>
      <c r="BE47" s="81">
        <v>0</v>
      </c>
      <c r="BF47" s="79">
        <v>0</v>
      </c>
      <c r="BG47" s="49"/>
      <c r="BH47" s="84"/>
      <c r="BI47" s="81">
        <v>0</v>
      </c>
      <c r="BJ47" s="79">
        <v>0</v>
      </c>
      <c r="BK47" s="49"/>
      <c r="BL47" s="84"/>
      <c r="BM47" s="81">
        <v>0</v>
      </c>
      <c r="BN47" s="79">
        <v>0</v>
      </c>
      <c r="BO47" s="49"/>
      <c r="BP47" s="84"/>
      <c r="BQ47" s="81">
        <v>0</v>
      </c>
      <c r="BR47" s="79">
        <v>0</v>
      </c>
      <c r="BS47" s="49"/>
      <c r="BT47" s="84"/>
      <c r="BU47" s="81">
        <f t="shared" si="35"/>
        <v>0</v>
      </c>
      <c r="BV47" s="79">
        <f t="shared" si="36"/>
        <v>0</v>
      </c>
      <c r="BW47" s="48"/>
      <c r="BX47" s="84"/>
      <c r="BY47" s="81">
        <f t="shared" si="37"/>
        <v>0</v>
      </c>
      <c r="BZ47" s="79">
        <f t="shared" si="38"/>
        <v>0</v>
      </c>
      <c r="CA47" s="48"/>
      <c r="CB47" s="84"/>
      <c r="CC47" s="81">
        <v>0</v>
      </c>
      <c r="CD47" s="79">
        <v>0</v>
      </c>
      <c r="CE47" s="49"/>
      <c r="CF47" s="84"/>
      <c r="CG47" s="81">
        <f t="shared" si="39"/>
        <v>0</v>
      </c>
      <c r="CH47" s="79">
        <f t="shared" si="40"/>
        <v>0</v>
      </c>
      <c r="CI47" s="33"/>
      <c r="CJ47" s="84"/>
      <c r="CK47" s="81">
        <f t="shared" si="41"/>
        <v>0</v>
      </c>
      <c r="CL47" s="79">
        <f t="shared" si="42"/>
        <v>0</v>
      </c>
      <c r="CM47" s="34"/>
      <c r="CN47" s="34"/>
      <c r="CO47" s="34"/>
      <c r="CP47" s="34"/>
      <c r="CQ47" s="50">
        <f t="shared" si="43"/>
        <v>1</v>
      </c>
      <c r="CR47" s="77">
        <f t="shared" si="44"/>
        <v>0</v>
      </c>
      <c r="CS47" s="28"/>
    </row>
    <row r="48" spans="1:97" s="1" customFormat="1">
      <c r="A48" s="30" t="s">
        <v>149</v>
      </c>
      <c r="B48" s="47"/>
      <c r="C48" s="63" t="s">
        <v>120</v>
      </c>
      <c r="D48" s="32"/>
      <c r="E48" s="32"/>
      <c r="F48" s="87"/>
      <c r="G48" s="48"/>
      <c r="H48" s="84"/>
      <c r="I48" s="80">
        <f t="shared" si="21"/>
        <v>0</v>
      </c>
      <c r="J48" s="79">
        <f t="shared" si="22"/>
        <v>0</v>
      </c>
      <c r="K48" s="49"/>
      <c r="L48" s="84"/>
      <c r="M48" s="81">
        <f t="shared" si="24"/>
        <v>0</v>
      </c>
      <c r="N48" s="79">
        <f t="shared" si="25"/>
        <v>0</v>
      </c>
      <c r="O48" s="48"/>
      <c r="P48" s="84"/>
      <c r="Q48" s="81">
        <f t="shared" si="26"/>
        <v>0</v>
      </c>
      <c r="R48" s="79">
        <f t="shared" si="27"/>
        <v>0</v>
      </c>
      <c r="S48" s="49"/>
      <c r="T48" s="84"/>
      <c r="U48" s="81">
        <f t="shared" ref="U48:U59" si="45">T48*CQ48</f>
        <v>0</v>
      </c>
      <c r="V48" s="79">
        <f t="shared" ref="V48:V59" si="46">S48*U48</f>
        <v>0</v>
      </c>
      <c r="W48" s="49"/>
      <c r="X48" s="84"/>
      <c r="Y48" s="81">
        <f t="shared" ref="Y48:Y59" si="47">X48*CT48</f>
        <v>0</v>
      </c>
      <c r="Z48" s="79">
        <f t="shared" ref="Z48:Z59" si="48">W48*Y48</f>
        <v>0</v>
      </c>
      <c r="AA48" s="49"/>
      <c r="AB48" s="84"/>
      <c r="AC48" s="81">
        <f t="shared" ref="AC48:AC59" si="49">AB48*CW48</f>
        <v>0</v>
      </c>
      <c r="AD48" s="79">
        <f t="shared" ref="AD48:AD59" si="50">AA48*AC48</f>
        <v>0</v>
      </c>
      <c r="AE48" s="49"/>
      <c r="AF48" s="84"/>
      <c r="AG48" s="81">
        <f t="shared" si="23"/>
        <v>0</v>
      </c>
      <c r="AH48" s="79">
        <f t="shared" si="28"/>
        <v>0</v>
      </c>
      <c r="AI48" s="48"/>
      <c r="AJ48" s="84"/>
      <c r="AK48" s="81">
        <f t="shared" si="29"/>
        <v>0</v>
      </c>
      <c r="AL48" s="79">
        <f t="shared" si="30"/>
        <v>0</v>
      </c>
      <c r="AM48" s="48"/>
      <c r="AN48" s="84"/>
      <c r="AO48" s="81">
        <f t="shared" si="31"/>
        <v>0</v>
      </c>
      <c r="AP48" s="79">
        <f t="shared" si="32"/>
        <v>0</v>
      </c>
      <c r="AQ48" s="48"/>
      <c r="AR48" s="84"/>
      <c r="AS48" s="81">
        <f t="shared" si="33"/>
        <v>0</v>
      </c>
      <c r="AT48" s="79">
        <f t="shared" si="34"/>
        <v>0</v>
      </c>
      <c r="AU48" s="49"/>
      <c r="AV48" s="84"/>
      <c r="AW48" s="81">
        <v>0</v>
      </c>
      <c r="AX48" s="79">
        <v>0</v>
      </c>
      <c r="AY48" s="49"/>
      <c r="AZ48" s="84"/>
      <c r="BA48" s="81">
        <v>0</v>
      </c>
      <c r="BB48" s="79">
        <v>0</v>
      </c>
      <c r="BC48" s="49"/>
      <c r="BD48" s="84"/>
      <c r="BE48" s="81">
        <v>0</v>
      </c>
      <c r="BF48" s="79">
        <v>0</v>
      </c>
      <c r="BG48" s="49"/>
      <c r="BH48" s="84"/>
      <c r="BI48" s="81">
        <v>0</v>
      </c>
      <c r="BJ48" s="79">
        <v>0</v>
      </c>
      <c r="BK48" s="49"/>
      <c r="BL48" s="84"/>
      <c r="BM48" s="81">
        <v>0</v>
      </c>
      <c r="BN48" s="79">
        <v>0</v>
      </c>
      <c r="BO48" s="49"/>
      <c r="BP48" s="84"/>
      <c r="BQ48" s="81">
        <v>0</v>
      </c>
      <c r="BR48" s="79">
        <v>0</v>
      </c>
      <c r="BS48" s="49"/>
      <c r="BT48" s="84"/>
      <c r="BU48" s="81">
        <f t="shared" si="35"/>
        <v>0</v>
      </c>
      <c r="BV48" s="79">
        <f t="shared" si="36"/>
        <v>0</v>
      </c>
      <c r="BW48" s="48"/>
      <c r="BX48" s="84"/>
      <c r="BY48" s="81">
        <f t="shared" si="37"/>
        <v>0</v>
      </c>
      <c r="BZ48" s="79">
        <f t="shared" si="38"/>
        <v>0</v>
      </c>
      <c r="CA48" s="48"/>
      <c r="CB48" s="84"/>
      <c r="CC48" s="81">
        <v>0</v>
      </c>
      <c r="CD48" s="79">
        <v>0</v>
      </c>
      <c r="CE48" s="49"/>
      <c r="CF48" s="84"/>
      <c r="CG48" s="81">
        <f t="shared" si="39"/>
        <v>0</v>
      </c>
      <c r="CH48" s="79">
        <f t="shared" si="40"/>
        <v>0</v>
      </c>
      <c r="CI48" s="33"/>
      <c r="CJ48" s="84"/>
      <c r="CK48" s="81">
        <f t="shared" si="41"/>
        <v>0</v>
      </c>
      <c r="CL48" s="79">
        <f t="shared" si="42"/>
        <v>0</v>
      </c>
      <c r="CM48" s="34"/>
      <c r="CN48" s="34"/>
      <c r="CO48" s="34"/>
      <c r="CP48" s="34"/>
      <c r="CQ48" s="50">
        <f t="shared" si="43"/>
        <v>1</v>
      </c>
      <c r="CR48" s="77">
        <f t="shared" si="44"/>
        <v>0</v>
      </c>
      <c r="CS48" s="28"/>
    </row>
    <row r="49" spans="1:97" s="1" customFormat="1">
      <c r="A49" s="30" t="s">
        <v>150</v>
      </c>
      <c r="B49" s="47"/>
      <c r="C49" s="31" t="s">
        <v>121</v>
      </c>
      <c r="D49" s="32"/>
      <c r="E49" s="32"/>
      <c r="F49" s="87"/>
      <c r="G49" s="48"/>
      <c r="H49" s="84"/>
      <c r="I49" s="80">
        <f t="shared" si="21"/>
        <v>0</v>
      </c>
      <c r="J49" s="79">
        <f t="shared" si="22"/>
        <v>0</v>
      </c>
      <c r="K49" s="49"/>
      <c r="L49" s="84"/>
      <c r="M49" s="81">
        <f t="shared" si="24"/>
        <v>0</v>
      </c>
      <c r="N49" s="79">
        <f t="shared" si="25"/>
        <v>0</v>
      </c>
      <c r="O49" s="48"/>
      <c r="P49" s="84"/>
      <c r="Q49" s="81">
        <f t="shared" si="26"/>
        <v>0</v>
      </c>
      <c r="R49" s="79">
        <f t="shared" si="27"/>
        <v>0</v>
      </c>
      <c r="S49" s="49"/>
      <c r="T49" s="84"/>
      <c r="U49" s="81">
        <f t="shared" si="45"/>
        <v>0</v>
      </c>
      <c r="V49" s="79">
        <f t="shared" si="46"/>
        <v>0</v>
      </c>
      <c r="W49" s="49"/>
      <c r="X49" s="84"/>
      <c r="Y49" s="81">
        <f t="shared" si="47"/>
        <v>0</v>
      </c>
      <c r="Z49" s="79">
        <f t="shared" si="48"/>
        <v>0</v>
      </c>
      <c r="AA49" s="49"/>
      <c r="AB49" s="84"/>
      <c r="AC49" s="81">
        <f t="shared" si="49"/>
        <v>0</v>
      </c>
      <c r="AD49" s="79">
        <f t="shared" si="50"/>
        <v>0</v>
      </c>
      <c r="AE49" s="49"/>
      <c r="AF49" s="84"/>
      <c r="AG49" s="81">
        <f t="shared" si="23"/>
        <v>0</v>
      </c>
      <c r="AH49" s="79">
        <f t="shared" si="28"/>
        <v>0</v>
      </c>
      <c r="AI49" s="48"/>
      <c r="AJ49" s="84"/>
      <c r="AK49" s="81">
        <f t="shared" si="29"/>
        <v>0</v>
      </c>
      <c r="AL49" s="79">
        <f t="shared" si="30"/>
        <v>0</v>
      </c>
      <c r="AM49" s="48"/>
      <c r="AN49" s="84"/>
      <c r="AO49" s="81">
        <f t="shared" si="31"/>
        <v>0</v>
      </c>
      <c r="AP49" s="79">
        <f t="shared" si="32"/>
        <v>0</v>
      </c>
      <c r="AQ49" s="48"/>
      <c r="AR49" s="84"/>
      <c r="AS49" s="81">
        <f t="shared" si="33"/>
        <v>0</v>
      </c>
      <c r="AT49" s="79">
        <f t="shared" si="34"/>
        <v>0</v>
      </c>
      <c r="AU49" s="49"/>
      <c r="AV49" s="84"/>
      <c r="AW49" s="81">
        <v>0</v>
      </c>
      <c r="AX49" s="79">
        <v>0</v>
      </c>
      <c r="AY49" s="49"/>
      <c r="AZ49" s="84"/>
      <c r="BA49" s="81">
        <v>0</v>
      </c>
      <c r="BB49" s="79">
        <v>0</v>
      </c>
      <c r="BC49" s="49"/>
      <c r="BD49" s="84"/>
      <c r="BE49" s="81">
        <v>0</v>
      </c>
      <c r="BF49" s="79">
        <v>0</v>
      </c>
      <c r="BG49" s="49"/>
      <c r="BH49" s="84"/>
      <c r="BI49" s="81">
        <v>0</v>
      </c>
      <c r="BJ49" s="79">
        <v>0</v>
      </c>
      <c r="BK49" s="49"/>
      <c r="BL49" s="84"/>
      <c r="BM49" s="81">
        <v>0</v>
      </c>
      <c r="BN49" s="79">
        <v>0</v>
      </c>
      <c r="BO49" s="49"/>
      <c r="BP49" s="84"/>
      <c r="BQ49" s="81">
        <v>0</v>
      </c>
      <c r="BR49" s="79">
        <v>0</v>
      </c>
      <c r="BS49" s="49"/>
      <c r="BT49" s="84"/>
      <c r="BU49" s="81">
        <f t="shared" si="35"/>
        <v>0</v>
      </c>
      <c r="BV49" s="79">
        <f t="shared" si="36"/>
        <v>0</v>
      </c>
      <c r="BW49" s="48">
        <v>1920</v>
      </c>
      <c r="BX49" s="84"/>
      <c r="BY49" s="81">
        <f t="shared" si="37"/>
        <v>0</v>
      </c>
      <c r="BZ49" s="79">
        <f t="shared" si="38"/>
        <v>0</v>
      </c>
      <c r="CA49" s="48"/>
      <c r="CB49" s="84"/>
      <c r="CC49" s="81">
        <v>0</v>
      </c>
      <c r="CD49" s="79">
        <v>0</v>
      </c>
      <c r="CE49" s="49"/>
      <c r="CF49" s="84"/>
      <c r="CG49" s="81">
        <f t="shared" si="39"/>
        <v>0</v>
      </c>
      <c r="CH49" s="79">
        <f t="shared" si="40"/>
        <v>0</v>
      </c>
      <c r="CI49" s="33"/>
      <c r="CJ49" s="84"/>
      <c r="CK49" s="81">
        <f t="shared" si="41"/>
        <v>0</v>
      </c>
      <c r="CL49" s="79">
        <f t="shared" si="42"/>
        <v>0</v>
      </c>
      <c r="CM49" s="34"/>
      <c r="CN49" s="34"/>
      <c r="CO49" s="34"/>
      <c r="CP49" s="34"/>
      <c r="CQ49" s="50">
        <f t="shared" si="43"/>
        <v>1</v>
      </c>
      <c r="CR49" s="77">
        <f t="shared" si="44"/>
        <v>0</v>
      </c>
      <c r="CS49" s="28"/>
    </row>
    <row r="50" spans="1:97" s="1" customFormat="1">
      <c r="A50" s="30" t="s">
        <v>151</v>
      </c>
      <c r="B50" s="47"/>
      <c r="C50" s="31" t="s">
        <v>123</v>
      </c>
      <c r="D50" s="32"/>
      <c r="E50" s="32"/>
      <c r="F50" s="87"/>
      <c r="G50" s="48"/>
      <c r="H50" s="84"/>
      <c r="I50" s="80">
        <f t="shared" si="21"/>
        <v>0</v>
      </c>
      <c r="J50" s="79">
        <f t="shared" si="22"/>
        <v>0</v>
      </c>
      <c r="K50" s="49"/>
      <c r="L50" s="84"/>
      <c r="M50" s="81">
        <f t="shared" si="24"/>
        <v>0</v>
      </c>
      <c r="N50" s="79">
        <f t="shared" si="25"/>
        <v>0</v>
      </c>
      <c r="O50" s="48"/>
      <c r="P50" s="84"/>
      <c r="Q50" s="81">
        <f t="shared" si="26"/>
        <v>0</v>
      </c>
      <c r="R50" s="79">
        <f t="shared" si="27"/>
        <v>0</v>
      </c>
      <c r="S50" s="49"/>
      <c r="T50" s="84"/>
      <c r="U50" s="81">
        <f t="shared" si="45"/>
        <v>0</v>
      </c>
      <c r="V50" s="79">
        <f t="shared" si="46"/>
        <v>0</v>
      </c>
      <c r="W50" s="49"/>
      <c r="X50" s="84"/>
      <c r="Y50" s="81">
        <f t="shared" si="47"/>
        <v>0</v>
      </c>
      <c r="Z50" s="79">
        <f t="shared" si="48"/>
        <v>0</v>
      </c>
      <c r="AA50" s="49"/>
      <c r="AB50" s="84"/>
      <c r="AC50" s="81">
        <f t="shared" si="49"/>
        <v>0</v>
      </c>
      <c r="AD50" s="79">
        <f t="shared" si="50"/>
        <v>0</v>
      </c>
      <c r="AE50" s="49"/>
      <c r="AF50" s="84"/>
      <c r="AG50" s="81">
        <f t="shared" si="23"/>
        <v>0</v>
      </c>
      <c r="AH50" s="79">
        <f t="shared" si="28"/>
        <v>0</v>
      </c>
      <c r="AI50" s="48"/>
      <c r="AJ50" s="84"/>
      <c r="AK50" s="81">
        <f t="shared" si="29"/>
        <v>0</v>
      </c>
      <c r="AL50" s="79">
        <f t="shared" si="30"/>
        <v>0</v>
      </c>
      <c r="AM50" s="48"/>
      <c r="AN50" s="84"/>
      <c r="AO50" s="81">
        <f t="shared" si="31"/>
        <v>0</v>
      </c>
      <c r="AP50" s="79">
        <f t="shared" si="32"/>
        <v>0</v>
      </c>
      <c r="AQ50" s="48"/>
      <c r="AR50" s="84"/>
      <c r="AS50" s="81">
        <f t="shared" si="33"/>
        <v>0</v>
      </c>
      <c r="AT50" s="79">
        <f t="shared" si="34"/>
        <v>0</v>
      </c>
      <c r="AU50" s="49"/>
      <c r="AV50" s="84"/>
      <c r="AW50" s="81">
        <v>0</v>
      </c>
      <c r="AX50" s="79">
        <v>0</v>
      </c>
      <c r="AY50" s="49"/>
      <c r="AZ50" s="84"/>
      <c r="BA50" s="81">
        <v>0</v>
      </c>
      <c r="BB50" s="79">
        <v>0</v>
      </c>
      <c r="BC50" s="49"/>
      <c r="BD50" s="84"/>
      <c r="BE50" s="81">
        <v>0</v>
      </c>
      <c r="BF50" s="79">
        <v>0</v>
      </c>
      <c r="BG50" s="49"/>
      <c r="BH50" s="84"/>
      <c r="BI50" s="81">
        <v>0</v>
      </c>
      <c r="BJ50" s="79">
        <v>0</v>
      </c>
      <c r="BK50" s="49"/>
      <c r="BL50" s="84"/>
      <c r="BM50" s="81">
        <v>0</v>
      </c>
      <c r="BN50" s="79">
        <v>0</v>
      </c>
      <c r="BO50" s="49"/>
      <c r="BP50" s="84"/>
      <c r="BQ50" s="81">
        <v>0</v>
      </c>
      <c r="BR50" s="79">
        <v>0</v>
      </c>
      <c r="BS50" s="49"/>
      <c r="BT50" s="84"/>
      <c r="BU50" s="81">
        <f t="shared" si="35"/>
        <v>0</v>
      </c>
      <c r="BV50" s="79">
        <f t="shared" si="36"/>
        <v>0</v>
      </c>
      <c r="BW50" s="48"/>
      <c r="BX50" s="84"/>
      <c r="BY50" s="81">
        <f t="shared" si="37"/>
        <v>0</v>
      </c>
      <c r="BZ50" s="79">
        <f t="shared" si="38"/>
        <v>0</v>
      </c>
      <c r="CA50" s="48"/>
      <c r="CB50" s="84"/>
      <c r="CC50" s="81">
        <v>0</v>
      </c>
      <c r="CD50" s="79">
        <v>0</v>
      </c>
      <c r="CE50" s="49"/>
      <c r="CF50" s="84"/>
      <c r="CG50" s="81">
        <f t="shared" si="39"/>
        <v>0</v>
      </c>
      <c r="CH50" s="79">
        <f t="shared" si="40"/>
        <v>0</v>
      </c>
      <c r="CI50" s="33"/>
      <c r="CJ50" s="84"/>
      <c r="CK50" s="81">
        <f t="shared" si="41"/>
        <v>0</v>
      </c>
      <c r="CL50" s="79">
        <f t="shared" si="42"/>
        <v>0</v>
      </c>
      <c r="CM50" s="34"/>
      <c r="CN50" s="34"/>
      <c r="CO50" s="34"/>
      <c r="CP50" s="34"/>
      <c r="CQ50" s="50">
        <f t="shared" si="43"/>
        <v>1</v>
      </c>
      <c r="CR50" s="77">
        <f t="shared" si="44"/>
        <v>0</v>
      </c>
      <c r="CS50" s="28"/>
    </row>
    <row r="51" spans="1:97" s="1" customFormat="1">
      <c r="A51" s="30" t="s">
        <v>152</v>
      </c>
      <c r="B51" s="47"/>
      <c r="C51" s="63" t="s">
        <v>120</v>
      </c>
      <c r="D51" s="32"/>
      <c r="E51" s="32"/>
      <c r="F51" s="87"/>
      <c r="G51" s="48"/>
      <c r="H51" s="84"/>
      <c r="I51" s="80">
        <f t="shared" si="21"/>
        <v>0</v>
      </c>
      <c r="J51" s="79">
        <f t="shared" si="22"/>
        <v>0</v>
      </c>
      <c r="K51" s="49"/>
      <c r="L51" s="84"/>
      <c r="M51" s="81">
        <f t="shared" si="24"/>
        <v>0</v>
      </c>
      <c r="N51" s="79">
        <f t="shared" si="25"/>
        <v>0</v>
      </c>
      <c r="O51" s="48"/>
      <c r="P51" s="84"/>
      <c r="Q51" s="81">
        <f t="shared" si="26"/>
        <v>0</v>
      </c>
      <c r="R51" s="79">
        <f t="shared" si="27"/>
        <v>0</v>
      </c>
      <c r="S51" s="49"/>
      <c r="T51" s="84"/>
      <c r="U51" s="81">
        <f t="shared" si="45"/>
        <v>0</v>
      </c>
      <c r="V51" s="79">
        <f t="shared" si="46"/>
        <v>0</v>
      </c>
      <c r="W51" s="49"/>
      <c r="X51" s="84"/>
      <c r="Y51" s="81">
        <f t="shared" si="47"/>
        <v>0</v>
      </c>
      <c r="Z51" s="79">
        <f t="shared" si="48"/>
        <v>0</v>
      </c>
      <c r="AA51" s="49"/>
      <c r="AB51" s="84"/>
      <c r="AC51" s="81">
        <f t="shared" si="49"/>
        <v>0</v>
      </c>
      <c r="AD51" s="79">
        <f t="shared" si="50"/>
        <v>0</v>
      </c>
      <c r="AE51" s="49"/>
      <c r="AF51" s="84"/>
      <c r="AG51" s="81">
        <f t="shared" si="23"/>
        <v>0</v>
      </c>
      <c r="AH51" s="79">
        <f t="shared" si="28"/>
        <v>0</v>
      </c>
      <c r="AI51" s="48"/>
      <c r="AJ51" s="84"/>
      <c r="AK51" s="81">
        <f t="shared" si="29"/>
        <v>0</v>
      </c>
      <c r="AL51" s="79">
        <f t="shared" si="30"/>
        <v>0</v>
      </c>
      <c r="AM51" s="48"/>
      <c r="AN51" s="84"/>
      <c r="AO51" s="81">
        <f t="shared" si="31"/>
        <v>0</v>
      </c>
      <c r="AP51" s="79">
        <f t="shared" si="32"/>
        <v>0</v>
      </c>
      <c r="AQ51" s="48"/>
      <c r="AR51" s="84"/>
      <c r="AS51" s="81">
        <f t="shared" si="33"/>
        <v>0</v>
      </c>
      <c r="AT51" s="79">
        <f t="shared" si="34"/>
        <v>0</v>
      </c>
      <c r="AU51" s="49"/>
      <c r="AV51" s="84"/>
      <c r="AW51" s="81">
        <v>0</v>
      </c>
      <c r="AX51" s="79">
        <v>0</v>
      </c>
      <c r="AY51" s="49"/>
      <c r="AZ51" s="84"/>
      <c r="BA51" s="81">
        <v>0</v>
      </c>
      <c r="BB51" s="79">
        <v>0</v>
      </c>
      <c r="BC51" s="49"/>
      <c r="BD51" s="84"/>
      <c r="BE51" s="81">
        <v>0</v>
      </c>
      <c r="BF51" s="79">
        <v>0</v>
      </c>
      <c r="BG51" s="49"/>
      <c r="BH51" s="84"/>
      <c r="BI51" s="81">
        <v>0</v>
      </c>
      <c r="BJ51" s="79">
        <v>0</v>
      </c>
      <c r="BK51" s="49"/>
      <c r="BL51" s="84"/>
      <c r="BM51" s="81">
        <v>0</v>
      </c>
      <c r="BN51" s="79">
        <v>0</v>
      </c>
      <c r="BO51" s="49"/>
      <c r="BP51" s="84"/>
      <c r="BQ51" s="81">
        <v>0</v>
      </c>
      <c r="BR51" s="79">
        <v>0</v>
      </c>
      <c r="BS51" s="49"/>
      <c r="BT51" s="84"/>
      <c r="BU51" s="81">
        <f t="shared" si="35"/>
        <v>0</v>
      </c>
      <c r="BV51" s="79">
        <f t="shared" si="36"/>
        <v>0</v>
      </c>
      <c r="BW51" s="48">
        <v>1920</v>
      </c>
      <c r="BX51" s="84"/>
      <c r="BY51" s="81">
        <f t="shared" si="37"/>
        <v>0</v>
      </c>
      <c r="BZ51" s="79">
        <f t="shared" si="38"/>
        <v>0</v>
      </c>
      <c r="CA51" s="48"/>
      <c r="CB51" s="84"/>
      <c r="CC51" s="81">
        <v>0</v>
      </c>
      <c r="CD51" s="79">
        <v>0</v>
      </c>
      <c r="CE51" s="49"/>
      <c r="CF51" s="84"/>
      <c r="CG51" s="81">
        <f t="shared" si="39"/>
        <v>0</v>
      </c>
      <c r="CH51" s="79">
        <f t="shared" si="40"/>
        <v>0</v>
      </c>
      <c r="CI51" s="33"/>
      <c r="CJ51" s="84"/>
      <c r="CK51" s="81">
        <f t="shared" si="41"/>
        <v>0</v>
      </c>
      <c r="CL51" s="79">
        <f t="shared" si="42"/>
        <v>0</v>
      </c>
      <c r="CM51" s="34"/>
      <c r="CN51" s="34"/>
      <c r="CO51" s="34"/>
      <c r="CP51" s="34"/>
      <c r="CQ51" s="50">
        <f t="shared" si="43"/>
        <v>1</v>
      </c>
      <c r="CR51" s="77">
        <f t="shared" si="44"/>
        <v>0</v>
      </c>
      <c r="CS51" s="28"/>
    </row>
    <row r="52" spans="1:97" s="1" customFormat="1">
      <c r="A52" s="30" t="s">
        <v>152</v>
      </c>
      <c r="B52" s="47"/>
      <c r="C52" s="31" t="s">
        <v>123</v>
      </c>
      <c r="D52" s="32"/>
      <c r="E52" s="32"/>
      <c r="F52" s="87"/>
      <c r="G52" s="48">
        <v>960</v>
      </c>
      <c r="H52" s="84"/>
      <c r="I52" s="80">
        <f t="shared" si="21"/>
        <v>0</v>
      </c>
      <c r="J52" s="79">
        <f t="shared" si="22"/>
        <v>0</v>
      </c>
      <c r="K52" s="49"/>
      <c r="L52" s="84"/>
      <c r="M52" s="81">
        <f t="shared" si="24"/>
        <v>0</v>
      </c>
      <c r="N52" s="79">
        <f t="shared" si="25"/>
        <v>0</v>
      </c>
      <c r="O52" s="48"/>
      <c r="P52" s="84"/>
      <c r="Q52" s="81">
        <f t="shared" si="26"/>
        <v>0</v>
      </c>
      <c r="R52" s="79">
        <f t="shared" si="27"/>
        <v>0</v>
      </c>
      <c r="S52" s="49"/>
      <c r="T52" s="84"/>
      <c r="U52" s="81">
        <f t="shared" si="45"/>
        <v>0</v>
      </c>
      <c r="V52" s="79">
        <f t="shared" si="46"/>
        <v>0</v>
      </c>
      <c r="W52" s="49"/>
      <c r="X52" s="84"/>
      <c r="Y52" s="81">
        <f t="shared" si="47"/>
        <v>0</v>
      </c>
      <c r="Z52" s="79">
        <f t="shared" si="48"/>
        <v>0</v>
      </c>
      <c r="AA52" s="49"/>
      <c r="AB52" s="84"/>
      <c r="AC52" s="81">
        <f t="shared" si="49"/>
        <v>0</v>
      </c>
      <c r="AD52" s="79">
        <f t="shared" si="50"/>
        <v>0</v>
      </c>
      <c r="AE52" s="49"/>
      <c r="AF52" s="84"/>
      <c r="AG52" s="81">
        <f t="shared" si="23"/>
        <v>0</v>
      </c>
      <c r="AH52" s="79">
        <f t="shared" si="28"/>
        <v>0</v>
      </c>
      <c r="AI52" s="48"/>
      <c r="AJ52" s="84"/>
      <c r="AK52" s="81">
        <f t="shared" si="29"/>
        <v>0</v>
      </c>
      <c r="AL52" s="79">
        <f t="shared" si="30"/>
        <v>0</v>
      </c>
      <c r="AM52" s="48"/>
      <c r="AN52" s="84"/>
      <c r="AO52" s="81">
        <f t="shared" si="31"/>
        <v>0</v>
      </c>
      <c r="AP52" s="79">
        <f t="shared" si="32"/>
        <v>0</v>
      </c>
      <c r="AQ52" s="48"/>
      <c r="AR52" s="84"/>
      <c r="AS52" s="81">
        <f t="shared" si="33"/>
        <v>0</v>
      </c>
      <c r="AT52" s="79">
        <f t="shared" si="34"/>
        <v>0</v>
      </c>
      <c r="AU52" s="49"/>
      <c r="AV52" s="84"/>
      <c r="AW52" s="81">
        <v>0</v>
      </c>
      <c r="AX52" s="79">
        <v>0</v>
      </c>
      <c r="AY52" s="49"/>
      <c r="AZ52" s="84"/>
      <c r="BA52" s="81">
        <v>0</v>
      </c>
      <c r="BB52" s="79">
        <v>0</v>
      </c>
      <c r="BC52" s="49"/>
      <c r="BD52" s="84"/>
      <c r="BE52" s="81">
        <v>0</v>
      </c>
      <c r="BF52" s="79">
        <v>0</v>
      </c>
      <c r="BG52" s="49"/>
      <c r="BH52" s="84"/>
      <c r="BI52" s="81">
        <v>0</v>
      </c>
      <c r="BJ52" s="79">
        <v>0</v>
      </c>
      <c r="BK52" s="49"/>
      <c r="BL52" s="84"/>
      <c r="BM52" s="81">
        <v>0</v>
      </c>
      <c r="BN52" s="79">
        <v>0</v>
      </c>
      <c r="BO52" s="49"/>
      <c r="BP52" s="84"/>
      <c r="BQ52" s="81">
        <v>0</v>
      </c>
      <c r="BR52" s="79">
        <v>0</v>
      </c>
      <c r="BS52" s="49"/>
      <c r="BT52" s="84"/>
      <c r="BU52" s="81">
        <f t="shared" si="35"/>
        <v>0</v>
      </c>
      <c r="BV52" s="79">
        <f t="shared" si="36"/>
        <v>0</v>
      </c>
      <c r="BW52" s="48">
        <v>1920</v>
      </c>
      <c r="BX52" s="84"/>
      <c r="BY52" s="81">
        <f t="shared" si="37"/>
        <v>0</v>
      </c>
      <c r="BZ52" s="79">
        <f t="shared" si="38"/>
        <v>0</v>
      </c>
      <c r="CA52" s="48"/>
      <c r="CB52" s="84"/>
      <c r="CC52" s="81">
        <v>0</v>
      </c>
      <c r="CD52" s="79">
        <v>0</v>
      </c>
      <c r="CE52" s="49"/>
      <c r="CF52" s="84"/>
      <c r="CG52" s="81">
        <f t="shared" si="39"/>
        <v>0</v>
      </c>
      <c r="CH52" s="79">
        <f t="shared" si="40"/>
        <v>0</v>
      </c>
      <c r="CI52" s="33"/>
      <c r="CJ52" s="84"/>
      <c r="CK52" s="81">
        <f t="shared" si="41"/>
        <v>0</v>
      </c>
      <c r="CL52" s="79">
        <f t="shared" si="42"/>
        <v>0</v>
      </c>
      <c r="CM52" s="34"/>
      <c r="CN52" s="34"/>
      <c r="CO52" s="34"/>
      <c r="CP52" s="34"/>
      <c r="CQ52" s="50">
        <f t="shared" si="43"/>
        <v>1</v>
      </c>
      <c r="CR52" s="77">
        <f t="shared" si="44"/>
        <v>0</v>
      </c>
      <c r="CS52" s="28"/>
    </row>
    <row r="53" spans="1:97">
      <c r="A53" s="37" t="s">
        <v>153</v>
      </c>
      <c r="B53" s="55"/>
      <c r="C53" s="63" t="s">
        <v>120</v>
      </c>
      <c r="D53" s="32"/>
      <c r="E53" s="32"/>
      <c r="F53" s="87"/>
      <c r="G53" s="48"/>
      <c r="H53" s="84"/>
      <c r="I53" s="80">
        <f t="shared" si="21"/>
        <v>0</v>
      </c>
      <c r="J53" s="79">
        <f t="shared" si="22"/>
        <v>0</v>
      </c>
      <c r="K53" s="49"/>
      <c r="L53" s="84"/>
      <c r="M53" s="81">
        <f t="shared" si="24"/>
        <v>0</v>
      </c>
      <c r="N53" s="79">
        <f t="shared" si="25"/>
        <v>0</v>
      </c>
      <c r="O53" s="48"/>
      <c r="P53" s="84"/>
      <c r="Q53" s="81">
        <f t="shared" si="26"/>
        <v>0</v>
      </c>
      <c r="R53" s="79">
        <f t="shared" si="27"/>
        <v>0</v>
      </c>
      <c r="S53" s="49"/>
      <c r="T53" s="84"/>
      <c r="U53" s="81">
        <f t="shared" si="45"/>
        <v>0</v>
      </c>
      <c r="V53" s="79">
        <f t="shared" si="46"/>
        <v>0</v>
      </c>
      <c r="W53" s="49"/>
      <c r="X53" s="84"/>
      <c r="Y53" s="81">
        <f t="shared" si="47"/>
        <v>0</v>
      </c>
      <c r="Z53" s="79">
        <f t="shared" si="48"/>
        <v>0</v>
      </c>
      <c r="AA53" s="49"/>
      <c r="AB53" s="84"/>
      <c r="AC53" s="81">
        <f t="shared" si="49"/>
        <v>0</v>
      </c>
      <c r="AD53" s="79">
        <f t="shared" si="50"/>
        <v>0</v>
      </c>
      <c r="AE53" s="49"/>
      <c r="AF53" s="84"/>
      <c r="AG53" s="81">
        <f t="shared" si="23"/>
        <v>0</v>
      </c>
      <c r="AH53" s="79">
        <f t="shared" si="28"/>
        <v>0</v>
      </c>
      <c r="AI53" s="48"/>
      <c r="AJ53" s="84"/>
      <c r="AK53" s="81">
        <f t="shared" si="29"/>
        <v>0</v>
      </c>
      <c r="AL53" s="79">
        <f t="shared" si="30"/>
        <v>0</v>
      </c>
      <c r="AM53" s="48"/>
      <c r="AN53" s="84"/>
      <c r="AO53" s="81">
        <f t="shared" si="31"/>
        <v>0</v>
      </c>
      <c r="AP53" s="79">
        <f t="shared" si="32"/>
        <v>0</v>
      </c>
      <c r="AQ53" s="48"/>
      <c r="AR53" s="84"/>
      <c r="AS53" s="81">
        <f t="shared" si="33"/>
        <v>0</v>
      </c>
      <c r="AT53" s="79">
        <f t="shared" si="34"/>
        <v>0</v>
      </c>
      <c r="AU53" s="49"/>
      <c r="AV53" s="84"/>
      <c r="AW53" s="81">
        <v>0</v>
      </c>
      <c r="AX53" s="79">
        <v>0</v>
      </c>
      <c r="AY53" s="49"/>
      <c r="AZ53" s="84"/>
      <c r="BA53" s="81">
        <v>0</v>
      </c>
      <c r="BB53" s="79">
        <v>0</v>
      </c>
      <c r="BC53" s="49"/>
      <c r="BD53" s="84"/>
      <c r="BE53" s="81">
        <v>0</v>
      </c>
      <c r="BF53" s="79">
        <v>0</v>
      </c>
      <c r="BG53" s="49"/>
      <c r="BH53" s="84"/>
      <c r="BI53" s="81">
        <v>0</v>
      </c>
      <c r="BJ53" s="79">
        <v>0</v>
      </c>
      <c r="BK53" s="49"/>
      <c r="BL53" s="84"/>
      <c r="BM53" s="81">
        <v>0</v>
      </c>
      <c r="BN53" s="79">
        <v>0</v>
      </c>
      <c r="BO53" s="49"/>
      <c r="BP53" s="84"/>
      <c r="BQ53" s="81">
        <v>0</v>
      </c>
      <c r="BR53" s="79">
        <v>0</v>
      </c>
      <c r="BS53" s="49"/>
      <c r="BT53" s="84"/>
      <c r="BU53" s="81">
        <f t="shared" si="35"/>
        <v>0</v>
      </c>
      <c r="BV53" s="79">
        <f t="shared" si="36"/>
        <v>0</v>
      </c>
      <c r="BW53" s="48">
        <v>480</v>
      </c>
      <c r="BX53" s="84"/>
      <c r="BY53" s="81">
        <f t="shared" si="37"/>
        <v>0</v>
      </c>
      <c r="BZ53" s="79">
        <f t="shared" si="38"/>
        <v>0</v>
      </c>
      <c r="CA53" s="48"/>
      <c r="CB53" s="84"/>
      <c r="CC53" s="81">
        <v>0</v>
      </c>
      <c r="CD53" s="79">
        <v>0</v>
      </c>
      <c r="CE53" s="49"/>
      <c r="CF53" s="84"/>
      <c r="CG53" s="81">
        <f t="shared" si="39"/>
        <v>0</v>
      </c>
      <c r="CH53" s="79">
        <f t="shared" si="40"/>
        <v>0</v>
      </c>
      <c r="CI53" s="33"/>
      <c r="CJ53" s="84"/>
      <c r="CK53" s="81">
        <f t="shared" si="41"/>
        <v>0</v>
      </c>
      <c r="CL53" s="79">
        <f t="shared" si="42"/>
        <v>0</v>
      </c>
      <c r="CM53" s="34"/>
      <c r="CN53" s="34"/>
      <c r="CO53" s="34"/>
      <c r="CP53" s="34"/>
      <c r="CQ53" s="50">
        <f t="shared" si="43"/>
        <v>1</v>
      </c>
      <c r="CR53" s="77">
        <f t="shared" si="44"/>
        <v>0</v>
      </c>
      <c r="CS53" s="28"/>
    </row>
    <row r="54" spans="1:97">
      <c r="A54" s="37" t="s">
        <v>153</v>
      </c>
      <c r="B54" s="55"/>
      <c r="C54" s="31" t="s">
        <v>121</v>
      </c>
      <c r="D54" s="32"/>
      <c r="E54" s="32"/>
      <c r="F54" s="87"/>
      <c r="G54" s="48"/>
      <c r="H54" s="84"/>
      <c r="I54" s="80">
        <f t="shared" si="21"/>
        <v>0</v>
      </c>
      <c r="J54" s="79">
        <f t="shared" si="22"/>
        <v>0</v>
      </c>
      <c r="K54" s="49"/>
      <c r="L54" s="84"/>
      <c r="M54" s="81">
        <f t="shared" si="24"/>
        <v>0</v>
      </c>
      <c r="N54" s="79">
        <f t="shared" si="25"/>
        <v>0</v>
      </c>
      <c r="O54" s="48"/>
      <c r="P54" s="84"/>
      <c r="Q54" s="81">
        <f t="shared" si="26"/>
        <v>0</v>
      </c>
      <c r="R54" s="79">
        <f t="shared" si="27"/>
        <v>0</v>
      </c>
      <c r="S54" s="49"/>
      <c r="T54" s="84"/>
      <c r="U54" s="81">
        <f t="shared" si="45"/>
        <v>0</v>
      </c>
      <c r="V54" s="79">
        <f t="shared" si="46"/>
        <v>0</v>
      </c>
      <c r="W54" s="49"/>
      <c r="X54" s="84"/>
      <c r="Y54" s="81">
        <f t="shared" si="47"/>
        <v>0</v>
      </c>
      <c r="Z54" s="79">
        <f t="shared" si="48"/>
        <v>0</v>
      </c>
      <c r="AA54" s="49"/>
      <c r="AB54" s="84"/>
      <c r="AC54" s="81">
        <f t="shared" si="49"/>
        <v>0</v>
      </c>
      <c r="AD54" s="79">
        <f t="shared" si="50"/>
        <v>0</v>
      </c>
      <c r="AE54" s="49"/>
      <c r="AF54" s="84"/>
      <c r="AG54" s="81">
        <f t="shared" si="23"/>
        <v>0</v>
      </c>
      <c r="AH54" s="79">
        <f t="shared" si="28"/>
        <v>0</v>
      </c>
      <c r="AI54" s="48"/>
      <c r="AJ54" s="84"/>
      <c r="AK54" s="81">
        <f t="shared" si="29"/>
        <v>0</v>
      </c>
      <c r="AL54" s="79">
        <f t="shared" si="30"/>
        <v>0</v>
      </c>
      <c r="AM54" s="48"/>
      <c r="AN54" s="84"/>
      <c r="AO54" s="81">
        <f t="shared" si="31"/>
        <v>0</v>
      </c>
      <c r="AP54" s="79">
        <f t="shared" si="32"/>
        <v>0</v>
      </c>
      <c r="AQ54" s="48"/>
      <c r="AR54" s="84"/>
      <c r="AS54" s="81">
        <f t="shared" si="33"/>
        <v>0</v>
      </c>
      <c r="AT54" s="79">
        <f t="shared" si="34"/>
        <v>0</v>
      </c>
      <c r="AU54" s="49"/>
      <c r="AV54" s="84"/>
      <c r="AW54" s="81">
        <v>0</v>
      </c>
      <c r="AX54" s="79">
        <v>0</v>
      </c>
      <c r="AY54" s="49"/>
      <c r="AZ54" s="84"/>
      <c r="BA54" s="81">
        <v>0</v>
      </c>
      <c r="BB54" s="79">
        <v>0</v>
      </c>
      <c r="BC54" s="49"/>
      <c r="BD54" s="84"/>
      <c r="BE54" s="81">
        <v>0</v>
      </c>
      <c r="BF54" s="79">
        <v>0</v>
      </c>
      <c r="BG54" s="49"/>
      <c r="BH54" s="84"/>
      <c r="BI54" s="81">
        <v>0</v>
      </c>
      <c r="BJ54" s="79">
        <v>0</v>
      </c>
      <c r="BK54" s="49"/>
      <c r="BL54" s="84"/>
      <c r="BM54" s="81">
        <v>0</v>
      </c>
      <c r="BN54" s="79">
        <v>0</v>
      </c>
      <c r="BO54" s="49"/>
      <c r="BP54" s="84"/>
      <c r="BQ54" s="81">
        <v>0</v>
      </c>
      <c r="BR54" s="79">
        <v>0</v>
      </c>
      <c r="BS54" s="49"/>
      <c r="BT54" s="84"/>
      <c r="BU54" s="81">
        <f t="shared" si="35"/>
        <v>0</v>
      </c>
      <c r="BV54" s="79">
        <f t="shared" si="36"/>
        <v>0</v>
      </c>
      <c r="BW54" s="48">
        <v>480</v>
      </c>
      <c r="BX54" s="84"/>
      <c r="BY54" s="81">
        <f t="shared" si="37"/>
        <v>0</v>
      </c>
      <c r="BZ54" s="79">
        <f t="shared" si="38"/>
        <v>0</v>
      </c>
      <c r="CA54" s="48"/>
      <c r="CB54" s="84"/>
      <c r="CC54" s="81">
        <v>0</v>
      </c>
      <c r="CD54" s="79">
        <v>0</v>
      </c>
      <c r="CE54" s="49"/>
      <c r="CF54" s="84"/>
      <c r="CG54" s="81">
        <f t="shared" si="39"/>
        <v>0</v>
      </c>
      <c r="CH54" s="79">
        <f t="shared" si="40"/>
        <v>0</v>
      </c>
      <c r="CI54" s="33"/>
      <c r="CJ54" s="84"/>
      <c r="CK54" s="81">
        <f t="shared" si="41"/>
        <v>0</v>
      </c>
      <c r="CL54" s="79">
        <f t="shared" si="42"/>
        <v>0</v>
      </c>
      <c r="CM54" s="34"/>
      <c r="CN54" s="34"/>
      <c r="CO54" s="34"/>
      <c r="CP54" s="34"/>
      <c r="CQ54" s="50">
        <f t="shared" si="43"/>
        <v>1</v>
      </c>
      <c r="CR54" s="77">
        <f t="shared" si="44"/>
        <v>0</v>
      </c>
      <c r="CS54" s="28"/>
    </row>
    <row r="55" spans="1:97">
      <c r="A55" s="38" t="s">
        <v>154</v>
      </c>
      <c r="B55" s="56"/>
      <c r="C55" s="31" t="s">
        <v>123</v>
      </c>
      <c r="D55" s="32"/>
      <c r="E55" s="32"/>
      <c r="F55" s="87"/>
      <c r="G55" s="48"/>
      <c r="H55" s="84"/>
      <c r="I55" s="80">
        <f t="shared" si="21"/>
        <v>0</v>
      </c>
      <c r="J55" s="79">
        <f t="shared" si="22"/>
        <v>0</v>
      </c>
      <c r="K55" s="49"/>
      <c r="L55" s="84"/>
      <c r="M55" s="81">
        <f t="shared" si="24"/>
        <v>0</v>
      </c>
      <c r="N55" s="79">
        <f t="shared" si="25"/>
        <v>0</v>
      </c>
      <c r="O55" s="48"/>
      <c r="P55" s="84"/>
      <c r="Q55" s="81">
        <f t="shared" si="26"/>
        <v>0</v>
      </c>
      <c r="R55" s="79">
        <f t="shared" si="27"/>
        <v>0</v>
      </c>
      <c r="S55" s="49"/>
      <c r="T55" s="84"/>
      <c r="U55" s="81">
        <f t="shared" si="45"/>
        <v>0</v>
      </c>
      <c r="V55" s="79">
        <f t="shared" si="46"/>
        <v>0</v>
      </c>
      <c r="W55" s="49"/>
      <c r="X55" s="84"/>
      <c r="Y55" s="81">
        <f t="shared" si="47"/>
        <v>0</v>
      </c>
      <c r="Z55" s="79">
        <f t="shared" si="48"/>
        <v>0</v>
      </c>
      <c r="AA55" s="49"/>
      <c r="AB55" s="84"/>
      <c r="AC55" s="81">
        <f t="shared" si="49"/>
        <v>0</v>
      </c>
      <c r="AD55" s="79">
        <f t="shared" si="50"/>
        <v>0</v>
      </c>
      <c r="AE55" s="49"/>
      <c r="AF55" s="84"/>
      <c r="AG55" s="81">
        <f t="shared" si="23"/>
        <v>0</v>
      </c>
      <c r="AH55" s="79">
        <f t="shared" si="28"/>
        <v>0</v>
      </c>
      <c r="AI55" s="48"/>
      <c r="AJ55" s="84"/>
      <c r="AK55" s="81">
        <f t="shared" si="29"/>
        <v>0</v>
      </c>
      <c r="AL55" s="79">
        <f t="shared" si="30"/>
        <v>0</v>
      </c>
      <c r="AM55" s="48"/>
      <c r="AN55" s="84"/>
      <c r="AO55" s="81">
        <f t="shared" si="31"/>
        <v>0</v>
      </c>
      <c r="AP55" s="79">
        <f t="shared" si="32"/>
        <v>0</v>
      </c>
      <c r="AQ55" s="48"/>
      <c r="AR55" s="84"/>
      <c r="AS55" s="81">
        <f t="shared" si="33"/>
        <v>0</v>
      </c>
      <c r="AT55" s="79">
        <f t="shared" si="34"/>
        <v>0</v>
      </c>
      <c r="AU55" s="49"/>
      <c r="AV55" s="84"/>
      <c r="AW55" s="81">
        <v>0</v>
      </c>
      <c r="AX55" s="79">
        <v>0</v>
      </c>
      <c r="AY55" s="49"/>
      <c r="AZ55" s="84"/>
      <c r="BA55" s="81">
        <v>0</v>
      </c>
      <c r="BB55" s="79">
        <v>0</v>
      </c>
      <c r="BC55" s="49"/>
      <c r="BD55" s="84"/>
      <c r="BE55" s="81">
        <v>0</v>
      </c>
      <c r="BF55" s="79">
        <v>0</v>
      </c>
      <c r="BG55" s="49"/>
      <c r="BH55" s="84"/>
      <c r="BI55" s="81">
        <v>0</v>
      </c>
      <c r="BJ55" s="79">
        <v>0</v>
      </c>
      <c r="BK55" s="49"/>
      <c r="BL55" s="84"/>
      <c r="BM55" s="81">
        <v>0</v>
      </c>
      <c r="BN55" s="79">
        <v>0</v>
      </c>
      <c r="BO55" s="49"/>
      <c r="BP55" s="84"/>
      <c r="BQ55" s="81">
        <v>0</v>
      </c>
      <c r="BR55" s="79">
        <v>0</v>
      </c>
      <c r="BS55" s="49"/>
      <c r="BT55" s="84"/>
      <c r="BU55" s="81">
        <f t="shared" si="35"/>
        <v>0</v>
      </c>
      <c r="BV55" s="79">
        <f t="shared" si="36"/>
        <v>0</v>
      </c>
      <c r="BW55" s="48">
        <v>3840</v>
      </c>
      <c r="BX55" s="84"/>
      <c r="BY55" s="81">
        <f t="shared" si="37"/>
        <v>0</v>
      </c>
      <c r="BZ55" s="79">
        <f t="shared" si="38"/>
        <v>0</v>
      </c>
      <c r="CA55" s="48"/>
      <c r="CB55" s="84"/>
      <c r="CC55" s="81">
        <v>0</v>
      </c>
      <c r="CD55" s="79">
        <v>0</v>
      </c>
      <c r="CE55" s="49"/>
      <c r="CF55" s="84"/>
      <c r="CG55" s="81">
        <f t="shared" si="39"/>
        <v>0</v>
      </c>
      <c r="CH55" s="79">
        <f t="shared" si="40"/>
        <v>0</v>
      </c>
      <c r="CI55" s="33"/>
      <c r="CJ55" s="84"/>
      <c r="CK55" s="81">
        <f t="shared" si="41"/>
        <v>0</v>
      </c>
      <c r="CL55" s="79">
        <f t="shared" si="42"/>
        <v>0</v>
      </c>
      <c r="CM55" s="34"/>
      <c r="CN55" s="34"/>
      <c r="CO55" s="34"/>
      <c r="CP55" s="34"/>
      <c r="CQ55" s="50">
        <f t="shared" si="43"/>
        <v>1</v>
      </c>
      <c r="CR55" s="77">
        <f t="shared" si="44"/>
        <v>0</v>
      </c>
      <c r="CS55" s="28"/>
    </row>
    <row r="56" spans="1:97">
      <c r="A56" s="30" t="s">
        <v>155</v>
      </c>
      <c r="B56" s="47"/>
      <c r="C56" s="63" t="s">
        <v>120</v>
      </c>
      <c r="D56" s="32"/>
      <c r="E56" s="32"/>
      <c r="F56" s="87"/>
      <c r="G56" s="48"/>
      <c r="H56" s="84"/>
      <c r="I56" s="80">
        <f t="shared" si="21"/>
        <v>0</v>
      </c>
      <c r="J56" s="79">
        <f t="shared" si="22"/>
        <v>0</v>
      </c>
      <c r="K56" s="49"/>
      <c r="L56" s="84"/>
      <c r="M56" s="81">
        <f t="shared" si="24"/>
        <v>0</v>
      </c>
      <c r="N56" s="79">
        <f t="shared" si="25"/>
        <v>0</v>
      </c>
      <c r="O56" s="48"/>
      <c r="P56" s="84"/>
      <c r="Q56" s="81">
        <f t="shared" si="26"/>
        <v>0</v>
      </c>
      <c r="R56" s="79">
        <f t="shared" si="27"/>
        <v>0</v>
      </c>
      <c r="S56" s="49"/>
      <c r="T56" s="84"/>
      <c r="U56" s="81">
        <f t="shared" si="45"/>
        <v>0</v>
      </c>
      <c r="V56" s="79">
        <f t="shared" si="46"/>
        <v>0</v>
      </c>
      <c r="W56" s="49"/>
      <c r="X56" s="84"/>
      <c r="Y56" s="81">
        <f t="shared" si="47"/>
        <v>0</v>
      </c>
      <c r="Z56" s="79">
        <f t="shared" si="48"/>
        <v>0</v>
      </c>
      <c r="AA56" s="49"/>
      <c r="AB56" s="84"/>
      <c r="AC56" s="81">
        <f t="shared" si="49"/>
        <v>0</v>
      </c>
      <c r="AD56" s="79">
        <f t="shared" si="50"/>
        <v>0</v>
      </c>
      <c r="AE56" s="49"/>
      <c r="AF56" s="84"/>
      <c r="AG56" s="81">
        <f t="shared" si="23"/>
        <v>0</v>
      </c>
      <c r="AH56" s="79">
        <f t="shared" si="28"/>
        <v>0</v>
      </c>
      <c r="AI56" s="48"/>
      <c r="AJ56" s="84"/>
      <c r="AK56" s="81">
        <f t="shared" si="29"/>
        <v>0</v>
      </c>
      <c r="AL56" s="79">
        <f t="shared" si="30"/>
        <v>0</v>
      </c>
      <c r="AM56" s="48"/>
      <c r="AN56" s="84"/>
      <c r="AO56" s="81">
        <f t="shared" si="31"/>
        <v>0</v>
      </c>
      <c r="AP56" s="79">
        <f t="shared" si="32"/>
        <v>0</v>
      </c>
      <c r="AQ56" s="48"/>
      <c r="AR56" s="84"/>
      <c r="AS56" s="81">
        <f t="shared" si="33"/>
        <v>0</v>
      </c>
      <c r="AT56" s="79">
        <f t="shared" si="34"/>
        <v>0</v>
      </c>
      <c r="AU56" s="49"/>
      <c r="AV56" s="84"/>
      <c r="AW56" s="81">
        <f t="shared" ref="AW56:AW59" si="51">AV56*CQ56</f>
        <v>0</v>
      </c>
      <c r="AX56" s="79">
        <f t="shared" ref="AX56:AX59" si="52">AU56*AW56</f>
        <v>0</v>
      </c>
      <c r="AY56" s="49"/>
      <c r="AZ56" s="84"/>
      <c r="BA56" s="81">
        <f t="shared" ref="BA56:BA59" si="53">AZ56*CQ56</f>
        <v>0</v>
      </c>
      <c r="BB56" s="79">
        <f t="shared" ref="BB56:BB59" si="54">AY56*BA56</f>
        <v>0</v>
      </c>
      <c r="BC56" s="49"/>
      <c r="BD56" s="84"/>
      <c r="BE56" s="81">
        <f t="shared" ref="BE56:BE59" si="55">BD56*CQ56</f>
        <v>0</v>
      </c>
      <c r="BF56" s="79">
        <f t="shared" ref="BF56:BF59" si="56">BC56*BE56</f>
        <v>0</v>
      </c>
      <c r="BG56" s="49"/>
      <c r="BH56" s="84"/>
      <c r="BI56" s="81">
        <f t="shared" ref="BI56:BI59" si="57">BH56*CQ56</f>
        <v>0</v>
      </c>
      <c r="BJ56" s="79">
        <f t="shared" ref="BJ56:BJ59" si="58">BG56*BI56</f>
        <v>0</v>
      </c>
      <c r="BK56" s="49"/>
      <c r="BL56" s="84"/>
      <c r="BM56" s="81">
        <f t="shared" ref="BM56:BM59" si="59">BL56*CQ56</f>
        <v>0</v>
      </c>
      <c r="BN56" s="79">
        <f t="shared" ref="BN56:BN59" si="60">BK56*BM56</f>
        <v>0</v>
      </c>
      <c r="BO56" s="49"/>
      <c r="BP56" s="84"/>
      <c r="BQ56" s="81">
        <f t="shared" ref="BQ56:BQ59" si="61">BP56*CQ56</f>
        <v>0</v>
      </c>
      <c r="BR56" s="79">
        <f t="shared" ref="BR56:BR59" si="62">BO56*BQ56</f>
        <v>0</v>
      </c>
      <c r="BS56" s="49"/>
      <c r="BT56" s="84"/>
      <c r="BU56" s="81">
        <f t="shared" si="35"/>
        <v>0</v>
      </c>
      <c r="BV56" s="79">
        <f t="shared" si="36"/>
        <v>0</v>
      </c>
      <c r="BW56" s="48">
        <v>480</v>
      </c>
      <c r="BX56" s="84"/>
      <c r="BY56" s="81">
        <f t="shared" si="37"/>
        <v>0</v>
      </c>
      <c r="BZ56" s="79">
        <f t="shared" si="38"/>
        <v>0</v>
      </c>
      <c r="CA56" s="48"/>
      <c r="CB56" s="84"/>
      <c r="CC56" s="81">
        <v>0</v>
      </c>
      <c r="CD56" s="79">
        <v>0</v>
      </c>
      <c r="CE56" s="49"/>
      <c r="CF56" s="84"/>
      <c r="CG56" s="81">
        <f t="shared" si="39"/>
        <v>0</v>
      </c>
      <c r="CH56" s="79">
        <f t="shared" si="40"/>
        <v>0</v>
      </c>
      <c r="CI56" s="33"/>
      <c r="CJ56" s="84"/>
      <c r="CK56" s="81">
        <f t="shared" si="41"/>
        <v>0</v>
      </c>
      <c r="CL56" s="79">
        <f t="shared" si="42"/>
        <v>0</v>
      </c>
      <c r="CM56" s="34"/>
      <c r="CN56" s="34"/>
      <c r="CO56" s="34"/>
      <c r="CP56" s="34"/>
      <c r="CQ56" s="50">
        <f t="shared" si="43"/>
        <v>1</v>
      </c>
      <c r="CR56" s="77">
        <f t="shared" si="44"/>
        <v>0</v>
      </c>
      <c r="CS56" s="28"/>
    </row>
    <row r="57" spans="1:97">
      <c r="A57" s="30" t="s">
        <v>155</v>
      </c>
      <c r="B57" s="47"/>
      <c r="C57" s="31" t="s">
        <v>121</v>
      </c>
      <c r="D57" s="32"/>
      <c r="E57" s="32"/>
      <c r="F57" s="87"/>
      <c r="G57" s="48"/>
      <c r="H57" s="84"/>
      <c r="I57" s="80">
        <f t="shared" si="21"/>
        <v>0</v>
      </c>
      <c r="J57" s="79">
        <f t="shared" si="22"/>
        <v>0</v>
      </c>
      <c r="K57" s="49"/>
      <c r="L57" s="84"/>
      <c r="M57" s="81">
        <f t="shared" si="24"/>
        <v>0</v>
      </c>
      <c r="N57" s="79">
        <f t="shared" si="25"/>
        <v>0</v>
      </c>
      <c r="O57" s="48"/>
      <c r="P57" s="84"/>
      <c r="Q57" s="81">
        <f t="shared" si="26"/>
        <v>0</v>
      </c>
      <c r="R57" s="79">
        <f t="shared" si="27"/>
        <v>0</v>
      </c>
      <c r="S57" s="49"/>
      <c r="T57" s="84"/>
      <c r="U57" s="81">
        <f t="shared" si="45"/>
        <v>0</v>
      </c>
      <c r="V57" s="79">
        <f t="shared" si="46"/>
        <v>0</v>
      </c>
      <c r="W57" s="49"/>
      <c r="X57" s="84"/>
      <c r="Y57" s="81">
        <f t="shared" si="47"/>
        <v>0</v>
      </c>
      <c r="Z57" s="79">
        <f t="shared" si="48"/>
        <v>0</v>
      </c>
      <c r="AA57" s="49"/>
      <c r="AB57" s="84"/>
      <c r="AC57" s="81">
        <f t="shared" si="49"/>
        <v>0</v>
      </c>
      <c r="AD57" s="79">
        <f t="shared" si="50"/>
        <v>0</v>
      </c>
      <c r="AE57" s="49"/>
      <c r="AF57" s="84"/>
      <c r="AG57" s="81">
        <f t="shared" si="23"/>
        <v>0</v>
      </c>
      <c r="AH57" s="79">
        <f t="shared" si="28"/>
        <v>0</v>
      </c>
      <c r="AI57" s="48"/>
      <c r="AJ57" s="84"/>
      <c r="AK57" s="81">
        <f t="shared" si="29"/>
        <v>0</v>
      </c>
      <c r="AL57" s="79">
        <f t="shared" si="30"/>
        <v>0</v>
      </c>
      <c r="AM57" s="48"/>
      <c r="AN57" s="84"/>
      <c r="AO57" s="81">
        <f t="shared" si="31"/>
        <v>0</v>
      </c>
      <c r="AP57" s="79">
        <f t="shared" si="32"/>
        <v>0</v>
      </c>
      <c r="AQ57" s="48"/>
      <c r="AR57" s="84"/>
      <c r="AS57" s="81">
        <f t="shared" si="33"/>
        <v>0</v>
      </c>
      <c r="AT57" s="79">
        <f t="shared" si="34"/>
        <v>0</v>
      </c>
      <c r="AU57" s="49"/>
      <c r="AV57" s="84"/>
      <c r="AW57" s="81">
        <f t="shared" si="51"/>
        <v>0</v>
      </c>
      <c r="AX57" s="79">
        <f t="shared" si="52"/>
        <v>0</v>
      </c>
      <c r="AY57" s="49"/>
      <c r="AZ57" s="84"/>
      <c r="BA57" s="81">
        <f t="shared" si="53"/>
        <v>0</v>
      </c>
      <c r="BB57" s="79">
        <f t="shared" si="54"/>
        <v>0</v>
      </c>
      <c r="BC57" s="49"/>
      <c r="BD57" s="84"/>
      <c r="BE57" s="81">
        <f t="shared" si="55"/>
        <v>0</v>
      </c>
      <c r="BF57" s="79">
        <f t="shared" si="56"/>
        <v>0</v>
      </c>
      <c r="BG57" s="49"/>
      <c r="BH57" s="84"/>
      <c r="BI57" s="81">
        <f t="shared" si="57"/>
        <v>0</v>
      </c>
      <c r="BJ57" s="79">
        <f t="shared" si="58"/>
        <v>0</v>
      </c>
      <c r="BK57" s="49"/>
      <c r="BL57" s="84"/>
      <c r="BM57" s="81">
        <f t="shared" si="59"/>
        <v>0</v>
      </c>
      <c r="BN57" s="79">
        <f t="shared" si="60"/>
        <v>0</v>
      </c>
      <c r="BO57" s="49"/>
      <c r="BP57" s="84"/>
      <c r="BQ57" s="81">
        <f t="shared" si="61"/>
        <v>0</v>
      </c>
      <c r="BR57" s="79">
        <f t="shared" si="62"/>
        <v>0</v>
      </c>
      <c r="BS57" s="49"/>
      <c r="BT57" s="84"/>
      <c r="BU57" s="81">
        <f t="shared" si="35"/>
        <v>0</v>
      </c>
      <c r="BV57" s="79">
        <f t="shared" si="36"/>
        <v>0</v>
      </c>
      <c r="BW57" s="48">
        <v>480</v>
      </c>
      <c r="BX57" s="84"/>
      <c r="BY57" s="81">
        <f t="shared" si="37"/>
        <v>0</v>
      </c>
      <c r="BZ57" s="79">
        <f t="shared" si="38"/>
        <v>0</v>
      </c>
      <c r="CA57" s="48"/>
      <c r="CB57" s="84"/>
      <c r="CC57" s="81">
        <v>0</v>
      </c>
      <c r="CD57" s="79">
        <v>0</v>
      </c>
      <c r="CE57" s="49"/>
      <c r="CF57" s="84"/>
      <c r="CG57" s="81">
        <f t="shared" si="39"/>
        <v>0</v>
      </c>
      <c r="CH57" s="79">
        <f t="shared" si="40"/>
        <v>0</v>
      </c>
      <c r="CI57" s="33"/>
      <c r="CJ57" s="84"/>
      <c r="CK57" s="81">
        <f t="shared" si="41"/>
        <v>0</v>
      </c>
      <c r="CL57" s="79">
        <f t="shared" si="42"/>
        <v>0</v>
      </c>
      <c r="CM57" s="34"/>
      <c r="CN57" s="34"/>
      <c r="CO57" s="34"/>
      <c r="CP57" s="34"/>
      <c r="CQ57" s="50">
        <f t="shared" si="43"/>
        <v>1</v>
      </c>
      <c r="CR57" s="77">
        <f t="shared" si="44"/>
        <v>0</v>
      </c>
      <c r="CS57" s="28"/>
    </row>
    <row r="58" spans="1:97">
      <c r="A58" s="30" t="s">
        <v>156</v>
      </c>
      <c r="B58" s="47"/>
      <c r="C58" s="31" t="s">
        <v>121</v>
      </c>
      <c r="D58" s="32"/>
      <c r="E58" s="32"/>
      <c r="F58" s="87"/>
      <c r="G58" s="48"/>
      <c r="H58" s="84"/>
      <c r="I58" s="80">
        <f t="shared" si="21"/>
        <v>0</v>
      </c>
      <c r="J58" s="79">
        <f t="shared" si="22"/>
        <v>0</v>
      </c>
      <c r="K58" s="49"/>
      <c r="L58" s="84"/>
      <c r="M58" s="81">
        <f t="shared" si="24"/>
        <v>0</v>
      </c>
      <c r="N58" s="79">
        <f t="shared" si="25"/>
        <v>0</v>
      </c>
      <c r="O58" s="48"/>
      <c r="P58" s="84"/>
      <c r="Q58" s="81">
        <f t="shared" si="26"/>
        <v>0</v>
      </c>
      <c r="R58" s="79">
        <f t="shared" si="27"/>
        <v>0</v>
      </c>
      <c r="S58" s="49"/>
      <c r="T58" s="84"/>
      <c r="U58" s="81">
        <f t="shared" si="45"/>
        <v>0</v>
      </c>
      <c r="V58" s="79">
        <f t="shared" si="46"/>
        <v>0</v>
      </c>
      <c r="W58" s="49"/>
      <c r="X58" s="84"/>
      <c r="Y58" s="81">
        <f t="shared" si="47"/>
        <v>0</v>
      </c>
      <c r="Z58" s="79">
        <f t="shared" si="48"/>
        <v>0</v>
      </c>
      <c r="AA58" s="49"/>
      <c r="AB58" s="84"/>
      <c r="AC58" s="81">
        <f t="shared" si="49"/>
        <v>0</v>
      </c>
      <c r="AD58" s="79">
        <f t="shared" si="50"/>
        <v>0</v>
      </c>
      <c r="AE58" s="49"/>
      <c r="AF58" s="84"/>
      <c r="AG58" s="81">
        <f t="shared" si="23"/>
        <v>0</v>
      </c>
      <c r="AH58" s="79">
        <f t="shared" si="28"/>
        <v>0</v>
      </c>
      <c r="AI58" s="48"/>
      <c r="AJ58" s="84"/>
      <c r="AK58" s="81">
        <f t="shared" si="29"/>
        <v>0</v>
      </c>
      <c r="AL58" s="79">
        <f t="shared" si="30"/>
        <v>0</v>
      </c>
      <c r="AM58" s="48"/>
      <c r="AN58" s="84"/>
      <c r="AO58" s="81">
        <f t="shared" si="31"/>
        <v>0</v>
      </c>
      <c r="AP58" s="79">
        <f t="shared" si="32"/>
        <v>0</v>
      </c>
      <c r="AQ58" s="48"/>
      <c r="AR58" s="84"/>
      <c r="AS58" s="81">
        <f t="shared" si="33"/>
        <v>0</v>
      </c>
      <c r="AT58" s="79">
        <f t="shared" si="34"/>
        <v>0</v>
      </c>
      <c r="AU58" s="49"/>
      <c r="AV58" s="84"/>
      <c r="AW58" s="81">
        <f t="shared" si="51"/>
        <v>0</v>
      </c>
      <c r="AX58" s="79">
        <f t="shared" si="52"/>
        <v>0</v>
      </c>
      <c r="AY58" s="49"/>
      <c r="AZ58" s="84"/>
      <c r="BA58" s="81">
        <f t="shared" si="53"/>
        <v>0</v>
      </c>
      <c r="BB58" s="79">
        <f t="shared" si="54"/>
        <v>0</v>
      </c>
      <c r="BC58" s="49"/>
      <c r="BD58" s="84"/>
      <c r="BE58" s="81">
        <f t="shared" si="55"/>
        <v>0</v>
      </c>
      <c r="BF58" s="79">
        <f t="shared" si="56"/>
        <v>0</v>
      </c>
      <c r="BG58" s="49"/>
      <c r="BH58" s="84"/>
      <c r="BI58" s="81">
        <f t="shared" si="57"/>
        <v>0</v>
      </c>
      <c r="BJ58" s="79">
        <f t="shared" si="58"/>
        <v>0</v>
      </c>
      <c r="BK58" s="49"/>
      <c r="BL58" s="84"/>
      <c r="BM58" s="81">
        <f t="shared" si="59"/>
        <v>0</v>
      </c>
      <c r="BN58" s="79">
        <f t="shared" si="60"/>
        <v>0</v>
      </c>
      <c r="BO58" s="49"/>
      <c r="BP58" s="84"/>
      <c r="BQ58" s="81">
        <f t="shared" si="61"/>
        <v>0</v>
      </c>
      <c r="BR58" s="79">
        <f t="shared" si="62"/>
        <v>0</v>
      </c>
      <c r="BS58" s="49"/>
      <c r="BT58" s="84"/>
      <c r="BU58" s="81">
        <f t="shared" si="35"/>
        <v>0</v>
      </c>
      <c r="BV58" s="79">
        <f t="shared" si="36"/>
        <v>0</v>
      </c>
      <c r="BW58" s="48">
        <v>5760</v>
      </c>
      <c r="BX58" s="84"/>
      <c r="BY58" s="81">
        <f t="shared" si="37"/>
        <v>0</v>
      </c>
      <c r="BZ58" s="79">
        <f t="shared" si="38"/>
        <v>0</v>
      </c>
      <c r="CA58" s="48"/>
      <c r="CB58" s="84"/>
      <c r="CC58" s="81">
        <v>0</v>
      </c>
      <c r="CD58" s="79">
        <v>0</v>
      </c>
      <c r="CE58" s="49">
        <v>24960</v>
      </c>
      <c r="CF58" s="84"/>
      <c r="CG58" s="81">
        <f t="shared" si="39"/>
        <v>0</v>
      </c>
      <c r="CH58" s="79">
        <f t="shared" si="40"/>
        <v>0</v>
      </c>
      <c r="CI58" s="33"/>
      <c r="CJ58" s="84"/>
      <c r="CK58" s="81">
        <f t="shared" si="41"/>
        <v>0</v>
      </c>
      <c r="CL58" s="79">
        <f t="shared" si="42"/>
        <v>0</v>
      </c>
      <c r="CM58" s="34"/>
      <c r="CN58" s="34"/>
      <c r="CO58" s="34"/>
      <c r="CP58" s="34"/>
      <c r="CQ58" s="50">
        <f t="shared" si="43"/>
        <v>1</v>
      </c>
      <c r="CR58" s="77">
        <f t="shared" si="44"/>
        <v>0</v>
      </c>
      <c r="CS58" s="28"/>
    </row>
    <row r="59" spans="1:97" ht="15.75" thickBot="1">
      <c r="A59" s="40" t="s">
        <v>157</v>
      </c>
      <c r="B59" s="57"/>
      <c r="C59" s="41" t="s">
        <v>121</v>
      </c>
      <c r="D59" s="42"/>
      <c r="E59" s="42"/>
      <c r="F59" s="88"/>
      <c r="G59" s="58"/>
      <c r="H59" s="85"/>
      <c r="I59" s="80">
        <f t="shared" si="21"/>
        <v>0</v>
      </c>
      <c r="J59" s="79">
        <f t="shared" si="22"/>
        <v>0</v>
      </c>
      <c r="K59" s="59"/>
      <c r="L59" s="85"/>
      <c r="M59" s="82">
        <f t="shared" si="24"/>
        <v>0</v>
      </c>
      <c r="N59" s="79">
        <f t="shared" si="25"/>
        <v>0</v>
      </c>
      <c r="O59" s="58"/>
      <c r="P59" s="85"/>
      <c r="Q59" s="82">
        <f t="shared" si="26"/>
        <v>0</v>
      </c>
      <c r="R59" s="79">
        <f t="shared" si="27"/>
        <v>0</v>
      </c>
      <c r="S59" s="59"/>
      <c r="T59" s="85"/>
      <c r="U59" s="82">
        <f t="shared" si="45"/>
        <v>0</v>
      </c>
      <c r="V59" s="79">
        <f t="shared" si="46"/>
        <v>0</v>
      </c>
      <c r="W59" s="59"/>
      <c r="X59" s="85"/>
      <c r="Y59" s="82">
        <f t="shared" si="47"/>
        <v>0</v>
      </c>
      <c r="Z59" s="79">
        <f t="shared" si="48"/>
        <v>0</v>
      </c>
      <c r="AA59" s="59"/>
      <c r="AB59" s="85"/>
      <c r="AC59" s="82">
        <f t="shared" si="49"/>
        <v>0</v>
      </c>
      <c r="AD59" s="79">
        <f t="shared" si="50"/>
        <v>0</v>
      </c>
      <c r="AE59" s="59"/>
      <c r="AF59" s="85"/>
      <c r="AG59" s="82">
        <f t="shared" si="23"/>
        <v>0</v>
      </c>
      <c r="AH59" s="79">
        <f t="shared" si="28"/>
        <v>0</v>
      </c>
      <c r="AI59" s="58"/>
      <c r="AJ59" s="85"/>
      <c r="AK59" s="82">
        <f t="shared" si="29"/>
        <v>0</v>
      </c>
      <c r="AL59" s="79">
        <f t="shared" si="30"/>
        <v>0</v>
      </c>
      <c r="AM59" s="58"/>
      <c r="AN59" s="85"/>
      <c r="AO59" s="82">
        <f t="shared" si="31"/>
        <v>0</v>
      </c>
      <c r="AP59" s="79">
        <f t="shared" si="32"/>
        <v>0</v>
      </c>
      <c r="AQ59" s="58"/>
      <c r="AR59" s="85"/>
      <c r="AS59" s="82">
        <f t="shared" si="33"/>
        <v>0</v>
      </c>
      <c r="AT59" s="79">
        <f t="shared" si="34"/>
        <v>0</v>
      </c>
      <c r="AU59" s="59"/>
      <c r="AV59" s="85"/>
      <c r="AW59" s="82">
        <f t="shared" si="51"/>
        <v>0</v>
      </c>
      <c r="AX59" s="79">
        <f t="shared" si="52"/>
        <v>0</v>
      </c>
      <c r="AY59" s="59"/>
      <c r="AZ59" s="85"/>
      <c r="BA59" s="82">
        <f t="shared" si="53"/>
        <v>0</v>
      </c>
      <c r="BB59" s="79">
        <f t="shared" si="54"/>
        <v>0</v>
      </c>
      <c r="BC59" s="59"/>
      <c r="BD59" s="85"/>
      <c r="BE59" s="82">
        <f t="shared" si="55"/>
        <v>0</v>
      </c>
      <c r="BF59" s="79">
        <f t="shared" si="56"/>
        <v>0</v>
      </c>
      <c r="BG59" s="59"/>
      <c r="BH59" s="85"/>
      <c r="BI59" s="82">
        <f t="shared" si="57"/>
        <v>0</v>
      </c>
      <c r="BJ59" s="79">
        <f t="shared" si="58"/>
        <v>0</v>
      </c>
      <c r="BK59" s="59"/>
      <c r="BL59" s="85"/>
      <c r="BM59" s="82">
        <f t="shared" si="59"/>
        <v>0</v>
      </c>
      <c r="BN59" s="79">
        <f t="shared" si="60"/>
        <v>0</v>
      </c>
      <c r="BO59" s="59"/>
      <c r="BP59" s="85"/>
      <c r="BQ59" s="82">
        <f t="shared" si="61"/>
        <v>0</v>
      </c>
      <c r="BR59" s="79">
        <f t="shared" si="62"/>
        <v>0</v>
      </c>
      <c r="BS59" s="59"/>
      <c r="BT59" s="85"/>
      <c r="BU59" s="82">
        <f t="shared" si="35"/>
        <v>0</v>
      </c>
      <c r="BV59" s="79">
        <f t="shared" si="36"/>
        <v>0</v>
      </c>
      <c r="BW59" s="58">
        <v>1920</v>
      </c>
      <c r="BX59" s="85"/>
      <c r="BY59" s="82">
        <f t="shared" si="37"/>
        <v>0</v>
      </c>
      <c r="BZ59" s="79">
        <f t="shared" si="38"/>
        <v>0</v>
      </c>
      <c r="CA59" s="58"/>
      <c r="CB59" s="85"/>
      <c r="CC59" s="82">
        <v>0</v>
      </c>
      <c r="CD59" s="79">
        <v>0</v>
      </c>
      <c r="CE59" s="59"/>
      <c r="CF59" s="85"/>
      <c r="CG59" s="82">
        <f t="shared" si="39"/>
        <v>0</v>
      </c>
      <c r="CH59" s="79">
        <f t="shared" si="40"/>
        <v>0</v>
      </c>
      <c r="CI59" s="39"/>
      <c r="CJ59" s="85"/>
      <c r="CK59" s="82">
        <f t="shared" si="41"/>
        <v>0</v>
      </c>
      <c r="CL59" s="79">
        <f t="shared" si="42"/>
        <v>0</v>
      </c>
      <c r="CM59" s="44"/>
      <c r="CN59" s="44"/>
      <c r="CO59" s="44"/>
      <c r="CP59" s="44"/>
      <c r="CQ59" s="60">
        <f t="shared" si="43"/>
        <v>1</v>
      </c>
      <c r="CR59" s="77">
        <f t="shared" si="44"/>
        <v>0</v>
      </c>
      <c r="CS59" s="28"/>
    </row>
    <row r="60" spans="1:97" ht="15.75" thickBot="1">
      <c r="A60" s="45"/>
      <c r="B60" s="45"/>
      <c r="C60" s="45"/>
      <c r="D60" s="45"/>
      <c r="E60" s="45"/>
      <c r="F60" s="45"/>
      <c r="G60" s="45"/>
      <c r="H60" s="45"/>
      <c r="I60" s="45"/>
      <c r="J60" s="78">
        <f>SUM(J11:J59)</f>
        <v>0</v>
      </c>
      <c r="K60" s="45"/>
      <c r="L60" s="45"/>
      <c r="M60" s="45"/>
      <c r="N60" s="78">
        <f>SUM(N11:N59)</f>
        <v>0</v>
      </c>
      <c r="O60" s="45"/>
      <c r="P60" s="45"/>
      <c r="Q60" s="45"/>
      <c r="R60" s="78">
        <f>SUM(R11:R59)</f>
        <v>0</v>
      </c>
      <c r="S60" s="45"/>
      <c r="T60" s="45"/>
      <c r="U60" s="45"/>
      <c r="V60" s="78">
        <f>SUM(V11:V59)</f>
        <v>0</v>
      </c>
      <c r="W60" s="45"/>
      <c r="X60" s="45"/>
      <c r="Y60" s="45"/>
      <c r="Z60" s="78">
        <f>SUM(Z11:Z59)</f>
        <v>0</v>
      </c>
      <c r="AA60" s="45"/>
      <c r="AB60" s="45"/>
      <c r="AC60" s="45"/>
      <c r="AD60" s="78">
        <f>SUM(AD11:AD59)</f>
        <v>0</v>
      </c>
      <c r="AE60" s="45"/>
      <c r="AF60" s="45"/>
      <c r="AG60" s="45"/>
      <c r="AH60" s="78">
        <f>SUM(AH11:AH59)</f>
        <v>0</v>
      </c>
      <c r="AI60" s="45"/>
      <c r="AJ60" s="45"/>
      <c r="AK60" s="45"/>
      <c r="AL60" s="78">
        <f>SUM(AL11:AL59)</f>
        <v>0</v>
      </c>
      <c r="AM60" s="45"/>
      <c r="AN60" s="45"/>
      <c r="AO60" s="45"/>
      <c r="AP60" s="78">
        <f>SUM(AP11:AP59)</f>
        <v>0</v>
      </c>
      <c r="AQ60" s="45"/>
      <c r="AR60" s="45"/>
      <c r="AS60" s="45"/>
      <c r="AT60" s="78">
        <f>SUM(AT11:AT59)</f>
        <v>0</v>
      </c>
      <c r="AU60" s="45"/>
      <c r="AV60" s="45"/>
      <c r="AW60" s="45"/>
      <c r="AX60" s="78">
        <f>SUM(AX11:AX59)</f>
        <v>0</v>
      </c>
      <c r="AY60" s="45"/>
      <c r="AZ60" s="45"/>
      <c r="BA60" s="45"/>
      <c r="BB60" s="78">
        <f>SUM(BB11:BB59)</f>
        <v>0</v>
      </c>
      <c r="BC60" s="45"/>
      <c r="BD60" s="45"/>
      <c r="BE60" s="45"/>
      <c r="BF60" s="78">
        <f>SUM(BF11:BF59)</f>
        <v>0</v>
      </c>
      <c r="BG60" s="45"/>
      <c r="BH60" s="45"/>
      <c r="BI60" s="45"/>
      <c r="BJ60" s="78">
        <f>SUM(BJ11:BJ59)</f>
        <v>0</v>
      </c>
      <c r="BK60" s="45"/>
      <c r="BL60" s="45"/>
      <c r="BM60" s="45"/>
      <c r="BN60" s="78">
        <f>SUM(BN11:BN59)</f>
        <v>0</v>
      </c>
      <c r="BO60" s="45"/>
      <c r="BP60" s="45"/>
      <c r="BQ60" s="45"/>
      <c r="BR60" s="78">
        <f>SUM(BR11:BR59)</f>
        <v>0</v>
      </c>
      <c r="BS60" s="45"/>
      <c r="BT60" s="45"/>
      <c r="BU60" s="45"/>
      <c r="BV60" s="78">
        <f>SUM(BV11:BV59)</f>
        <v>0</v>
      </c>
      <c r="BW60" s="45"/>
      <c r="BX60" s="45"/>
      <c r="BY60" s="45"/>
      <c r="BZ60" s="78">
        <f>SUM(BZ11:BZ59)</f>
        <v>0</v>
      </c>
      <c r="CA60" s="45"/>
      <c r="CB60" s="45"/>
      <c r="CC60" s="45"/>
      <c r="CD60" s="78">
        <f>SUM(CD11:CD59)</f>
        <v>0</v>
      </c>
      <c r="CE60" s="45"/>
      <c r="CF60" s="45"/>
      <c r="CG60" s="45"/>
      <c r="CH60" s="78">
        <f>SUM(CH11:CH59)</f>
        <v>0</v>
      </c>
      <c r="CI60" s="45"/>
      <c r="CJ60" s="45"/>
      <c r="CK60" s="45"/>
      <c r="CL60" s="78">
        <f>SUM(CL11:CL59)</f>
        <v>0</v>
      </c>
      <c r="CM60" s="45"/>
      <c r="CN60" s="45"/>
      <c r="CO60" s="131" t="s">
        <v>158</v>
      </c>
      <c r="CP60" s="132"/>
      <c r="CQ60" s="133"/>
      <c r="CR60" s="106">
        <f>SUM(CR11:CR59)</f>
        <v>0</v>
      </c>
    </row>
    <row r="61" spans="1:97" ht="24" thickBot="1">
      <c r="A61" s="93" t="s">
        <v>159</v>
      </c>
      <c r="B61" s="96" t="s">
        <v>160</v>
      </c>
      <c r="C61" s="95" t="s">
        <v>203</v>
      </c>
    </row>
    <row r="62" spans="1:97">
      <c r="A62" s="94" t="s">
        <v>200</v>
      </c>
      <c r="B62" s="97">
        <f>J60</f>
        <v>0</v>
      </c>
      <c r="C62" s="104" t="e">
        <f>(B62/'Proposal Summary'!$D$12)</f>
        <v>#DIV/0!</v>
      </c>
    </row>
    <row r="63" spans="1:97">
      <c r="A63" s="91" t="s">
        <v>163</v>
      </c>
      <c r="B63" s="99">
        <f>N60</f>
        <v>0</v>
      </c>
      <c r="C63" s="104" t="e">
        <f>(B63/'Proposal Summary'!$D$12)</f>
        <v>#DIV/0!</v>
      </c>
    </row>
    <row r="64" spans="1:97">
      <c r="A64" s="91" t="s">
        <v>164</v>
      </c>
      <c r="B64" s="99">
        <f>R60</f>
        <v>0</v>
      </c>
      <c r="C64" s="104" t="e">
        <f>(B64/'Proposal Summary'!$D$12)</f>
        <v>#DIV/0!</v>
      </c>
    </row>
    <row r="65" spans="1:3">
      <c r="A65" s="91" t="s">
        <v>165</v>
      </c>
      <c r="B65" s="99">
        <f>V60</f>
        <v>0</v>
      </c>
      <c r="C65" s="104" t="e">
        <f>(B65/'Proposal Summary'!$D$12)</f>
        <v>#DIV/0!</v>
      </c>
    </row>
    <row r="66" spans="1:3">
      <c r="A66" s="91" t="s">
        <v>166</v>
      </c>
      <c r="B66" s="99">
        <f>Z60</f>
        <v>0</v>
      </c>
      <c r="C66" s="104" t="e">
        <f>(B66/'Proposal Summary'!$D$12)</f>
        <v>#DIV/0!</v>
      </c>
    </row>
    <row r="67" spans="1:3">
      <c r="A67" s="91" t="s">
        <v>167</v>
      </c>
      <c r="B67" s="99">
        <f>AD60</f>
        <v>0</v>
      </c>
      <c r="C67" s="104" t="e">
        <f>(B67/'Proposal Summary'!$D$12)</f>
        <v>#DIV/0!</v>
      </c>
    </row>
    <row r="68" spans="1:3">
      <c r="A68" s="91" t="s">
        <v>168</v>
      </c>
      <c r="B68" s="99">
        <f>AH60</f>
        <v>0</v>
      </c>
      <c r="C68" s="104" t="e">
        <f>(B68/'Proposal Summary'!$D$12)</f>
        <v>#DIV/0!</v>
      </c>
    </row>
    <row r="69" spans="1:3">
      <c r="A69" s="91" t="s">
        <v>169</v>
      </c>
      <c r="B69" s="99">
        <f>AL60</f>
        <v>0</v>
      </c>
      <c r="C69" s="104" t="e">
        <f>(B69/'Proposal Summary'!$D$12)</f>
        <v>#DIV/0!</v>
      </c>
    </row>
    <row r="70" spans="1:3">
      <c r="A70" s="91" t="s">
        <v>170</v>
      </c>
      <c r="B70" s="99">
        <f>AP60</f>
        <v>0</v>
      </c>
      <c r="C70" s="104" t="e">
        <f>(B70/'Proposal Summary'!$D$12)</f>
        <v>#DIV/0!</v>
      </c>
    </row>
    <row r="71" spans="1:3">
      <c r="A71" s="91" t="s">
        <v>171</v>
      </c>
      <c r="B71" s="99">
        <f>AT60</f>
        <v>0</v>
      </c>
      <c r="C71" s="104" t="e">
        <f>(B71/'Proposal Summary'!$D$12)</f>
        <v>#DIV/0!</v>
      </c>
    </row>
    <row r="72" spans="1:3">
      <c r="A72" s="91" t="s">
        <v>172</v>
      </c>
      <c r="B72" s="99">
        <f>AX60</f>
        <v>0</v>
      </c>
      <c r="C72" s="104" t="e">
        <f>(B72/'Proposal Summary'!$D$12)</f>
        <v>#DIV/0!</v>
      </c>
    </row>
    <row r="73" spans="1:3">
      <c r="A73" s="91" t="s">
        <v>173</v>
      </c>
      <c r="B73" s="99">
        <f>BB60</f>
        <v>0</v>
      </c>
      <c r="C73" s="104" t="e">
        <f>(B73/'Proposal Summary'!$D$12)</f>
        <v>#DIV/0!</v>
      </c>
    </row>
    <row r="74" spans="1:3">
      <c r="A74" s="91" t="s">
        <v>174</v>
      </c>
      <c r="B74" s="99">
        <f>BF60</f>
        <v>0</v>
      </c>
      <c r="C74" s="104" t="e">
        <f>(B74/'Proposal Summary'!$D$12)</f>
        <v>#DIV/0!</v>
      </c>
    </row>
    <row r="75" spans="1:3">
      <c r="A75" s="91" t="s">
        <v>175</v>
      </c>
      <c r="B75" s="99">
        <f>BJ60</f>
        <v>0</v>
      </c>
      <c r="C75" s="104" t="e">
        <f>(B75/'Proposal Summary'!$D$12)</f>
        <v>#DIV/0!</v>
      </c>
    </row>
    <row r="76" spans="1:3">
      <c r="A76" s="91" t="s">
        <v>176</v>
      </c>
      <c r="B76" s="99">
        <f>BN60</f>
        <v>0</v>
      </c>
      <c r="C76" s="104" t="e">
        <f>(B76/'Proposal Summary'!$D$12)</f>
        <v>#DIV/0!</v>
      </c>
    </row>
    <row r="77" spans="1:3">
      <c r="A77" s="91" t="s">
        <v>177</v>
      </c>
      <c r="B77" s="99">
        <f>BR60</f>
        <v>0</v>
      </c>
      <c r="C77" s="104" t="e">
        <f>(B77/'Proposal Summary'!$D$12)</f>
        <v>#DIV/0!</v>
      </c>
    </row>
    <row r="78" spans="1:3">
      <c r="A78" s="91" t="s">
        <v>178</v>
      </c>
      <c r="B78" s="99">
        <f>BV60</f>
        <v>0</v>
      </c>
      <c r="C78" s="104" t="e">
        <f>(B78/'Proposal Summary'!$D$12)</f>
        <v>#DIV/0!</v>
      </c>
    </row>
    <row r="79" spans="1:3">
      <c r="A79" s="91" t="s">
        <v>179</v>
      </c>
      <c r="B79" s="99">
        <f>BZ60</f>
        <v>0</v>
      </c>
      <c r="C79" s="104" t="e">
        <f>(B79/'Proposal Summary'!$D$12)</f>
        <v>#DIV/0!</v>
      </c>
    </row>
    <row r="80" spans="1:3">
      <c r="A80" s="91" t="s">
        <v>180</v>
      </c>
      <c r="B80" s="99">
        <f>CD60</f>
        <v>0</v>
      </c>
      <c r="C80" s="104" t="e">
        <f>(B80/'Proposal Summary'!$D$12)</f>
        <v>#DIV/0!</v>
      </c>
    </row>
    <row r="81" spans="1:3">
      <c r="A81" s="91" t="s">
        <v>181</v>
      </c>
      <c r="B81" s="99">
        <f>CH60</f>
        <v>0</v>
      </c>
      <c r="C81" s="104" t="e">
        <f>(B81/'Proposal Summary'!$D$12)</f>
        <v>#DIV/0!</v>
      </c>
    </row>
    <row r="82" spans="1:3">
      <c r="A82" s="91" t="s">
        <v>182</v>
      </c>
      <c r="B82" s="99">
        <f>CL60</f>
        <v>0</v>
      </c>
      <c r="C82" s="104" t="e">
        <f>(B82/'Proposal Summary'!$D$12)</f>
        <v>#DIV/0!</v>
      </c>
    </row>
  </sheetData>
  <mergeCells count="2">
    <mergeCell ref="A1:B1"/>
    <mergeCell ref="CO60:CQ60"/>
  </mergeCells>
  <dataValidations count="1">
    <dataValidation type="list" allowBlank="1" showInputMessage="1" showErrorMessage="1" sqref="D11:E59" xr:uid="{F8F95B8F-B887-4E5F-8E21-8A825B093427}">
      <formula1>"Yes, No"</formula1>
    </dataValidation>
  </dataValidations>
  <pageMargins left="0.25" right="0.25" top="0.75" bottom="0.75" header="0.3" footer="0.3"/>
  <pageSetup paperSize="5" scale="10" fitToHeight="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24C23-A913-4A6A-AD7F-F3EB27CAD79C}">
  <sheetPr codeName="Sheet5">
    <pageSetUpPr fitToPage="1"/>
  </sheetPr>
  <dimension ref="A1:CS82"/>
  <sheetViews>
    <sheetView zoomScale="70" zoomScaleNormal="70" workbookViewId="0">
      <selection activeCell="C3" sqref="C3"/>
    </sheetView>
  </sheetViews>
  <sheetFormatPr defaultColWidth="9.140625" defaultRowHeight="15"/>
  <cols>
    <col min="1" max="1" width="63.85546875" style="17" bestFit="1" customWidth="1"/>
    <col min="2" max="2" width="40.140625" style="17" bestFit="1" customWidth="1"/>
    <col min="3" max="3" width="38.85546875" style="17" bestFit="1" customWidth="1"/>
    <col min="4" max="4" width="29.7109375" style="17" bestFit="1" customWidth="1"/>
    <col min="5" max="5" width="22.85546875" style="17" bestFit="1" customWidth="1"/>
    <col min="6" max="6" width="19.7109375" style="17" bestFit="1" customWidth="1"/>
    <col min="7" max="7" width="21.140625" style="17" customWidth="1"/>
    <col min="8" max="10" width="20" style="17" customWidth="1"/>
    <col min="11" max="11" width="24.5703125" style="17" customWidth="1"/>
    <col min="12" max="12" width="25.42578125" style="17" customWidth="1"/>
    <col min="13" max="13" width="20" style="17" customWidth="1"/>
    <col min="14" max="27" width="20.28515625" style="17" customWidth="1"/>
    <col min="28" max="28" width="22.140625" style="17" customWidth="1"/>
    <col min="29" max="30" width="20" style="17" customWidth="1"/>
    <col min="31" max="31" width="22.140625" style="17" customWidth="1"/>
    <col min="32" max="32" width="24.5703125" style="17" customWidth="1"/>
    <col min="33" max="33" width="25.42578125" style="17" customWidth="1"/>
    <col min="34" max="57" width="20" style="17" customWidth="1"/>
    <col min="58" max="58" width="21.5703125" style="17" customWidth="1"/>
    <col min="59" max="60" width="23.28515625" style="17" customWidth="1"/>
    <col min="61" max="63" width="20" style="17" customWidth="1"/>
    <col min="64" max="65" width="26.85546875" style="17" bestFit="1" customWidth="1"/>
    <col min="66" max="66" width="20" style="17" customWidth="1"/>
    <col min="67" max="67" width="24.28515625" style="17" bestFit="1" customWidth="1"/>
    <col min="68" max="68" width="21.7109375" style="17" bestFit="1" customWidth="1"/>
    <col min="69" max="69" width="21.7109375" style="17" customWidth="1"/>
    <col min="70" max="70" width="22.7109375" style="17" bestFit="1" customWidth="1"/>
    <col min="71" max="72" width="20" style="17" customWidth="1"/>
    <col min="73" max="73" width="24.42578125" style="17" bestFit="1" customWidth="1"/>
    <col min="74" max="74" width="34.140625" style="17" bestFit="1" customWidth="1"/>
    <col min="75" max="75" width="35.42578125" style="17" bestFit="1" customWidth="1"/>
    <col min="76" max="76" width="30.5703125" style="17" bestFit="1" customWidth="1"/>
    <col min="77" max="77" width="16.85546875" style="17" customWidth="1"/>
    <col min="78" max="78" width="17.28515625" style="17" customWidth="1"/>
    <col min="79" max="79" width="19.28515625" style="17" customWidth="1"/>
    <col min="80" max="80" width="18.7109375" style="17" customWidth="1"/>
    <col min="81" max="82" width="13" style="17" customWidth="1"/>
    <col min="83" max="83" width="14.42578125" style="17" customWidth="1"/>
    <col min="84" max="84" width="14.85546875" style="17" customWidth="1"/>
    <col min="85" max="85" width="20.42578125" style="17" customWidth="1"/>
    <col min="86" max="86" width="17.7109375" style="17" customWidth="1"/>
    <col min="87" max="87" width="14.42578125" style="17" customWidth="1"/>
    <col min="88" max="88" width="15" style="17" bestFit="1" customWidth="1"/>
    <col min="89" max="89" width="14.5703125" style="17" bestFit="1" customWidth="1"/>
    <col min="90" max="90" width="14.85546875" style="17" bestFit="1" customWidth="1"/>
    <col min="91" max="92" width="10" style="17" bestFit="1" customWidth="1"/>
    <col min="93" max="93" width="9.140625" style="17"/>
    <col min="94" max="94" width="10" style="17" bestFit="1" customWidth="1"/>
    <col min="95" max="16384" width="9.140625" style="17"/>
  </cols>
  <sheetData>
    <row r="1" spans="1:97" ht="36">
      <c r="A1" s="138" t="s">
        <v>11</v>
      </c>
      <c r="B1" s="139"/>
    </row>
    <row r="2" spans="1:97">
      <c r="A2" s="18" t="s">
        <v>4</v>
      </c>
      <c r="B2" s="18" t="s">
        <v>5</v>
      </c>
      <c r="C2" s="18" t="s">
        <v>6</v>
      </c>
      <c r="D2" s="19"/>
      <c r="E2" s="19"/>
      <c r="F2" s="18" t="s">
        <v>21</v>
      </c>
      <c r="G2" s="18" t="s">
        <v>7</v>
      </c>
    </row>
    <row r="3" spans="1:97" s="1" customFormat="1">
      <c r="A3" s="101" t="s">
        <v>11</v>
      </c>
      <c r="B3" s="102">
        <v>47346</v>
      </c>
      <c r="C3" s="102">
        <v>47710</v>
      </c>
      <c r="D3" s="21"/>
      <c r="E3" s="21"/>
      <c r="F3" s="103">
        <v>0.03</v>
      </c>
      <c r="G3" s="23">
        <f>Q59</f>
        <v>0</v>
      </c>
    </row>
    <row r="6" spans="1:97">
      <c r="A6" s="24" t="s">
        <v>22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9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9" spans="1:97" ht="15.75" thickBot="1"/>
    <row r="10" spans="1:97" s="29" customFormat="1" ht="63.75" customHeight="1" thickBot="1">
      <c r="A10" s="69" t="s">
        <v>23</v>
      </c>
      <c r="B10" s="70" t="s">
        <v>24</v>
      </c>
      <c r="C10" s="70" t="s">
        <v>25</v>
      </c>
      <c r="D10" s="70" t="s">
        <v>26</v>
      </c>
      <c r="E10" s="70" t="s">
        <v>27</v>
      </c>
      <c r="F10" s="70" t="s">
        <v>28</v>
      </c>
      <c r="G10" s="116" t="s">
        <v>29</v>
      </c>
      <c r="H10" s="70" t="s">
        <v>183</v>
      </c>
      <c r="I10" s="72" t="s">
        <v>184</v>
      </c>
      <c r="J10" s="73" t="s">
        <v>185</v>
      </c>
      <c r="K10" s="72" t="s">
        <v>33</v>
      </c>
      <c r="L10" s="72" t="s">
        <v>34</v>
      </c>
      <c r="M10" s="72" t="s">
        <v>35</v>
      </c>
      <c r="N10" s="73" t="s">
        <v>36</v>
      </c>
      <c r="O10" s="116" t="s">
        <v>202</v>
      </c>
      <c r="P10" s="74" t="s">
        <v>186</v>
      </c>
      <c r="Q10" s="75" t="s">
        <v>187</v>
      </c>
      <c r="R10" s="73" t="s">
        <v>188</v>
      </c>
      <c r="S10" s="75" t="s">
        <v>41</v>
      </c>
      <c r="T10" s="75" t="s">
        <v>42</v>
      </c>
      <c r="U10" s="75" t="s">
        <v>43</v>
      </c>
      <c r="V10" s="73" t="s">
        <v>44</v>
      </c>
      <c r="W10" s="75" t="s">
        <v>45</v>
      </c>
      <c r="X10" s="75" t="s">
        <v>46</v>
      </c>
      <c r="Y10" s="75" t="s">
        <v>47</v>
      </c>
      <c r="Z10" s="73" t="s">
        <v>48</v>
      </c>
      <c r="AA10" s="75" t="s">
        <v>49</v>
      </c>
      <c r="AB10" s="75" t="s">
        <v>50</v>
      </c>
      <c r="AC10" s="75" t="s">
        <v>51</v>
      </c>
      <c r="AD10" s="73" t="s">
        <v>52</v>
      </c>
      <c r="AE10" s="75" t="s">
        <v>53</v>
      </c>
      <c r="AF10" s="75" t="s">
        <v>54</v>
      </c>
      <c r="AG10" s="75" t="s">
        <v>55</v>
      </c>
      <c r="AH10" s="73" t="s">
        <v>56</v>
      </c>
      <c r="AI10" s="116" t="s">
        <v>189</v>
      </c>
      <c r="AJ10" s="70" t="s">
        <v>190</v>
      </c>
      <c r="AK10" s="72" t="s">
        <v>191</v>
      </c>
      <c r="AL10" s="73" t="s">
        <v>192</v>
      </c>
      <c r="AM10" s="116" t="s">
        <v>61</v>
      </c>
      <c r="AN10" s="72" t="s">
        <v>62</v>
      </c>
      <c r="AO10" s="72" t="s">
        <v>63</v>
      </c>
      <c r="AP10" s="73" t="s">
        <v>64</v>
      </c>
      <c r="AQ10" s="72" t="s">
        <v>193</v>
      </c>
      <c r="AR10" s="70" t="s">
        <v>66</v>
      </c>
      <c r="AS10" s="72" t="s">
        <v>67</v>
      </c>
      <c r="AT10" s="73" t="s">
        <v>68</v>
      </c>
      <c r="AU10" s="72" t="s">
        <v>69</v>
      </c>
      <c r="AV10" s="72" t="s">
        <v>70</v>
      </c>
      <c r="AW10" s="72" t="s">
        <v>71</v>
      </c>
      <c r="AX10" s="73" t="s">
        <v>72</v>
      </c>
      <c r="AY10" s="72" t="s">
        <v>73</v>
      </c>
      <c r="AZ10" s="72" t="s">
        <v>74</v>
      </c>
      <c r="BA10" s="72" t="s">
        <v>75</v>
      </c>
      <c r="BB10" s="73" t="s">
        <v>76</v>
      </c>
      <c r="BC10" s="72" t="s">
        <v>77</v>
      </c>
      <c r="BD10" s="72" t="s">
        <v>78</v>
      </c>
      <c r="BE10" s="72" t="s">
        <v>79</v>
      </c>
      <c r="BF10" s="73" t="s">
        <v>80</v>
      </c>
      <c r="BG10" s="72" t="s">
        <v>81</v>
      </c>
      <c r="BH10" s="72" t="s">
        <v>82</v>
      </c>
      <c r="BI10" s="72" t="s">
        <v>83</v>
      </c>
      <c r="BJ10" s="73" t="s">
        <v>84</v>
      </c>
      <c r="BK10" s="72" t="s">
        <v>85</v>
      </c>
      <c r="BL10" s="72" t="s">
        <v>86</v>
      </c>
      <c r="BM10" s="72" t="s">
        <v>87</v>
      </c>
      <c r="BN10" s="73" t="s">
        <v>88</v>
      </c>
      <c r="BO10" s="72" t="s">
        <v>89</v>
      </c>
      <c r="BP10" s="72" t="s">
        <v>90</v>
      </c>
      <c r="BQ10" s="72" t="s">
        <v>91</v>
      </c>
      <c r="BR10" s="73" t="s">
        <v>92</v>
      </c>
      <c r="BS10" s="72" t="s">
        <v>93</v>
      </c>
      <c r="BT10" s="72" t="s">
        <v>94</v>
      </c>
      <c r="BU10" s="72" t="s">
        <v>95</v>
      </c>
      <c r="BV10" s="73" t="s">
        <v>96</v>
      </c>
      <c r="BW10" s="72" t="s">
        <v>97</v>
      </c>
      <c r="BX10" s="70" t="s">
        <v>98</v>
      </c>
      <c r="BY10" s="72" t="s">
        <v>99</v>
      </c>
      <c r="BZ10" s="73" t="s">
        <v>100</v>
      </c>
      <c r="CA10" s="72" t="s">
        <v>194</v>
      </c>
      <c r="CB10" s="70" t="s">
        <v>102</v>
      </c>
      <c r="CC10" s="72" t="s">
        <v>103</v>
      </c>
      <c r="CD10" s="73" t="s">
        <v>104</v>
      </c>
      <c r="CE10" s="72" t="s">
        <v>105</v>
      </c>
      <c r="CF10" s="72" t="s">
        <v>106</v>
      </c>
      <c r="CG10" s="107" t="s">
        <v>107</v>
      </c>
      <c r="CH10" s="73" t="s">
        <v>108</v>
      </c>
      <c r="CI10" s="71" t="s">
        <v>195</v>
      </c>
      <c r="CJ10" s="70" t="s">
        <v>196</v>
      </c>
      <c r="CK10" s="72" t="s">
        <v>197</v>
      </c>
      <c r="CL10" s="73" t="s">
        <v>198</v>
      </c>
      <c r="CM10" s="72" t="s">
        <v>113</v>
      </c>
      <c r="CN10" s="72" t="s">
        <v>114</v>
      </c>
      <c r="CO10" s="72" t="s">
        <v>115</v>
      </c>
      <c r="CP10" s="72" t="s">
        <v>116</v>
      </c>
      <c r="CQ10" s="70" t="s">
        <v>117</v>
      </c>
      <c r="CR10" s="76" t="s">
        <v>118</v>
      </c>
      <c r="CS10" s="28"/>
    </row>
    <row r="11" spans="1:97" s="1" customFormat="1">
      <c r="A11" s="61" t="s">
        <v>119</v>
      </c>
      <c r="B11" s="62"/>
      <c r="C11" s="63" t="s">
        <v>120</v>
      </c>
      <c r="D11" s="64"/>
      <c r="E11" s="64"/>
      <c r="F11" s="86"/>
      <c r="G11" s="65"/>
      <c r="H11" s="83"/>
      <c r="I11" s="80">
        <f>H11*CQ11</f>
        <v>0</v>
      </c>
      <c r="J11" s="79">
        <f>G11*I11</f>
        <v>0</v>
      </c>
      <c r="K11" s="66"/>
      <c r="L11" s="83"/>
      <c r="M11" s="80">
        <f t="shared" ref="M11:M26" si="0">L11*CQ11</f>
        <v>0</v>
      </c>
      <c r="N11" s="79">
        <f t="shared" ref="N11:N42" si="1">K11*M11</f>
        <v>0</v>
      </c>
      <c r="O11" s="65"/>
      <c r="P11" s="83"/>
      <c r="Q11" s="80">
        <f t="shared" ref="Q11:Q42" si="2">P11*CQ11</f>
        <v>0</v>
      </c>
      <c r="R11" s="79">
        <f t="shared" ref="R11:R42" si="3">O11*Q11</f>
        <v>0</v>
      </c>
      <c r="S11" s="66"/>
      <c r="T11" s="83"/>
      <c r="U11" s="80">
        <v>0</v>
      </c>
      <c r="V11" s="79">
        <v>0</v>
      </c>
      <c r="W11" s="66"/>
      <c r="X11" s="83"/>
      <c r="Y11" s="80">
        <v>0</v>
      </c>
      <c r="Z11" s="79">
        <v>0</v>
      </c>
      <c r="AA11" s="66"/>
      <c r="AB11" s="83"/>
      <c r="AC11" s="80">
        <v>0</v>
      </c>
      <c r="AD11" s="79">
        <v>0</v>
      </c>
      <c r="AE11" s="66"/>
      <c r="AF11" s="83"/>
      <c r="AG11" s="80">
        <f>AF11*CQ11</f>
        <v>0</v>
      </c>
      <c r="AH11" s="79">
        <f t="shared" ref="AH11:AH42" si="4">AE11*AG11</f>
        <v>0</v>
      </c>
      <c r="AI11" s="65"/>
      <c r="AJ11" s="83"/>
      <c r="AK11" s="80">
        <f t="shared" ref="AK11:AK42" si="5">AJ11*CQ11</f>
        <v>0</v>
      </c>
      <c r="AL11" s="79">
        <f t="shared" ref="AL11:AL42" si="6">AI11*AK11</f>
        <v>0</v>
      </c>
      <c r="AM11" s="65"/>
      <c r="AN11" s="83"/>
      <c r="AO11" s="80">
        <f t="shared" ref="AO11:AO42" si="7">AN11*CQ11</f>
        <v>0</v>
      </c>
      <c r="AP11" s="79">
        <f t="shared" ref="AP11:AP42" si="8">AM11*AO11</f>
        <v>0</v>
      </c>
      <c r="AQ11" s="65"/>
      <c r="AR11" s="83"/>
      <c r="AS11" s="80">
        <f t="shared" ref="AS11:AS42" si="9">AR11*CQ11</f>
        <v>0</v>
      </c>
      <c r="AT11" s="79">
        <f t="shared" ref="AT11:AT42" si="10">AQ11*AS11</f>
        <v>0</v>
      </c>
      <c r="AU11" s="66"/>
      <c r="AV11" s="83"/>
      <c r="AW11" s="80">
        <v>0</v>
      </c>
      <c r="AX11" s="79">
        <v>0</v>
      </c>
      <c r="AY11" s="66"/>
      <c r="AZ11" s="83"/>
      <c r="BA11" s="80">
        <v>0</v>
      </c>
      <c r="BB11" s="79">
        <v>0</v>
      </c>
      <c r="BC11" s="66"/>
      <c r="BD11" s="83"/>
      <c r="BE11" s="80">
        <v>0</v>
      </c>
      <c r="BF11" s="79">
        <v>0</v>
      </c>
      <c r="BG11" s="66"/>
      <c r="BH11" s="83"/>
      <c r="BI11" s="80">
        <v>0</v>
      </c>
      <c r="BJ11" s="79">
        <v>0</v>
      </c>
      <c r="BK11" s="66"/>
      <c r="BL11" s="83"/>
      <c r="BM11" s="80">
        <v>0</v>
      </c>
      <c r="BN11" s="79">
        <v>0</v>
      </c>
      <c r="BO11" s="66"/>
      <c r="BP11" s="83"/>
      <c r="BQ11" s="80">
        <v>0</v>
      </c>
      <c r="BR11" s="79">
        <v>0</v>
      </c>
      <c r="BS11" s="66"/>
      <c r="BT11" s="83"/>
      <c r="BU11" s="80">
        <f t="shared" ref="BU11:BU42" si="11">BT11*CQ11</f>
        <v>0</v>
      </c>
      <c r="BV11" s="79">
        <f t="shared" ref="BV11:BV42" si="12">BS11*BU11</f>
        <v>0</v>
      </c>
      <c r="BW11" s="65">
        <v>480</v>
      </c>
      <c r="BX11" s="83"/>
      <c r="BY11" s="80">
        <f t="shared" ref="BY11:BY42" si="13">BX11*CQ11</f>
        <v>0</v>
      </c>
      <c r="BZ11" s="79">
        <f t="shared" ref="BZ11:BZ42" si="14">BW11*BY11</f>
        <v>0</v>
      </c>
      <c r="CA11" s="65"/>
      <c r="CB11" s="83"/>
      <c r="CC11" s="80">
        <v>0</v>
      </c>
      <c r="CD11" s="79">
        <v>0</v>
      </c>
      <c r="CE11" s="66"/>
      <c r="CF11" s="83"/>
      <c r="CG11" s="80">
        <f t="shared" ref="CG11:CG42" si="15">CF11*CQ11</f>
        <v>0</v>
      </c>
      <c r="CH11" s="79">
        <f t="shared" ref="CH11:CH42" si="16">CE11*CG11</f>
        <v>0</v>
      </c>
      <c r="CI11" s="43"/>
      <c r="CJ11" s="83"/>
      <c r="CK11" s="80">
        <f t="shared" ref="CK11:CK42" si="17">CJ11*CQ11</f>
        <v>0</v>
      </c>
      <c r="CL11" s="79">
        <f t="shared" ref="CL11:CL42" si="18">CI11*CK11</f>
        <v>0</v>
      </c>
      <c r="CM11" s="67">
        <v>0.1</v>
      </c>
      <c r="CN11" s="67">
        <v>0.15</v>
      </c>
      <c r="CO11" s="67">
        <v>0.05</v>
      </c>
      <c r="CP11" s="67">
        <v>0.1</v>
      </c>
      <c r="CQ11" s="68">
        <f t="shared" ref="CQ11:CQ42" si="19">(1+CM11)*(1+CN11)*(1+CO11)*(1+CP11)</f>
        <v>1.4610750000000001</v>
      </c>
      <c r="CR11" s="77">
        <f>J11+N11+R11+V11+Z11+AD11+AH11+AL11+AP11+AT11+AX11+BB11+BF11+BJ11+BN11+BR11+BV11+BZ11+CD11+CH11+CL11</f>
        <v>0</v>
      </c>
      <c r="CS11" s="35"/>
    </row>
    <row r="12" spans="1:97" s="1" customFormat="1">
      <c r="A12" s="30" t="s">
        <v>119</v>
      </c>
      <c r="B12" s="47"/>
      <c r="C12" s="31" t="s">
        <v>121</v>
      </c>
      <c r="D12" s="32"/>
      <c r="E12" s="32"/>
      <c r="F12" s="87"/>
      <c r="G12" s="48"/>
      <c r="H12" s="84"/>
      <c r="I12" s="80">
        <f t="shared" ref="I12:I59" si="20">H12*CQ12</f>
        <v>0</v>
      </c>
      <c r="J12" s="79">
        <f t="shared" ref="J12:J59" si="21">G12*I12</f>
        <v>0</v>
      </c>
      <c r="K12" s="49"/>
      <c r="L12" s="84"/>
      <c r="M12" s="81">
        <f t="shared" si="0"/>
        <v>0</v>
      </c>
      <c r="N12" s="79">
        <f t="shared" si="1"/>
        <v>0</v>
      </c>
      <c r="O12" s="48"/>
      <c r="P12" s="84"/>
      <c r="Q12" s="81">
        <f t="shared" si="2"/>
        <v>0</v>
      </c>
      <c r="R12" s="79">
        <f t="shared" si="3"/>
        <v>0</v>
      </c>
      <c r="S12" s="49"/>
      <c r="T12" s="84"/>
      <c r="U12" s="81">
        <v>0</v>
      </c>
      <c r="V12" s="79">
        <v>0</v>
      </c>
      <c r="W12" s="49"/>
      <c r="X12" s="84"/>
      <c r="Y12" s="81">
        <v>0</v>
      </c>
      <c r="Z12" s="79">
        <v>0</v>
      </c>
      <c r="AA12" s="49"/>
      <c r="AB12" s="84"/>
      <c r="AC12" s="81">
        <v>0</v>
      </c>
      <c r="AD12" s="79">
        <v>0</v>
      </c>
      <c r="AE12" s="49"/>
      <c r="AF12" s="84"/>
      <c r="AG12" s="81">
        <f t="shared" ref="AG12:AG59" si="22">AF12*CZ12</f>
        <v>0</v>
      </c>
      <c r="AH12" s="79">
        <f t="shared" si="4"/>
        <v>0</v>
      </c>
      <c r="AI12" s="48"/>
      <c r="AJ12" s="84"/>
      <c r="AK12" s="81">
        <f t="shared" si="5"/>
        <v>0</v>
      </c>
      <c r="AL12" s="79">
        <f t="shared" si="6"/>
        <v>0</v>
      </c>
      <c r="AM12" s="48"/>
      <c r="AN12" s="84"/>
      <c r="AO12" s="81">
        <f t="shared" si="7"/>
        <v>0</v>
      </c>
      <c r="AP12" s="79">
        <f t="shared" si="8"/>
        <v>0</v>
      </c>
      <c r="AQ12" s="48"/>
      <c r="AR12" s="84"/>
      <c r="AS12" s="81">
        <f t="shared" si="9"/>
        <v>0</v>
      </c>
      <c r="AT12" s="79">
        <f t="shared" si="10"/>
        <v>0</v>
      </c>
      <c r="AU12" s="49"/>
      <c r="AV12" s="84"/>
      <c r="AW12" s="81">
        <v>0</v>
      </c>
      <c r="AX12" s="79">
        <v>0</v>
      </c>
      <c r="AY12" s="49"/>
      <c r="AZ12" s="84"/>
      <c r="BA12" s="81">
        <v>0</v>
      </c>
      <c r="BB12" s="79">
        <v>0</v>
      </c>
      <c r="BC12" s="49"/>
      <c r="BD12" s="84"/>
      <c r="BE12" s="81">
        <v>0</v>
      </c>
      <c r="BF12" s="79">
        <v>0</v>
      </c>
      <c r="BG12" s="49"/>
      <c r="BH12" s="84"/>
      <c r="BI12" s="81">
        <v>0</v>
      </c>
      <c r="BJ12" s="79">
        <v>0</v>
      </c>
      <c r="BK12" s="49"/>
      <c r="BL12" s="84"/>
      <c r="BM12" s="81">
        <v>0</v>
      </c>
      <c r="BN12" s="79">
        <v>0</v>
      </c>
      <c r="BO12" s="51"/>
      <c r="BP12" s="84"/>
      <c r="BQ12" s="81">
        <v>0</v>
      </c>
      <c r="BR12" s="79">
        <v>0</v>
      </c>
      <c r="BS12" s="49"/>
      <c r="BT12" s="84"/>
      <c r="BU12" s="81">
        <f t="shared" si="11"/>
        <v>0</v>
      </c>
      <c r="BV12" s="79">
        <f t="shared" si="12"/>
        <v>0</v>
      </c>
      <c r="BW12" s="48">
        <v>480</v>
      </c>
      <c r="BX12" s="84"/>
      <c r="BY12" s="81">
        <f t="shared" si="13"/>
        <v>0</v>
      </c>
      <c r="BZ12" s="79">
        <f t="shared" si="14"/>
        <v>0</v>
      </c>
      <c r="CA12" s="48"/>
      <c r="CB12" s="84"/>
      <c r="CC12" s="81">
        <v>0</v>
      </c>
      <c r="CD12" s="79">
        <v>0</v>
      </c>
      <c r="CE12" s="49"/>
      <c r="CF12" s="84"/>
      <c r="CG12" s="81">
        <f t="shared" si="15"/>
        <v>0</v>
      </c>
      <c r="CH12" s="79">
        <f t="shared" si="16"/>
        <v>0</v>
      </c>
      <c r="CI12" s="33"/>
      <c r="CJ12" s="84"/>
      <c r="CK12" s="81">
        <f t="shared" si="17"/>
        <v>0</v>
      </c>
      <c r="CL12" s="79">
        <f t="shared" si="18"/>
        <v>0</v>
      </c>
      <c r="CM12" s="34"/>
      <c r="CN12" s="34"/>
      <c r="CO12" s="34"/>
      <c r="CP12" s="34"/>
      <c r="CQ12" s="50">
        <f t="shared" si="19"/>
        <v>1</v>
      </c>
      <c r="CR12" s="77">
        <f t="shared" ref="CR12:CR42" si="23">J12+N12+R12+V12+Z12+AD12+AH12+AL12+AP12+AT12+AX12+BB12+BF12+BJ12+BN12+BR12+BV12+BZ12+CD12+CH12+CL12</f>
        <v>0</v>
      </c>
      <c r="CS12" s="35"/>
    </row>
    <row r="13" spans="1:97" s="1" customFormat="1">
      <c r="A13" s="30" t="s">
        <v>122</v>
      </c>
      <c r="B13" s="47"/>
      <c r="C13" s="31" t="s">
        <v>121</v>
      </c>
      <c r="D13" s="32"/>
      <c r="E13" s="32"/>
      <c r="F13" s="87"/>
      <c r="G13" s="48"/>
      <c r="H13" s="84"/>
      <c r="I13" s="80">
        <f t="shared" si="20"/>
        <v>0</v>
      </c>
      <c r="J13" s="79">
        <f t="shared" si="21"/>
        <v>0</v>
      </c>
      <c r="K13" s="49"/>
      <c r="L13" s="84"/>
      <c r="M13" s="81">
        <f t="shared" si="0"/>
        <v>0</v>
      </c>
      <c r="N13" s="79">
        <f t="shared" si="1"/>
        <v>0</v>
      </c>
      <c r="O13" s="48">
        <v>3840</v>
      </c>
      <c r="P13" s="84"/>
      <c r="Q13" s="81">
        <f t="shared" si="2"/>
        <v>0</v>
      </c>
      <c r="R13" s="79">
        <f t="shared" si="3"/>
        <v>0</v>
      </c>
      <c r="S13" s="49"/>
      <c r="T13" s="84"/>
      <c r="U13" s="81">
        <v>0</v>
      </c>
      <c r="V13" s="79">
        <v>0</v>
      </c>
      <c r="W13" s="49"/>
      <c r="X13" s="84"/>
      <c r="Y13" s="81">
        <v>0</v>
      </c>
      <c r="Z13" s="79">
        <v>0</v>
      </c>
      <c r="AA13" s="49"/>
      <c r="AB13" s="84"/>
      <c r="AC13" s="81">
        <v>0</v>
      </c>
      <c r="AD13" s="79">
        <v>0</v>
      </c>
      <c r="AE13" s="49"/>
      <c r="AF13" s="84"/>
      <c r="AG13" s="81">
        <f t="shared" si="22"/>
        <v>0</v>
      </c>
      <c r="AH13" s="79">
        <f t="shared" si="4"/>
        <v>0</v>
      </c>
      <c r="AI13" s="48"/>
      <c r="AJ13" s="84"/>
      <c r="AK13" s="81">
        <f t="shared" si="5"/>
        <v>0</v>
      </c>
      <c r="AL13" s="79">
        <f t="shared" si="6"/>
        <v>0</v>
      </c>
      <c r="AM13" s="48"/>
      <c r="AN13" s="84"/>
      <c r="AO13" s="81">
        <f t="shared" si="7"/>
        <v>0</v>
      </c>
      <c r="AP13" s="79">
        <f t="shared" si="8"/>
        <v>0</v>
      </c>
      <c r="AQ13" s="48"/>
      <c r="AR13" s="84"/>
      <c r="AS13" s="81">
        <f t="shared" si="9"/>
        <v>0</v>
      </c>
      <c r="AT13" s="79">
        <f t="shared" si="10"/>
        <v>0</v>
      </c>
      <c r="AU13" s="49"/>
      <c r="AV13" s="84"/>
      <c r="AW13" s="81">
        <v>0</v>
      </c>
      <c r="AX13" s="79">
        <v>0</v>
      </c>
      <c r="AY13" s="49"/>
      <c r="AZ13" s="84"/>
      <c r="BA13" s="81">
        <v>0</v>
      </c>
      <c r="BB13" s="79">
        <v>0</v>
      </c>
      <c r="BC13" s="49"/>
      <c r="BD13" s="84"/>
      <c r="BE13" s="81">
        <v>0</v>
      </c>
      <c r="BF13" s="79">
        <v>0</v>
      </c>
      <c r="BG13" s="49"/>
      <c r="BH13" s="84"/>
      <c r="BI13" s="81">
        <v>0</v>
      </c>
      <c r="BJ13" s="79">
        <v>0</v>
      </c>
      <c r="BK13" s="49"/>
      <c r="BL13" s="84"/>
      <c r="BM13" s="81">
        <v>0</v>
      </c>
      <c r="BN13" s="79">
        <v>0</v>
      </c>
      <c r="BO13" s="49"/>
      <c r="BP13" s="84"/>
      <c r="BQ13" s="81">
        <v>0</v>
      </c>
      <c r="BR13" s="79">
        <v>0</v>
      </c>
      <c r="BS13" s="49"/>
      <c r="BT13" s="84"/>
      <c r="BU13" s="81">
        <f t="shared" si="11"/>
        <v>0</v>
      </c>
      <c r="BV13" s="79">
        <f t="shared" si="12"/>
        <v>0</v>
      </c>
      <c r="BW13" s="48"/>
      <c r="BX13" s="84"/>
      <c r="BY13" s="81">
        <f t="shared" si="13"/>
        <v>0</v>
      </c>
      <c r="BZ13" s="79">
        <f t="shared" si="14"/>
        <v>0</v>
      </c>
      <c r="CA13" s="48"/>
      <c r="CB13" s="84"/>
      <c r="CC13" s="81">
        <v>0</v>
      </c>
      <c r="CD13" s="79">
        <v>0</v>
      </c>
      <c r="CE13" s="49"/>
      <c r="CF13" s="84"/>
      <c r="CG13" s="81">
        <f t="shared" si="15"/>
        <v>0</v>
      </c>
      <c r="CH13" s="79">
        <f t="shared" si="16"/>
        <v>0</v>
      </c>
      <c r="CI13" s="33"/>
      <c r="CJ13" s="84"/>
      <c r="CK13" s="81">
        <f t="shared" si="17"/>
        <v>0</v>
      </c>
      <c r="CL13" s="79">
        <f t="shared" si="18"/>
        <v>0</v>
      </c>
      <c r="CM13" s="34"/>
      <c r="CN13" s="34"/>
      <c r="CO13" s="34"/>
      <c r="CP13" s="34"/>
      <c r="CQ13" s="50">
        <f t="shared" si="19"/>
        <v>1</v>
      </c>
      <c r="CR13" s="77">
        <f t="shared" si="23"/>
        <v>0</v>
      </c>
      <c r="CS13" s="28"/>
    </row>
    <row r="14" spans="1:97" s="1" customFormat="1">
      <c r="A14" s="30" t="s">
        <v>122</v>
      </c>
      <c r="B14" s="47"/>
      <c r="C14" s="31" t="s">
        <v>123</v>
      </c>
      <c r="D14" s="32"/>
      <c r="E14" s="32"/>
      <c r="F14" s="87"/>
      <c r="G14" s="48"/>
      <c r="H14" s="84"/>
      <c r="I14" s="80">
        <f t="shared" si="20"/>
        <v>0</v>
      </c>
      <c r="J14" s="79">
        <f t="shared" si="21"/>
        <v>0</v>
      </c>
      <c r="K14" s="49"/>
      <c r="L14" s="84"/>
      <c r="M14" s="81">
        <f t="shared" si="0"/>
        <v>0</v>
      </c>
      <c r="N14" s="79">
        <f t="shared" si="1"/>
        <v>0</v>
      </c>
      <c r="O14" s="48">
        <v>1920</v>
      </c>
      <c r="P14" s="84"/>
      <c r="Q14" s="81">
        <f t="shared" si="2"/>
        <v>0</v>
      </c>
      <c r="R14" s="79">
        <f t="shared" si="3"/>
        <v>0</v>
      </c>
      <c r="S14" s="49"/>
      <c r="T14" s="84"/>
      <c r="U14" s="81">
        <v>0</v>
      </c>
      <c r="V14" s="79">
        <v>0</v>
      </c>
      <c r="W14" s="49"/>
      <c r="X14" s="84"/>
      <c r="Y14" s="81">
        <v>0</v>
      </c>
      <c r="Z14" s="79">
        <v>0</v>
      </c>
      <c r="AA14" s="49"/>
      <c r="AB14" s="84"/>
      <c r="AC14" s="81">
        <v>0</v>
      </c>
      <c r="AD14" s="79">
        <v>0</v>
      </c>
      <c r="AE14" s="49"/>
      <c r="AF14" s="84"/>
      <c r="AG14" s="81">
        <f t="shared" si="22"/>
        <v>0</v>
      </c>
      <c r="AH14" s="79">
        <f t="shared" si="4"/>
        <v>0</v>
      </c>
      <c r="AI14" s="48"/>
      <c r="AJ14" s="84"/>
      <c r="AK14" s="81">
        <f t="shared" si="5"/>
        <v>0</v>
      </c>
      <c r="AL14" s="79">
        <f t="shared" si="6"/>
        <v>0</v>
      </c>
      <c r="AM14" s="48"/>
      <c r="AN14" s="84"/>
      <c r="AO14" s="81">
        <f t="shared" si="7"/>
        <v>0</v>
      </c>
      <c r="AP14" s="79">
        <f t="shared" si="8"/>
        <v>0</v>
      </c>
      <c r="AQ14" s="48"/>
      <c r="AR14" s="84"/>
      <c r="AS14" s="81">
        <f t="shared" si="9"/>
        <v>0</v>
      </c>
      <c r="AT14" s="79">
        <f t="shared" si="10"/>
        <v>0</v>
      </c>
      <c r="AU14" s="49"/>
      <c r="AV14" s="84"/>
      <c r="AW14" s="81">
        <v>0</v>
      </c>
      <c r="AX14" s="79">
        <v>0</v>
      </c>
      <c r="AY14" s="49"/>
      <c r="AZ14" s="84"/>
      <c r="BA14" s="81">
        <v>0</v>
      </c>
      <c r="BB14" s="79">
        <v>0</v>
      </c>
      <c r="BC14" s="49"/>
      <c r="BD14" s="84"/>
      <c r="BE14" s="81">
        <v>0</v>
      </c>
      <c r="BF14" s="79">
        <v>0</v>
      </c>
      <c r="BG14" s="49"/>
      <c r="BH14" s="84"/>
      <c r="BI14" s="81">
        <v>0</v>
      </c>
      <c r="BJ14" s="79">
        <v>0</v>
      </c>
      <c r="BK14" s="49"/>
      <c r="BL14" s="84"/>
      <c r="BM14" s="81">
        <v>0</v>
      </c>
      <c r="BN14" s="79">
        <v>0</v>
      </c>
      <c r="BO14" s="49"/>
      <c r="BP14" s="84"/>
      <c r="BQ14" s="81">
        <v>0</v>
      </c>
      <c r="BR14" s="79">
        <v>0</v>
      </c>
      <c r="BS14" s="49"/>
      <c r="BT14" s="84"/>
      <c r="BU14" s="81">
        <f t="shared" si="11"/>
        <v>0</v>
      </c>
      <c r="BV14" s="79">
        <f t="shared" si="12"/>
        <v>0</v>
      </c>
      <c r="BW14" s="48"/>
      <c r="BX14" s="84"/>
      <c r="BY14" s="81">
        <f t="shared" si="13"/>
        <v>0</v>
      </c>
      <c r="BZ14" s="79">
        <f t="shared" si="14"/>
        <v>0</v>
      </c>
      <c r="CA14" s="48"/>
      <c r="CB14" s="84"/>
      <c r="CC14" s="81">
        <v>0</v>
      </c>
      <c r="CD14" s="79">
        <v>0</v>
      </c>
      <c r="CE14" s="49"/>
      <c r="CF14" s="84"/>
      <c r="CG14" s="81">
        <f t="shared" si="15"/>
        <v>0</v>
      </c>
      <c r="CH14" s="79">
        <f t="shared" si="16"/>
        <v>0</v>
      </c>
      <c r="CI14" s="33"/>
      <c r="CJ14" s="84"/>
      <c r="CK14" s="81">
        <f t="shared" si="17"/>
        <v>0</v>
      </c>
      <c r="CL14" s="79">
        <f t="shared" si="18"/>
        <v>0</v>
      </c>
      <c r="CM14" s="34"/>
      <c r="CN14" s="34"/>
      <c r="CO14" s="34"/>
      <c r="CP14" s="34"/>
      <c r="CQ14" s="50">
        <f t="shared" si="19"/>
        <v>1</v>
      </c>
      <c r="CR14" s="77">
        <f t="shared" si="23"/>
        <v>0</v>
      </c>
      <c r="CS14" s="28"/>
    </row>
    <row r="15" spans="1:97" s="1" customFormat="1">
      <c r="A15" s="30" t="s">
        <v>124</v>
      </c>
      <c r="B15" s="47"/>
      <c r="C15" s="31" t="s">
        <v>123</v>
      </c>
      <c r="D15" s="32"/>
      <c r="E15" s="32"/>
      <c r="F15" s="87"/>
      <c r="G15" s="48"/>
      <c r="H15" s="84"/>
      <c r="I15" s="80">
        <f t="shared" si="20"/>
        <v>0</v>
      </c>
      <c r="J15" s="79">
        <f t="shared" si="21"/>
        <v>0</v>
      </c>
      <c r="K15" s="49"/>
      <c r="L15" s="84"/>
      <c r="M15" s="81">
        <f t="shared" si="0"/>
        <v>0</v>
      </c>
      <c r="N15" s="79">
        <f t="shared" si="1"/>
        <v>0</v>
      </c>
      <c r="O15" s="48"/>
      <c r="P15" s="84"/>
      <c r="Q15" s="81">
        <f t="shared" si="2"/>
        <v>0</v>
      </c>
      <c r="R15" s="79">
        <f t="shared" si="3"/>
        <v>0</v>
      </c>
      <c r="S15" s="49"/>
      <c r="T15" s="84"/>
      <c r="U15" s="81">
        <v>0</v>
      </c>
      <c r="V15" s="79">
        <v>0</v>
      </c>
      <c r="W15" s="49"/>
      <c r="X15" s="84"/>
      <c r="Y15" s="81">
        <v>0</v>
      </c>
      <c r="Z15" s="79">
        <v>0</v>
      </c>
      <c r="AA15" s="49"/>
      <c r="AB15" s="84"/>
      <c r="AC15" s="81">
        <v>0</v>
      </c>
      <c r="AD15" s="79">
        <v>0</v>
      </c>
      <c r="AE15" s="49"/>
      <c r="AF15" s="84"/>
      <c r="AG15" s="81">
        <f t="shared" si="22"/>
        <v>0</v>
      </c>
      <c r="AH15" s="79">
        <f t="shared" si="4"/>
        <v>0</v>
      </c>
      <c r="AI15" s="48"/>
      <c r="AJ15" s="84"/>
      <c r="AK15" s="81">
        <f t="shared" si="5"/>
        <v>0</v>
      </c>
      <c r="AL15" s="79">
        <f t="shared" si="6"/>
        <v>0</v>
      </c>
      <c r="AM15" s="48"/>
      <c r="AN15" s="84"/>
      <c r="AO15" s="81">
        <f t="shared" si="7"/>
        <v>0</v>
      </c>
      <c r="AP15" s="79">
        <f t="shared" si="8"/>
        <v>0</v>
      </c>
      <c r="AQ15" s="48"/>
      <c r="AR15" s="84"/>
      <c r="AS15" s="81">
        <f t="shared" si="9"/>
        <v>0</v>
      </c>
      <c r="AT15" s="79">
        <f t="shared" si="10"/>
        <v>0</v>
      </c>
      <c r="AU15" s="49"/>
      <c r="AV15" s="84"/>
      <c r="AW15" s="81">
        <v>0</v>
      </c>
      <c r="AX15" s="79">
        <v>0</v>
      </c>
      <c r="AY15" s="49"/>
      <c r="AZ15" s="84"/>
      <c r="BA15" s="81">
        <v>0</v>
      </c>
      <c r="BB15" s="79">
        <v>0</v>
      </c>
      <c r="BC15" s="49"/>
      <c r="BD15" s="84"/>
      <c r="BE15" s="81">
        <v>0</v>
      </c>
      <c r="BF15" s="79">
        <v>0</v>
      </c>
      <c r="BG15" s="49"/>
      <c r="BH15" s="84"/>
      <c r="BI15" s="81">
        <v>0</v>
      </c>
      <c r="BJ15" s="79">
        <v>0</v>
      </c>
      <c r="BK15" s="49"/>
      <c r="BL15" s="84"/>
      <c r="BM15" s="81">
        <v>0</v>
      </c>
      <c r="BN15" s="79">
        <v>0</v>
      </c>
      <c r="BO15" s="49"/>
      <c r="BP15" s="84"/>
      <c r="BQ15" s="81">
        <v>0</v>
      </c>
      <c r="BR15" s="79">
        <v>0</v>
      </c>
      <c r="BS15" s="49"/>
      <c r="BT15" s="84"/>
      <c r="BU15" s="81">
        <f t="shared" si="11"/>
        <v>0</v>
      </c>
      <c r="BV15" s="79">
        <f t="shared" si="12"/>
        <v>0</v>
      </c>
      <c r="BW15" s="48"/>
      <c r="BX15" s="84"/>
      <c r="BY15" s="81">
        <f t="shared" si="13"/>
        <v>0</v>
      </c>
      <c r="BZ15" s="79">
        <f t="shared" si="14"/>
        <v>0</v>
      </c>
      <c r="CA15" s="48"/>
      <c r="CB15" s="84"/>
      <c r="CC15" s="81">
        <v>0</v>
      </c>
      <c r="CD15" s="79">
        <v>0</v>
      </c>
      <c r="CE15" s="49"/>
      <c r="CF15" s="84"/>
      <c r="CG15" s="81">
        <f t="shared" si="15"/>
        <v>0</v>
      </c>
      <c r="CH15" s="79">
        <f t="shared" si="16"/>
        <v>0</v>
      </c>
      <c r="CI15" s="33"/>
      <c r="CJ15" s="84"/>
      <c r="CK15" s="81">
        <f t="shared" si="17"/>
        <v>0</v>
      </c>
      <c r="CL15" s="79">
        <f t="shared" si="18"/>
        <v>0</v>
      </c>
      <c r="CM15" s="34"/>
      <c r="CN15" s="34"/>
      <c r="CO15" s="34"/>
      <c r="CP15" s="34"/>
      <c r="CQ15" s="50">
        <f t="shared" si="19"/>
        <v>1</v>
      </c>
      <c r="CR15" s="77">
        <f t="shared" si="23"/>
        <v>0</v>
      </c>
      <c r="CS15" s="28"/>
    </row>
    <row r="16" spans="1:97" s="1" customFormat="1">
      <c r="A16" s="30" t="s">
        <v>125</v>
      </c>
      <c r="B16" s="47"/>
      <c r="C16" s="31" t="s">
        <v>123</v>
      </c>
      <c r="D16" s="32"/>
      <c r="E16" s="32"/>
      <c r="F16" s="87"/>
      <c r="G16" s="48"/>
      <c r="H16" s="84"/>
      <c r="I16" s="80">
        <f t="shared" si="20"/>
        <v>0</v>
      </c>
      <c r="J16" s="79">
        <f t="shared" si="21"/>
        <v>0</v>
      </c>
      <c r="K16" s="49"/>
      <c r="L16" s="84"/>
      <c r="M16" s="81">
        <f t="shared" si="0"/>
        <v>0</v>
      </c>
      <c r="N16" s="79">
        <f t="shared" si="1"/>
        <v>0</v>
      </c>
      <c r="O16" s="48"/>
      <c r="P16" s="84"/>
      <c r="Q16" s="81">
        <f t="shared" si="2"/>
        <v>0</v>
      </c>
      <c r="R16" s="79">
        <f t="shared" si="3"/>
        <v>0</v>
      </c>
      <c r="S16" s="49"/>
      <c r="T16" s="84"/>
      <c r="U16" s="81">
        <v>0</v>
      </c>
      <c r="V16" s="79">
        <v>0</v>
      </c>
      <c r="W16" s="49"/>
      <c r="X16" s="84"/>
      <c r="Y16" s="81">
        <v>0</v>
      </c>
      <c r="Z16" s="79">
        <v>0</v>
      </c>
      <c r="AA16" s="49"/>
      <c r="AB16" s="84"/>
      <c r="AC16" s="81">
        <v>0</v>
      </c>
      <c r="AD16" s="79">
        <v>0</v>
      </c>
      <c r="AE16" s="49"/>
      <c r="AF16" s="84"/>
      <c r="AG16" s="81">
        <f t="shared" si="22"/>
        <v>0</v>
      </c>
      <c r="AH16" s="79">
        <f t="shared" si="4"/>
        <v>0</v>
      </c>
      <c r="AI16" s="48"/>
      <c r="AJ16" s="84"/>
      <c r="AK16" s="81">
        <f t="shared" si="5"/>
        <v>0</v>
      </c>
      <c r="AL16" s="79">
        <f t="shared" si="6"/>
        <v>0</v>
      </c>
      <c r="AM16" s="48"/>
      <c r="AN16" s="84"/>
      <c r="AO16" s="81">
        <f t="shared" si="7"/>
        <v>0</v>
      </c>
      <c r="AP16" s="79">
        <f t="shared" si="8"/>
        <v>0</v>
      </c>
      <c r="AQ16" s="48"/>
      <c r="AR16" s="84"/>
      <c r="AS16" s="81">
        <f t="shared" si="9"/>
        <v>0</v>
      </c>
      <c r="AT16" s="79">
        <f t="shared" si="10"/>
        <v>0</v>
      </c>
      <c r="AU16" s="49"/>
      <c r="AV16" s="84"/>
      <c r="AW16" s="81">
        <v>0</v>
      </c>
      <c r="AX16" s="79">
        <v>0</v>
      </c>
      <c r="AY16" s="49"/>
      <c r="AZ16" s="84"/>
      <c r="BA16" s="81">
        <v>0</v>
      </c>
      <c r="BB16" s="79">
        <v>0</v>
      </c>
      <c r="BC16" s="49"/>
      <c r="BD16" s="84"/>
      <c r="BE16" s="81">
        <v>0</v>
      </c>
      <c r="BF16" s="79">
        <v>0</v>
      </c>
      <c r="BG16" s="49"/>
      <c r="BH16" s="84"/>
      <c r="BI16" s="81">
        <v>0</v>
      </c>
      <c r="BJ16" s="79">
        <v>0</v>
      </c>
      <c r="BK16" s="49"/>
      <c r="BL16" s="84"/>
      <c r="BM16" s="81">
        <v>0</v>
      </c>
      <c r="BN16" s="79">
        <v>0</v>
      </c>
      <c r="BO16" s="49"/>
      <c r="BP16" s="84"/>
      <c r="BQ16" s="81">
        <v>0</v>
      </c>
      <c r="BR16" s="79">
        <v>0</v>
      </c>
      <c r="BS16" s="49"/>
      <c r="BT16" s="84"/>
      <c r="BU16" s="81">
        <f t="shared" si="11"/>
        <v>0</v>
      </c>
      <c r="BV16" s="79">
        <f t="shared" si="12"/>
        <v>0</v>
      </c>
      <c r="BW16" s="48"/>
      <c r="BX16" s="84"/>
      <c r="BY16" s="81">
        <f t="shared" si="13"/>
        <v>0</v>
      </c>
      <c r="BZ16" s="79">
        <f t="shared" si="14"/>
        <v>0</v>
      </c>
      <c r="CA16" s="48">
        <v>1920</v>
      </c>
      <c r="CB16" s="84"/>
      <c r="CC16" s="81">
        <v>0</v>
      </c>
      <c r="CD16" s="79">
        <v>0</v>
      </c>
      <c r="CE16" s="49"/>
      <c r="CF16" s="84"/>
      <c r="CG16" s="81">
        <f t="shared" si="15"/>
        <v>0</v>
      </c>
      <c r="CH16" s="79">
        <f t="shared" si="16"/>
        <v>0</v>
      </c>
      <c r="CI16" s="33"/>
      <c r="CJ16" s="84"/>
      <c r="CK16" s="81">
        <f t="shared" si="17"/>
        <v>0</v>
      </c>
      <c r="CL16" s="79">
        <f t="shared" si="18"/>
        <v>0</v>
      </c>
      <c r="CM16" s="34"/>
      <c r="CN16" s="34"/>
      <c r="CO16" s="34"/>
      <c r="CP16" s="34"/>
      <c r="CQ16" s="50">
        <f t="shared" si="19"/>
        <v>1</v>
      </c>
      <c r="CR16" s="77">
        <f t="shared" si="23"/>
        <v>0</v>
      </c>
      <c r="CS16" s="28"/>
    </row>
    <row r="17" spans="1:97" s="1" customFormat="1">
      <c r="A17" s="30" t="s">
        <v>126</v>
      </c>
      <c r="B17" s="47"/>
      <c r="C17" s="63" t="s">
        <v>120</v>
      </c>
      <c r="D17" s="32"/>
      <c r="E17" s="32"/>
      <c r="F17" s="87"/>
      <c r="G17" s="52">
        <v>1920</v>
      </c>
      <c r="H17" s="84"/>
      <c r="I17" s="80">
        <f t="shared" si="20"/>
        <v>0</v>
      </c>
      <c r="J17" s="79">
        <f t="shared" si="21"/>
        <v>0</v>
      </c>
      <c r="K17" s="49"/>
      <c r="L17" s="84"/>
      <c r="M17" s="81">
        <f t="shared" si="0"/>
        <v>0</v>
      </c>
      <c r="N17" s="79">
        <f t="shared" si="1"/>
        <v>0</v>
      </c>
      <c r="O17" s="48"/>
      <c r="P17" s="84"/>
      <c r="Q17" s="81">
        <f t="shared" si="2"/>
        <v>0</v>
      </c>
      <c r="R17" s="79">
        <f t="shared" si="3"/>
        <v>0</v>
      </c>
      <c r="S17" s="49"/>
      <c r="T17" s="84"/>
      <c r="U17" s="81">
        <v>0</v>
      </c>
      <c r="V17" s="79">
        <v>0</v>
      </c>
      <c r="W17" s="49"/>
      <c r="X17" s="84"/>
      <c r="Y17" s="81">
        <v>0</v>
      </c>
      <c r="Z17" s="79">
        <v>0</v>
      </c>
      <c r="AA17" s="49"/>
      <c r="AB17" s="84"/>
      <c r="AC17" s="81">
        <v>0</v>
      </c>
      <c r="AD17" s="79">
        <v>0</v>
      </c>
      <c r="AE17" s="49"/>
      <c r="AF17" s="84"/>
      <c r="AG17" s="81">
        <f t="shared" si="22"/>
        <v>0</v>
      </c>
      <c r="AH17" s="79">
        <f t="shared" si="4"/>
        <v>0</v>
      </c>
      <c r="AI17" s="48">
        <v>1920</v>
      </c>
      <c r="AJ17" s="84"/>
      <c r="AK17" s="81">
        <f t="shared" si="5"/>
        <v>0</v>
      </c>
      <c r="AL17" s="79">
        <f t="shared" si="6"/>
        <v>0</v>
      </c>
      <c r="AM17" s="48"/>
      <c r="AN17" s="84"/>
      <c r="AO17" s="81">
        <f t="shared" si="7"/>
        <v>0</v>
      </c>
      <c r="AP17" s="79">
        <f t="shared" si="8"/>
        <v>0</v>
      </c>
      <c r="AQ17" s="48"/>
      <c r="AR17" s="84"/>
      <c r="AS17" s="81">
        <f t="shared" si="9"/>
        <v>0</v>
      </c>
      <c r="AT17" s="79">
        <f t="shared" si="10"/>
        <v>0</v>
      </c>
      <c r="AU17" s="49"/>
      <c r="AV17" s="84"/>
      <c r="AW17" s="81">
        <v>0</v>
      </c>
      <c r="AX17" s="79">
        <v>0</v>
      </c>
      <c r="AY17" s="49"/>
      <c r="AZ17" s="84"/>
      <c r="BA17" s="81">
        <v>0</v>
      </c>
      <c r="BB17" s="79">
        <v>0</v>
      </c>
      <c r="BC17" s="49"/>
      <c r="BD17" s="84"/>
      <c r="BE17" s="81">
        <v>0</v>
      </c>
      <c r="BF17" s="79">
        <v>0</v>
      </c>
      <c r="BG17" s="49"/>
      <c r="BH17" s="84"/>
      <c r="BI17" s="81">
        <v>0</v>
      </c>
      <c r="BJ17" s="79">
        <v>0</v>
      </c>
      <c r="BK17" s="49"/>
      <c r="BL17" s="84"/>
      <c r="BM17" s="81">
        <v>0</v>
      </c>
      <c r="BN17" s="79">
        <v>0</v>
      </c>
      <c r="BO17" s="49"/>
      <c r="BP17" s="84"/>
      <c r="BQ17" s="81">
        <v>0</v>
      </c>
      <c r="BR17" s="79">
        <v>0</v>
      </c>
      <c r="BS17" s="49"/>
      <c r="BT17" s="84"/>
      <c r="BU17" s="81">
        <f t="shared" si="11"/>
        <v>0</v>
      </c>
      <c r="BV17" s="79">
        <f t="shared" si="12"/>
        <v>0</v>
      </c>
      <c r="BW17" s="48"/>
      <c r="BX17" s="84"/>
      <c r="BY17" s="81">
        <f t="shared" si="13"/>
        <v>0</v>
      </c>
      <c r="BZ17" s="79">
        <f t="shared" si="14"/>
        <v>0</v>
      </c>
      <c r="CA17" s="48"/>
      <c r="CB17" s="84"/>
      <c r="CC17" s="81">
        <v>0</v>
      </c>
      <c r="CD17" s="79">
        <v>0</v>
      </c>
      <c r="CE17" s="49"/>
      <c r="CF17" s="84"/>
      <c r="CG17" s="81">
        <f t="shared" si="15"/>
        <v>0</v>
      </c>
      <c r="CH17" s="79">
        <f t="shared" si="16"/>
        <v>0</v>
      </c>
      <c r="CI17" s="33"/>
      <c r="CJ17" s="84"/>
      <c r="CK17" s="81">
        <f t="shared" si="17"/>
        <v>0</v>
      </c>
      <c r="CL17" s="79">
        <f t="shared" si="18"/>
        <v>0</v>
      </c>
      <c r="CM17" s="34"/>
      <c r="CN17" s="34"/>
      <c r="CO17" s="34"/>
      <c r="CP17" s="34"/>
      <c r="CQ17" s="50">
        <f t="shared" si="19"/>
        <v>1</v>
      </c>
      <c r="CR17" s="77">
        <f t="shared" si="23"/>
        <v>0</v>
      </c>
      <c r="CS17" s="28"/>
    </row>
    <row r="18" spans="1:97" s="1" customFormat="1">
      <c r="A18" s="30" t="s">
        <v>126</v>
      </c>
      <c r="B18" s="47"/>
      <c r="C18" s="31" t="s">
        <v>121</v>
      </c>
      <c r="D18" s="32"/>
      <c r="E18" s="32"/>
      <c r="F18" s="87"/>
      <c r="G18" s="48">
        <v>5760</v>
      </c>
      <c r="H18" s="84"/>
      <c r="I18" s="80">
        <f t="shared" si="20"/>
        <v>0</v>
      </c>
      <c r="J18" s="79">
        <f t="shared" si="21"/>
        <v>0</v>
      </c>
      <c r="K18" s="49"/>
      <c r="L18" s="84"/>
      <c r="M18" s="81">
        <f t="shared" si="0"/>
        <v>0</v>
      </c>
      <c r="N18" s="79">
        <f t="shared" si="1"/>
        <v>0</v>
      </c>
      <c r="O18" s="48"/>
      <c r="P18" s="84"/>
      <c r="Q18" s="81">
        <f t="shared" si="2"/>
        <v>0</v>
      </c>
      <c r="R18" s="79">
        <f t="shared" si="3"/>
        <v>0</v>
      </c>
      <c r="S18" s="49"/>
      <c r="T18" s="84"/>
      <c r="U18" s="81">
        <v>0</v>
      </c>
      <c r="V18" s="79">
        <v>0</v>
      </c>
      <c r="W18" s="49"/>
      <c r="X18" s="84"/>
      <c r="Y18" s="81">
        <v>0</v>
      </c>
      <c r="Z18" s="79">
        <v>0</v>
      </c>
      <c r="AA18" s="49"/>
      <c r="AB18" s="84"/>
      <c r="AC18" s="81">
        <v>0</v>
      </c>
      <c r="AD18" s="79">
        <v>0</v>
      </c>
      <c r="AE18" s="49"/>
      <c r="AF18" s="84"/>
      <c r="AG18" s="81">
        <f t="shared" si="22"/>
        <v>0</v>
      </c>
      <c r="AH18" s="79">
        <f t="shared" si="4"/>
        <v>0</v>
      </c>
      <c r="AI18" s="48"/>
      <c r="AJ18" s="84"/>
      <c r="AK18" s="81">
        <f t="shared" si="5"/>
        <v>0</v>
      </c>
      <c r="AL18" s="79">
        <f t="shared" si="6"/>
        <v>0</v>
      </c>
      <c r="AM18" s="48"/>
      <c r="AN18" s="84"/>
      <c r="AO18" s="81">
        <f t="shared" si="7"/>
        <v>0</v>
      </c>
      <c r="AP18" s="79">
        <f t="shared" si="8"/>
        <v>0</v>
      </c>
      <c r="AQ18" s="48"/>
      <c r="AR18" s="84"/>
      <c r="AS18" s="81">
        <f t="shared" si="9"/>
        <v>0</v>
      </c>
      <c r="AT18" s="79">
        <f t="shared" si="10"/>
        <v>0</v>
      </c>
      <c r="AU18" s="49"/>
      <c r="AV18" s="84"/>
      <c r="AW18" s="81">
        <v>0</v>
      </c>
      <c r="AX18" s="79">
        <v>0</v>
      </c>
      <c r="AY18" s="49"/>
      <c r="AZ18" s="84"/>
      <c r="BA18" s="81">
        <v>0</v>
      </c>
      <c r="BB18" s="79">
        <v>0</v>
      </c>
      <c r="BC18" s="49"/>
      <c r="BD18" s="84"/>
      <c r="BE18" s="81">
        <v>0</v>
      </c>
      <c r="BF18" s="79">
        <v>0</v>
      </c>
      <c r="BG18" s="49"/>
      <c r="BH18" s="84"/>
      <c r="BI18" s="81">
        <v>0</v>
      </c>
      <c r="BJ18" s="79">
        <v>0</v>
      </c>
      <c r="BK18" s="49"/>
      <c r="BL18" s="84"/>
      <c r="BM18" s="81">
        <v>0</v>
      </c>
      <c r="BN18" s="79">
        <v>0</v>
      </c>
      <c r="BO18" s="49"/>
      <c r="BP18" s="84"/>
      <c r="BQ18" s="81">
        <v>0</v>
      </c>
      <c r="BR18" s="79">
        <v>0</v>
      </c>
      <c r="BS18" s="49"/>
      <c r="BT18" s="84"/>
      <c r="BU18" s="81">
        <f t="shared" si="11"/>
        <v>0</v>
      </c>
      <c r="BV18" s="79">
        <f t="shared" si="12"/>
        <v>0</v>
      </c>
      <c r="BW18" s="48"/>
      <c r="BX18" s="84"/>
      <c r="BY18" s="81">
        <f t="shared" si="13"/>
        <v>0</v>
      </c>
      <c r="BZ18" s="79">
        <f t="shared" si="14"/>
        <v>0</v>
      </c>
      <c r="CA18" s="48"/>
      <c r="CB18" s="84"/>
      <c r="CC18" s="81">
        <v>0</v>
      </c>
      <c r="CD18" s="79">
        <v>0</v>
      </c>
      <c r="CE18" s="49"/>
      <c r="CF18" s="84"/>
      <c r="CG18" s="81">
        <f t="shared" si="15"/>
        <v>0</v>
      </c>
      <c r="CH18" s="79">
        <f t="shared" si="16"/>
        <v>0</v>
      </c>
      <c r="CI18" s="33"/>
      <c r="CJ18" s="84"/>
      <c r="CK18" s="81">
        <f t="shared" si="17"/>
        <v>0</v>
      </c>
      <c r="CL18" s="79">
        <f t="shared" si="18"/>
        <v>0</v>
      </c>
      <c r="CM18" s="34"/>
      <c r="CN18" s="34"/>
      <c r="CO18" s="34"/>
      <c r="CP18" s="34"/>
      <c r="CQ18" s="50">
        <f t="shared" si="19"/>
        <v>1</v>
      </c>
      <c r="CR18" s="77">
        <f t="shared" si="23"/>
        <v>0</v>
      </c>
      <c r="CS18" s="28"/>
    </row>
    <row r="19" spans="1:97" s="1" customFormat="1">
      <c r="A19" s="30" t="s">
        <v>126</v>
      </c>
      <c r="B19" s="47"/>
      <c r="C19" s="31" t="s">
        <v>123</v>
      </c>
      <c r="D19" s="32"/>
      <c r="E19" s="32"/>
      <c r="F19" s="87"/>
      <c r="G19" s="48">
        <v>21120</v>
      </c>
      <c r="H19" s="84"/>
      <c r="I19" s="80">
        <f t="shared" si="20"/>
        <v>0</v>
      </c>
      <c r="J19" s="79">
        <f t="shared" si="21"/>
        <v>0</v>
      </c>
      <c r="K19" s="49"/>
      <c r="L19" s="84"/>
      <c r="M19" s="81">
        <f t="shared" si="0"/>
        <v>0</v>
      </c>
      <c r="N19" s="79">
        <f t="shared" si="1"/>
        <v>0</v>
      </c>
      <c r="O19" s="48"/>
      <c r="P19" s="84"/>
      <c r="Q19" s="81">
        <f t="shared" si="2"/>
        <v>0</v>
      </c>
      <c r="R19" s="79">
        <f t="shared" si="3"/>
        <v>0</v>
      </c>
      <c r="S19" s="49"/>
      <c r="T19" s="84"/>
      <c r="U19" s="81">
        <v>0</v>
      </c>
      <c r="V19" s="79">
        <v>0</v>
      </c>
      <c r="W19" s="49"/>
      <c r="X19" s="84"/>
      <c r="Y19" s="81">
        <v>0</v>
      </c>
      <c r="Z19" s="79">
        <v>0</v>
      </c>
      <c r="AA19" s="49"/>
      <c r="AB19" s="84"/>
      <c r="AC19" s="81">
        <v>0</v>
      </c>
      <c r="AD19" s="79">
        <v>0</v>
      </c>
      <c r="AE19" s="49"/>
      <c r="AF19" s="84"/>
      <c r="AG19" s="81">
        <f t="shared" si="22"/>
        <v>0</v>
      </c>
      <c r="AH19" s="79">
        <f t="shared" si="4"/>
        <v>0</v>
      </c>
      <c r="AI19" s="48"/>
      <c r="AJ19" s="84"/>
      <c r="AK19" s="81">
        <f t="shared" si="5"/>
        <v>0</v>
      </c>
      <c r="AL19" s="79">
        <f t="shared" si="6"/>
        <v>0</v>
      </c>
      <c r="AM19" s="48"/>
      <c r="AN19" s="84"/>
      <c r="AO19" s="81">
        <f t="shared" si="7"/>
        <v>0</v>
      </c>
      <c r="AP19" s="79">
        <f t="shared" si="8"/>
        <v>0</v>
      </c>
      <c r="AQ19" s="48"/>
      <c r="AR19" s="84"/>
      <c r="AS19" s="81">
        <f t="shared" si="9"/>
        <v>0</v>
      </c>
      <c r="AT19" s="79">
        <f t="shared" si="10"/>
        <v>0</v>
      </c>
      <c r="AU19" s="49"/>
      <c r="AV19" s="84"/>
      <c r="AW19" s="81">
        <v>0</v>
      </c>
      <c r="AX19" s="79">
        <v>0</v>
      </c>
      <c r="AY19" s="49"/>
      <c r="AZ19" s="84"/>
      <c r="BA19" s="81">
        <v>0</v>
      </c>
      <c r="BB19" s="79">
        <v>0</v>
      </c>
      <c r="BC19" s="49"/>
      <c r="BD19" s="84"/>
      <c r="BE19" s="81">
        <v>0</v>
      </c>
      <c r="BF19" s="79">
        <v>0</v>
      </c>
      <c r="BG19" s="49"/>
      <c r="BH19" s="84"/>
      <c r="BI19" s="81">
        <v>0</v>
      </c>
      <c r="BJ19" s="79">
        <v>0</v>
      </c>
      <c r="BK19" s="49"/>
      <c r="BL19" s="84"/>
      <c r="BM19" s="81">
        <v>0</v>
      </c>
      <c r="BN19" s="79">
        <v>0</v>
      </c>
      <c r="BO19" s="49"/>
      <c r="BP19" s="84"/>
      <c r="BQ19" s="81">
        <v>0</v>
      </c>
      <c r="BR19" s="79">
        <v>0</v>
      </c>
      <c r="BS19" s="49"/>
      <c r="BT19" s="84"/>
      <c r="BU19" s="81">
        <f t="shared" si="11"/>
        <v>0</v>
      </c>
      <c r="BV19" s="79">
        <f t="shared" si="12"/>
        <v>0</v>
      </c>
      <c r="BW19" s="48"/>
      <c r="BX19" s="84"/>
      <c r="BY19" s="81">
        <f t="shared" si="13"/>
        <v>0</v>
      </c>
      <c r="BZ19" s="79">
        <f t="shared" si="14"/>
        <v>0</v>
      </c>
      <c r="CA19" s="48"/>
      <c r="CB19" s="84"/>
      <c r="CC19" s="81">
        <v>0</v>
      </c>
      <c r="CD19" s="79">
        <v>0</v>
      </c>
      <c r="CE19" s="49"/>
      <c r="CF19" s="84"/>
      <c r="CG19" s="81">
        <f t="shared" si="15"/>
        <v>0</v>
      </c>
      <c r="CH19" s="79">
        <f t="shared" si="16"/>
        <v>0</v>
      </c>
      <c r="CI19" s="33"/>
      <c r="CJ19" s="84"/>
      <c r="CK19" s="81">
        <f t="shared" si="17"/>
        <v>0</v>
      </c>
      <c r="CL19" s="79">
        <f t="shared" si="18"/>
        <v>0</v>
      </c>
      <c r="CM19" s="34"/>
      <c r="CN19" s="34"/>
      <c r="CO19" s="34"/>
      <c r="CP19" s="53"/>
      <c r="CQ19" s="50">
        <f t="shared" si="19"/>
        <v>1</v>
      </c>
      <c r="CR19" s="77">
        <f t="shared" si="23"/>
        <v>0</v>
      </c>
      <c r="CS19" s="28"/>
    </row>
    <row r="20" spans="1:97" s="1" customFormat="1">
      <c r="A20" s="30" t="s">
        <v>127</v>
      </c>
      <c r="B20" s="47"/>
      <c r="C20" s="31" t="s">
        <v>128</v>
      </c>
      <c r="D20" s="32"/>
      <c r="E20" s="32"/>
      <c r="F20" s="87"/>
      <c r="G20" s="48"/>
      <c r="H20" s="84"/>
      <c r="I20" s="80">
        <f t="shared" si="20"/>
        <v>0</v>
      </c>
      <c r="J20" s="79">
        <f t="shared" si="21"/>
        <v>0</v>
      </c>
      <c r="K20" s="49"/>
      <c r="L20" s="84"/>
      <c r="M20" s="81">
        <f t="shared" si="0"/>
        <v>0</v>
      </c>
      <c r="N20" s="79">
        <f t="shared" si="1"/>
        <v>0</v>
      </c>
      <c r="O20" s="48">
        <v>11520</v>
      </c>
      <c r="P20" s="84"/>
      <c r="Q20" s="81">
        <f t="shared" si="2"/>
        <v>0</v>
      </c>
      <c r="R20" s="79">
        <f t="shared" si="3"/>
        <v>0</v>
      </c>
      <c r="S20" s="49"/>
      <c r="T20" s="84"/>
      <c r="U20" s="81">
        <v>0</v>
      </c>
      <c r="V20" s="79">
        <v>0</v>
      </c>
      <c r="W20" s="49"/>
      <c r="X20" s="84"/>
      <c r="Y20" s="81">
        <v>0</v>
      </c>
      <c r="Z20" s="79">
        <v>0</v>
      </c>
      <c r="AA20" s="49"/>
      <c r="AB20" s="84"/>
      <c r="AC20" s="81">
        <v>0</v>
      </c>
      <c r="AD20" s="79">
        <v>0</v>
      </c>
      <c r="AE20" s="49"/>
      <c r="AF20" s="84"/>
      <c r="AG20" s="81">
        <f t="shared" si="22"/>
        <v>0</v>
      </c>
      <c r="AH20" s="79">
        <f t="shared" si="4"/>
        <v>0</v>
      </c>
      <c r="AI20" s="48"/>
      <c r="AJ20" s="84"/>
      <c r="AK20" s="81">
        <f t="shared" si="5"/>
        <v>0</v>
      </c>
      <c r="AL20" s="79">
        <f t="shared" si="6"/>
        <v>0</v>
      </c>
      <c r="AM20" s="48"/>
      <c r="AN20" s="84"/>
      <c r="AO20" s="81">
        <f t="shared" si="7"/>
        <v>0</v>
      </c>
      <c r="AP20" s="79">
        <f t="shared" si="8"/>
        <v>0</v>
      </c>
      <c r="AQ20" s="48"/>
      <c r="AR20" s="84"/>
      <c r="AS20" s="81">
        <f t="shared" si="9"/>
        <v>0</v>
      </c>
      <c r="AT20" s="79">
        <f t="shared" si="10"/>
        <v>0</v>
      </c>
      <c r="AU20" s="49"/>
      <c r="AV20" s="84"/>
      <c r="AW20" s="81">
        <v>0</v>
      </c>
      <c r="AX20" s="79">
        <v>0</v>
      </c>
      <c r="AY20" s="49"/>
      <c r="AZ20" s="84"/>
      <c r="BA20" s="81">
        <v>0</v>
      </c>
      <c r="BB20" s="79">
        <v>0</v>
      </c>
      <c r="BC20" s="49"/>
      <c r="BD20" s="84"/>
      <c r="BE20" s="81">
        <v>0</v>
      </c>
      <c r="BF20" s="79">
        <v>0</v>
      </c>
      <c r="BG20" s="49"/>
      <c r="BH20" s="84"/>
      <c r="BI20" s="81">
        <v>0</v>
      </c>
      <c r="BJ20" s="79">
        <v>0</v>
      </c>
      <c r="BK20" s="49"/>
      <c r="BL20" s="84"/>
      <c r="BM20" s="81">
        <v>0</v>
      </c>
      <c r="BN20" s="79">
        <v>0</v>
      </c>
      <c r="BO20" s="49"/>
      <c r="BP20" s="84"/>
      <c r="BQ20" s="81">
        <v>0</v>
      </c>
      <c r="BR20" s="79">
        <v>0</v>
      </c>
      <c r="BS20" s="49"/>
      <c r="BT20" s="84"/>
      <c r="BU20" s="81">
        <f t="shared" si="11"/>
        <v>0</v>
      </c>
      <c r="BV20" s="79">
        <f t="shared" si="12"/>
        <v>0</v>
      </c>
      <c r="BW20" s="48"/>
      <c r="BX20" s="84"/>
      <c r="BY20" s="81">
        <f t="shared" si="13"/>
        <v>0</v>
      </c>
      <c r="BZ20" s="79">
        <f t="shared" si="14"/>
        <v>0</v>
      </c>
      <c r="CA20" s="48"/>
      <c r="CB20" s="84"/>
      <c r="CC20" s="81">
        <v>0</v>
      </c>
      <c r="CD20" s="79">
        <v>0</v>
      </c>
      <c r="CE20" s="49"/>
      <c r="CF20" s="84"/>
      <c r="CG20" s="81">
        <f t="shared" si="15"/>
        <v>0</v>
      </c>
      <c r="CH20" s="79">
        <f t="shared" si="16"/>
        <v>0</v>
      </c>
      <c r="CI20" s="33"/>
      <c r="CJ20" s="84"/>
      <c r="CK20" s="81">
        <f t="shared" si="17"/>
        <v>0</v>
      </c>
      <c r="CL20" s="79">
        <f t="shared" si="18"/>
        <v>0</v>
      </c>
      <c r="CM20" s="34"/>
      <c r="CN20" s="34"/>
      <c r="CO20" s="34"/>
      <c r="CP20" s="34"/>
      <c r="CQ20" s="50">
        <f t="shared" si="19"/>
        <v>1</v>
      </c>
      <c r="CR20" s="77">
        <f t="shared" si="23"/>
        <v>0</v>
      </c>
      <c r="CS20" s="28"/>
    </row>
    <row r="21" spans="1:97" s="1" customFormat="1">
      <c r="A21" s="30" t="s">
        <v>127</v>
      </c>
      <c r="B21" s="47"/>
      <c r="C21" s="31" t="s">
        <v>123</v>
      </c>
      <c r="D21" s="32"/>
      <c r="E21" s="32"/>
      <c r="F21" s="87"/>
      <c r="G21" s="48"/>
      <c r="H21" s="84"/>
      <c r="I21" s="80">
        <f t="shared" si="20"/>
        <v>0</v>
      </c>
      <c r="J21" s="79">
        <f t="shared" si="21"/>
        <v>0</v>
      </c>
      <c r="K21" s="49"/>
      <c r="L21" s="84"/>
      <c r="M21" s="81">
        <f t="shared" si="0"/>
        <v>0</v>
      </c>
      <c r="N21" s="79">
        <f t="shared" si="1"/>
        <v>0</v>
      </c>
      <c r="O21" s="48"/>
      <c r="P21" s="84"/>
      <c r="Q21" s="81">
        <f t="shared" si="2"/>
        <v>0</v>
      </c>
      <c r="R21" s="79">
        <f t="shared" si="3"/>
        <v>0</v>
      </c>
      <c r="S21" s="49"/>
      <c r="T21" s="84"/>
      <c r="U21" s="81">
        <v>0</v>
      </c>
      <c r="V21" s="79">
        <v>0</v>
      </c>
      <c r="W21" s="49"/>
      <c r="X21" s="84"/>
      <c r="Y21" s="81">
        <v>0</v>
      </c>
      <c r="Z21" s="79">
        <v>0</v>
      </c>
      <c r="AA21" s="49"/>
      <c r="AB21" s="84"/>
      <c r="AC21" s="81">
        <v>0</v>
      </c>
      <c r="AD21" s="79">
        <v>0</v>
      </c>
      <c r="AE21" s="49"/>
      <c r="AF21" s="84"/>
      <c r="AG21" s="81">
        <f t="shared" si="22"/>
        <v>0</v>
      </c>
      <c r="AH21" s="79">
        <f t="shared" si="4"/>
        <v>0</v>
      </c>
      <c r="AI21" s="48"/>
      <c r="AJ21" s="84"/>
      <c r="AK21" s="81">
        <f t="shared" si="5"/>
        <v>0</v>
      </c>
      <c r="AL21" s="79">
        <f t="shared" si="6"/>
        <v>0</v>
      </c>
      <c r="AM21" s="48"/>
      <c r="AN21" s="84"/>
      <c r="AO21" s="81">
        <f t="shared" si="7"/>
        <v>0</v>
      </c>
      <c r="AP21" s="79">
        <f t="shared" si="8"/>
        <v>0</v>
      </c>
      <c r="AQ21" s="48"/>
      <c r="AR21" s="84"/>
      <c r="AS21" s="81">
        <f t="shared" si="9"/>
        <v>0</v>
      </c>
      <c r="AT21" s="79">
        <f t="shared" si="10"/>
        <v>0</v>
      </c>
      <c r="AU21" s="49"/>
      <c r="AV21" s="84"/>
      <c r="AW21" s="81">
        <v>0</v>
      </c>
      <c r="AX21" s="79">
        <v>0</v>
      </c>
      <c r="AY21" s="49"/>
      <c r="AZ21" s="84"/>
      <c r="BA21" s="81">
        <v>0</v>
      </c>
      <c r="BB21" s="79">
        <v>0</v>
      </c>
      <c r="BC21" s="49"/>
      <c r="BD21" s="84"/>
      <c r="BE21" s="81">
        <v>0</v>
      </c>
      <c r="BF21" s="79">
        <v>0</v>
      </c>
      <c r="BG21" s="49"/>
      <c r="BH21" s="84"/>
      <c r="BI21" s="81">
        <v>0</v>
      </c>
      <c r="BJ21" s="79">
        <v>0</v>
      </c>
      <c r="BK21" s="49"/>
      <c r="BL21" s="84"/>
      <c r="BM21" s="81">
        <v>0</v>
      </c>
      <c r="BN21" s="79">
        <v>0</v>
      </c>
      <c r="BO21" s="49"/>
      <c r="BP21" s="84"/>
      <c r="BQ21" s="81">
        <v>0</v>
      </c>
      <c r="BR21" s="79">
        <v>0</v>
      </c>
      <c r="BS21" s="49"/>
      <c r="BT21" s="84"/>
      <c r="BU21" s="81">
        <f t="shared" si="11"/>
        <v>0</v>
      </c>
      <c r="BV21" s="79">
        <f t="shared" si="12"/>
        <v>0</v>
      </c>
      <c r="BW21" s="48"/>
      <c r="BX21" s="84"/>
      <c r="BY21" s="81">
        <f t="shared" si="13"/>
        <v>0</v>
      </c>
      <c r="BZ21" s="79">
        <f t="shared" si="14"/>
        <v>0</v>
      </c>
      <c r="CA21" s="48"/>
      <c r="CB21" s="84"/>
      <c r="CC21" s="81">
        <v>0</v>
      </c>
      <c r="CD21" s="79">
        <v>0</v>
      </c>
      <c r="CE21" s="49"/>
      <c r="CF21" s="84"/>
      <c r="CG21" s="81">
        <f t="shared" si="15"/>
        <v>0</v>
      </c>
      <c r="CH21" s="79">
        <f t="shared" si="16"/>
        <v>0</v>
      </c>
      <c r="CI21" s="33"/>
      <c r="CJ21" s="84"/>
      <c r="CK21" s="81">
        <f t="shared" si="17"/>
        <v>0</v>
      </c>
      <c r="CL21" s="79">
        <f t="shared" si="18"/>
        <v>0</v>
      </c>
      <c r="CM21" s="34"/>
      <c r="CN21" s="34"/>
      <c r="CO21" s="34"/>
      <c r="CP21" s="34"/>
      <c r="CQ21" s="50">
        <f t="shared" si="19"/>
        <v>1</v>
      </c>
      <c r="CR21" s="77">
        <f t="shared" si="23"/>
        <v>0</v>
      </c>
      <c r="CS21" s="28"/>
    </row>
    <row r="22" spans="1:97" s="1" customFormat="1">
      <c r="A22" s="30" t="s">
        <v>129</v>
      </c>
      <c r="B22" s="47"/>
      <c r="C22" s="31" t="s">
        <v>123</v>
      </c>
      <c r="D22" s="32"/>
      <c r="E22" s="32"/>
      <c r="F22" s="87"/>
      <c r="G22" s="48"/>
      <c r="H22" s="84"/>
      <c r="I22" s="80">
        <f t="shared" si="20"/>
        <v>0</v>
      </c>
      <c r="J22" s="79">
        <f t="shared" si="21"/>
        <v>0</v>
      </c>
      <c r="K22" s="49"/>
      <c r="L22" s="84"/>
      <c r="M22" s="81">
        <f t="shared" si="0"/>
        <v>0</v>
      </c>
      <c r="N22" s="79">
        <f t="shared" si="1"/>
        <v>0</v>
      </c>
      <c r="O22" s="48"/>
      <c r="P22" s="84"/>
      <c r="Q22" s="81">
        <f t="shared" si="2"/>
        <v>0</v>
      </c>
      <c r="R22" s="79">
        <f t="shared" si="3"/>
        <v>0</v>
      </c>
      <c r="S22" s="49"/>
      <c r="T22" s="84"/>
      <c r="U22" s="81">
        <v>0</v>
      </c>
      <c r="V22" s="79">
        <v>0</v>
      </c>
      <c r="W22" s="49"/>
      <c r="X22" s="84"/>
      <c r="Y22" s="81">
        <v>0</v>
      </c>
      <c r="Z22" s="79">
        <v>0</v>
      </c>
      <c r="AA22" s="49"/>
      <c r="AB22" s="84"/>
      <c r="AC22" s="81">
        <v>0</v>
      </c>
      <c r="AD22" s="79">
        <v>0</v>
      </c>
      <c r="AE22" s="49"/>
      <c r="AF22" s="84"/>
      <c r="AG22" s="81">
        <f t="shared" si="22"/>
        <v>0</v>
      </c>
      <c r="AH22" s="79">
        <f t="shared" si="4"/>
        <v>0</v>
      </c>
      <c r="AI22" s="48">
        <v>1920</v>
      </c>
      <c r="AJ22" s="84"/>
      <c r="AK22" s="81">
        <f t="shared" si="5"/>
        <v>0</v>
      </c>
      <c r="AL22" s="79">
        <f t="shared" si="6"/>
        <v>0</v>
      </c>
      <c r="AM22" s="48"/>
      <c r="AN22" s="84"/>
      <c r="AO22" s="81">
        <f t="shared" si="7"/>
        <v>0</v>
      </c>
      <c r="AP22" s="79">
        <f t="shared" si="8"/>
        <v>0</v>
      </c>
      <c r="AQ22" s="48"/>
      <c r="AR22" s="84"/>
      <c r="AS22" s="81">
        <f t="shared" si="9"/>
        <v>0</v>
      </c>
      <c r="AT22" s="79">
        <f t="shared" si="10"/>
        <v>0</v>
      </c>
      <c r="AU22" s="49"/>
      <c r="AV22" s="84"/>
      <c r="AW22" s="81">
        <v>0</v>
      </c>
      <c r="AX22" s="79">
        <v>0</v>
      </c>
      <c r="AY22" s="49"/>
      <c r="AZ22" s="84"/>
      <c r="BA22" s="81">
        <v>0</v>
      </c>
      <c r="BB22" s="79">
        <v>0</v>
      </c>
      <c r="BC22" s="49"/>
      <c r="BD22" s="84"/>
      <c r="BE22" s="81">
        <v>0</v>
      </c>
      <c r="BF22" s="79">
        <v>0</v>
      </c>
      <c r="BG22" s="49"/>
      <c r="BH22" s="84"/>
      <c r="BI22" s="81">
        <v>0</v>
      </c>
      <c r="BJ22" s="79">
        <v>0</v>
      </c>
      <c r="BK22" s="49"/>
      <c r="BL22" s="84"/>
      <c r="BM22" s="81">
        <v>0</v>
      </c>
      <c r="BN22" s="79">
        <v>0</v>
      </c>
      <c r="BO22" s="49"/>
      <c r="BP22" s="84"/>
      <c r="BQ22" s="81">
        <v>0</v>
      </c>
      <c r="BR22" s="79">
        <v>0</v>
      </c>
      <c r="BS22" s="49"/>
      <c r="BT22" s="84"/>
      <c r="BU22" s="81">
        <f t="shared" si="11"/>
        <v>0</v>
      </c>
      <c r="BV22" s="79">
        <f t="shared" si="12"/>
        <v>0</v>
      </c>
      <c r="BW22" s="48"/>
      <c r="BX22" s="84"/>
      <c r="BY22" s="81">
        <f t="shared" si="13"/>
        <v>0</v>
      </c>
      <c r="BZ22" s="79">
        <f t="shared" si="14"/>
        <v>0</v>
      </c>
      <c r="CA22" s="48"/>
      <c r="CB22" s="84"/>
      <c r="CC22" s="81">
        <v>0</v>
      </c>
      <c r="CD22" s="79">
        <v>0</v>
      </c>
      <c r="CE22" s="49"/>
      <c r="CF22" s="84"/>
      <c r="CG22" s="81">
        <f t="shared" si="15"/>
        <v>0</v>
      </c>
      <c r="CH22" s="79">
        <f t="shared" si="16"/>
        <v>0</v>
      </c>
      <c r="CI22" s="33"/>
      <c r="CJ22" s="84"/>
      <c r="CK22" s="81">
        <f t="shared" si="17"/>
        <v>0</v>
      </c>
      <c r="CL22" s="79">
        <f t="shared" si="18"/>
        <v>0</v>
      </c>
      <c r="CM22" s="34"/>
      <c r="CN22" s="34"/>
      <c r="CO22" s="34"/>
      <c r="CP22" s="34"/>
      <c r="CQ22" s="50">
        <f t="shared" si="19"/>
        <v>1</v>
      </c>
      <c r="CR22" s="77">
        <f t="shared" si="23"/>
        <v>0</v>
      </c>
      <c r="CS22" s="28"/>
    </row>
    <row r="23" spans="1:97" s="1" customFormat="1">
      <c r="A23" s="30" t="s">
        <v>130</v>
      </c>
      <c r="B23" s="47"/>
      <c r="C23" s="31" t="s">
        <v>123</v>
      </c>
      <c r="D23" s="32"/>
      <c r="E23" s="32"/>
      <c r="F23" s="87"/>
      <c r="G23" s="48"/>
      <c r="H23" s="84"/>
      <c r="I23" s="80">
        <f t="shared" si="20"/>
        <v>0</v>
      </c>
      <c r="J23" s="79">
        <f t="shared" si="21"/>
        <v>0</v>
      </c>
      <c r="K23" s="48">
        <v>1920</v>
      </c>
      <c r="L23" s="84"/>
      <c r="M23" s="81">
        <f t="shared" si="0"/>
        <v>0</v>
      </c>
      <c r="N23" s="79">
        <f t="shared" si="1"/>
        <v>0</v>
      </c>
      <c r="O23" s="48"/>
      <c r="P23" s="84"/>
      <c r="Q23" s="81">
        <f t="shared" si="2"/>
        <v>0</v>
      </c>
      <c r="R23" s="79">
        <f t="shared" si="3"/>
        <v>0</v>
      </c>
      <c r="S23" s="49"/>
      <c r="T23" s="84"/>
      <c r="U23" s="81">
        <v>0</v>
      </c>
      <c r="V23" s="79">
        <v>0</v>
      </c>
      <c r="W23" s="49"/>
      <c r="X23" s="84"/>
      <c r="Y23" s="81">
        <v>0</v>
      </c>
      <c r="Z23" s="79">
        <v>0</v>
      </c>
      <c r="AA23" s="49"/>
      <c r="AB23" s="84"/>
      <c r="AC23" s="81">
        <v>0</v>
      </c>
      <c r="AD23" s="79">
        <v>0</v>
      </c>
      <c r="AE23" s="49"/>
      <c r="AF23" s="84"/>
      <c r="AG23" s="81">
        <f t="shared" si="22"/>
        <v>0</v>
      </c>
      <c r="AH23" s="79">
        <f t="shared" si="4"/>
        <v>0</v>
      </c>
      <c r="AI23" s="48"/>
      <c r="AJ23" s="84"/>
      <c r="AK23" s="81">
        <f t="shared" si="5"/>
        <v>0</v>
      </c>
      <c r="AL23" s="79">
        <f t="shared" si="6"/>
        <v>0</v>
      </c>
      <c r="AM23" s="48"/>
      <c r="AN23" s="84"/>
      <c r="AO23" s="81">
        <f t="shared" si="7"/>
        <v>0</v>
      </c>
      <c r="AP23" s="79">
        <f t="shared" si="8"/>
        <v>0</v>
      </c>
      <c r="AQ23" s="48"/>
      <c r="AR23" s="84"/>
      <c r="AS23" s="81">
        <f t="shared" si="9"/>
        <v>0</v>
      </c>
      <c r="AT23" s="79">
        <f t="shared" si="10"/>
        <v>0</v>
      </c>
      <c r="AU23" s="49"/>
      <c r="AV23" s="84"/>
      <c r="AW23" s="81">
        <v>0</v>
      </c>
      <c r="AX23" s="79">
        <v>0</v>
      </c>
      <c r="AY23" s="49"/>
      <c r="AZ23" s="84"/>
      <c r="BA23" s="81">
        <v>0</v>
      </c>
      <c r="BB23" s="79">
        <v>0</v>
      </c>
      <c r="BC23" s="49"/>
      <c r="BD23" s="84"/>
      <c r="BE23" s="81">
        <v>0</v>
      </c>
      <c r="BF23" s="79">
        <v>0</v>
      </c>
      <c r="BG23" s="49"/>
      <c r="BH23" s="84"/>
      <c r="BI23" s="81">
        <v>0</v>
      </c>
      <c r="BJ23" s="79">
        <v>0</v>
      </c>
      <c r="BK23" s="49"/>
      <c r="BL23" s="84"/>
      <c r="BM23" s="81">
        <v>0</v>
      </c>
      <c r="BN23" s="79">
        <v>0</v>
      </c>
      <c r="BO23" s="49"/>
      <c r="BP23" s="84"/>
      <c r="BQ23" s="81">
        <v>0</v>
      </c>
      <c r="BR23" s="79">
        <v>0</v>
      </c>
      <c r="BS23" s="49"/>
      <c r="BT23" s="84"/>
      <c r="BU23" s="81">
        <f t="shared" si="11"/>
        <v>0</v>
      </c>
      <c r="BV23" s="79">
        <f t="shared" si="12"/>
        <v>0</v>
      </c>
      <c r="BW23" s="48"/>
      <c r="BX23" s="84"/>
      <c r="BY23" s="81">
        <f t="shared" si="13"/>
        <v>0</v>
      </c>
      <c r="BZ23" s="79">
        <f t="shared" si="14"/>
        <v>0</v>
      </c>
      <c r="CA23" s="48"/>
      <c r="CB23" s="84"/>
      <c r="CC23" s="81">
        <v>0</v>
      </c>
      <c r="CD23" s="79">
        <v>0</v>
      </c>
      <c r="CE23" s="49"/>
      <c r="CF23" s="84"/>
      <c r="CG23" s="81">
        <f t="shared" si="15"/>
        <v>0</v>
      </c>
      <c r="CH23" s="79">
        <f t="shared" si="16"/>
        <v>0</v>
      </c>
      <c r="CI23" s="33"/>
      <c r="CJ23" s="84"/>
      <c r="CK23" s="81">
        <f t="shared" si="17"/>
        <v>0</v>
      </c>
      <c r="CL23" s="79">
        <f t="shared" si="18"/>
        <v>0</v>
      </c>
      <c r="CM23" s="34"/>
      <c r="CN23" s="34"/>
      <c r="CO23" s="34"/>
      <c r="CP23" s="34"/>
      <c r="CQ23" s="50">
        <f t="shared" si="19"/>
        <v>1</v>
      </c>
      <c r="CR23" s="77">
        <f t="shared" si="23"/>
        <v>0</v>
      </c>
      <c r="CS23" s="28"/>
    </row>
    <row r="24" spans="1:97" s="1" customFormat="1">
      <c r="A24" s="30" t="s">
        <v>131</v>
      </c>
      <c r="B24" s="47"/>
      <c r="C24" s="31" t="s">
        <v>121</v>
      </c>
      <c r="D24" s="32"/>
      <c r="E24" s="32"/>
      <c r="F24" s="87"/>
      <c r="G24" s="48"/>
      <c r="H24" s="84"/>
      <c r="I24" s="80">
        <f t="shared" si="20"/>
        <v>0</v>
      </c>
      <c r="J24" s="79">
        <f t="shared" si="21"/>
        <v>0</v>
      </c>
      <c r="K24" s="49"/>
      <c r="L24" s="84"/>
      <c r="M24" s="81">
        <f t="shared" si="0"/>
        <v>0</v>
      </c>
      <c r="N24" s="79">
        <f t="shared" si="1"/>
        <v>0</v>
      </c>
      <c r="O24" s="48">
        <v>1920</v>
      </c>
      <c r="P24" s="84"/>
      <c r="Q24" s="81">
        <f t="shared" si="2"/>
        <v>0</v>
      </c>
      <c r="R24" s="79">
        <f t="shared" si="3"/>
        <v>0</v>
      </c>
      <c r="S24" s="49"/>
      <c r="T24" s="84"/>
      <c r="U24" s="81">
        <v>0</v>
      </c>
      <c r="V24" s="79">
        <v>0</v>
      </c>
      <c r="W24" s="49"/>
      <c r="X24" s="84"/>
      <c r="Y24" s="81">
        <v>0</v>
      </c>
      <c r="Z24" s="79">
        <v>0</v>
      </c>
      <c r="AA24" s="49"/>
      <c r="AB24" s="84"/>
      <c r="AC24" s="81">
        <v>0</v>
      </c>
      <c r="AD24" s="79">
        <v>0</v>
      </c>
      <c r="AE24" s="49"/>
      <c r="AF24" s="84"/>
      <c r="AG24" s="81">
        <f t="shared" si="22"/>
        <v>0</v>
      </c>
      <c r="AH24" s="79">
        <f t="shared" si="4"/>
        <v>0</v>
      </c>
      <c r="AI24" s="48"/>
      <c r="AJ24" s="84"/>
      <c r="AK24" s="81">
        <f t="shared" si="5"/>
        <v>0</v>
      </c>
      <c r="AL24" s="79">
        <f t="shared" si="6"/>
        <v>0</v>
      </c>
      <c r="AM24" s="48"/>
      <c r="AN24" s="84"/>
      <c r="AO24" s="81">
        <f t="shared" si="7"/>
        <v>0</v>
      </c>
      <c r="AP24" s="79">
        <f t="shared" si="8"/>
        <v>0</v>
      </c>
      <c r="AQ24" s="48"/>
      <c r="AR24" s="84"/>
      <c r="AS24" s="81">
        <f t="shared" si="9"/>
        <v>0</v>
      </c>
      <c r="AT24" s="79">
        <f t="shared" si="10"/>
        <v>0</v>
      </c>
      <c r="AU24" s="49"/>
      <c r="AV24" s="84"/>
      <c r="AW24" s="81">
        <v>0</v>
      </c>
      <c r="AX24" s="79">
        <v>0</v>
      </c>
      <c r="AY24" s="49"/>
      <c r="AZ24" s="84"/>
      <c r="BA24" s="81">
        <v>0</v>
      </c>
      <c r="BB24" s="79">
        <v>0</v>
      </c>
      <c r="BC24" s="49"/>
      <c r="BD24" s="84"/>
      <c r="BE24" s="81">
        <v>0</v>
      </c>
      <c r="BF24" s="79">
        <v>0</v>
      </c>
      <c r="BG24" s="49"/>
      <c r="BH24" s="84"/>
      <c r="BI24" s="81">
        <v>0</v>
      </c>
      <c r="BJ24" s="79">
        <v>0</v>
      </c>
      <c r="BK24" s="49"/>
      <c r="BL24" s="84"/>
      <c r="BM24" s="81">
        <v>0</v>
      </c>
      <c r="BN24" s="79">
        <v>0</v>
      </c>
      <c r="BO24" s="49"/>
      <c r="BP24" s="84"/>
      <c r="BQ24" s="81">
        <v>0</v>
      </c>
      <c r="BR24" s="79">
        <v>0</v>
      </c>
      <c r="BS24" s="49"/>
      <c r="BT24" s="84"/>
      <c r="BU24" s="81">
        <f t="shared" si="11"/>
        <v>0</v>
      </c>
      <c r="BV24" s="79">
        <f t="shared" si="12"/>
        <v>0</v>
      </c>
      <c r="BW24" s="48"/>
      <c r="BX24" s="84"/>
      <c r="BY24" s="81">
        <f t="shared" si="13"/>
        <v>0</v>
      </c>
      <c r="BZ24" s="79">
        <f t="shared" si="14"/>
        <v>0</v>
      </c>
      <c r="CA24" s="48"/>
      <c r="CB24" s="84"/>
      <c r="CC24" s="81">
        <v>0</v>
      </c>
      <c r="CD24" s="79">
        <v>0</v>
      </c>
      <c r="CE24" s="49"/>
      <c r="CF24" s="84"/>
      <c r="CG24" s="81">
        <f t="shared" si="15"/>
        <v>0</v>
      </c>
      <c r="CH24" s="79">
        <f t="shared" si="16"/>
        <v>0</v>
      </c>
      <c r="CI24" s="33"/>
      <c r="CJ24" s="84"/>
      <c r="CK24" s="81">
        <f t="shared" si="17"/>
        <v>0</v>
      </c>
      <c r="CL24" s="79">
        <f t="shared" si="18"/>
        <v>0</v>
      </c>
      <c r="CM24" s="34"/>
      <c r="CN24" s="34"/>
      <c r="CO24" s="34"/>
      <c r="CP24" s="34"/>
      <c r="CQ24" s="50">
        <f t="shared" si="19"/>
        <v>1</v>
      </c>
      <c r="CR24" s="77">
        <f t="shared" si="23"/>
        <v>0</v>
      </c>
      <c r="CS24" s="28"/>
    </row>
    <row r="25" spans="1:97" s="1" customFormat="1">
      <c r="A25" s="30" t="s">
        <v>131</v>
      </c>
      <c r="B25" s="47"/>
      <c r="C25" s="31" t="s">
        <v>123</v>
      </c>
      <c r="D25" s="32"/>
      <c r="E25" s="32"/>
      <c r="F25" s="87"/>
      <c r="G25" s="48"/>
      <c r="H25" s="84"/>
      <c r="I25" s="80">
        <f t="shared" si="20"/>
        <v>0</v>
      </c>
      <c r="J25" s="79">
        <f t="shared" si="21"/>
        <v>0</v>
      </c>
      <c r="K25" s="49"/>
      <c r="L25" s="84"/>
      <c r="M25" s="81">
        <f t="shared" si="0"/>
        <v>0</v>
      </c>
      <c r="N25" s="79">
        <f t="shared" si="1"/>
        <v>0</v>
      </c>
      <c r="O25" s="48">
        <v>3840</v>
      </c>
      <c r="P25" s="84"/>
      <c r="Q25" s="81">
        <f t="shared" si="2"/>
        <v>0</v>
      </c>
      <c r="R25" s="79">
        <f t="shared" si="3"/>
        <v>0</v>
      </c>
      <c r="S25" s="49"/>
      <c r="T25" s="84"/>
      <c r="U25" s="81">
        <v>0</v>
      </c>
      <c r="V25" s="79">
        <v>0</v>
      </c>
      <c r="W25" s="49"/>
      <c r="X25" s="84"/>
      <c r="Y25" s="81">
        <v>0</v>
      </c>
      <c r="Z25" s="79">
        <v>0</v>
      </c>
      <c r="AA25" s="49"/>
      <c r="AB25" s="84"/>
      <c r="AC25" s="81">
        <v>0</v>
      </c>
      <c r="AD25" s="79">
        <v>0</v>
      </c>
      <c r="AE25" s="49"/>
      <c r="AF25" s="84"/>
      <c r="AG25" s="81">
        <f t="shared" si="22"/>
        <v>0</v>
      </c>
      <c r="AH25" s="79">
        <f t="shared" si="4"/>
        <v>0</v>
      </c>
      <c r="AI25" s="48"/>
      <c r="AJ25" s="84"/>
      <c r="AK25" s="81">
        <f t="shared" si="5"/>
        <v>0</v>
      </c>
      <c r="AL25" s="79">
        <f t="shared" si="6"/>
        <v>0</v>
      </c>
      <c r="AM25" s="48"/>
      <c r="AN25" s="84"/>
      <c r="AO25" s="81">
        <f t="shared" si="7"/>
        <v>0</v>
      </c>
      <c r="AP25" s="79">
        <f t="shared" si="8"/>
        <v>0</v>
      </c>
      <c r="AQ25" s="48"/>
      <c r="AR25" s="84"/>
      <c r="AS25" s="81">
        <f t="shared" si="9"/>
        <v>0</v>
      </c>
      <c r="AT25" s="79">
        <f t="shared" si="10"/>
        <v>0</v>
      </c>
      <c r="AU25" s="49"/>
      <c r="AV25" s="84"/>
      <c r="AW25" s="81">
        <v>0</v>
      </c>
      <c r="AX25" s="79">
        <v>0</v>
      </c>
      <c r="AY25" s="49"/>
      <c r="AZ25" s="84"/>
      <c r="BA25" s="81">
        <v>0</v>
      </c>
      <c r="BB25" s="79">
        <v>0</v>
      </c>
      <c r="BC25" s="49"/>
      <c r="BD25" s="84"/>
      <c r="BE25" s="81">
        <v>0</v>
      </c>
      <c r="BF25" s="79">
        <v>0</v>
      </c>
      <c r="BG25" s="49"/>
      <c r="BH25" s="84"/>
      <c r="BI25" s="81">
        <v>0</v>
      </c>
      <c r="BJ25" s="79">
        <v>0</v>
      </c>
      <c r="BK25" s="49"/>
      <c r="BL25" s="84"/>
      <c r="BM25" s="81">
        <v>0</v>
      </c>
      <c r="BN25" s="79">
        <v>0</v>
      </c>
      <c r="BO25" s="49"/>
      <c r="BP25" s="84"/>
      <c r="BQ25" s="81">
        <v>0</v>
      </c>
      <c r="BR25" s="79">
        <v>0</v>
      </c>
      <c r="BS25" s="49"/>
      <c r="BT25" s="84"/>
      <c r="BU25" s="81">
        <f t="shared" si="11"/>
        <v>0</v>
      </c>
      <c r="BV25" s="79">
        <f t="shared" si="12"/>
        <v>0</v>
      </c>
      <c r="BW25" s="48"/>
      <c r="BX25" s="84"/>
      <c r="BY25" s="81">
        <f t="shared" si="13"/>
        <v>0</v>
      </c>
      <c r="BZ25" s="79">
        <f t="shared" si="14"/>
        <v>0</v>
      </c>
      <c r="CA25" s="48"/>
      <c r="CB25" s="84"/>
      <c r="CC25" s="81">
        <v>0</v>
      </c>
      <c r="CD25" s="79">
        <v>0</v>
      </c>
      <c r="CE25" s="49"/>
      <c r="CF25" s="84"/>
      <c r="CG25" s="81">
        <f t="shared" si="15"/>
        <v>0</v>
      </c>
      <c r="CH25" s="79">
        <f t="shared" si="16"/>
        <v>0</v>
      </c>
      <c r="CI25" s="33"/>
      <c r="CJ25" s="84"/>
      <c r="CK25" s="81">
        <f t="shared" si="17"/>
        <v>0</v>
      </c>
      <c r="CL25" s="79">
        <f t="shared" si="18"/>
        <v>0</v>
      </c>
      <c r="CM25" s="34"/>
      <c r="CN25" s="34"/>
      <c r="CO25" s="34"/>
      <c r="CP25" s="34"/>
      <c r="CQ25" s="50">
        <f t="shared" si="19"/>
        <v>1</v>
      </c>
      <c r="CR25" s="77">
        <f t="shared" si="23"/>
        <v>0</v>
      </c>
      <c r="CS25" s="28"/>
    </row>
    <row r="26" spans="1:97" s="1" customFormat="1">
      <c r="A26" s="30" t="s">
        <v>132</v>
      </c>
      <c r="B26" s="47"/>
      <c r="C26" s="31" t="s">
        <v>123</v>
      </c>
      <c r="D26" s="32"/>
      <c r="E26" s="32"/>
      <c r="F26" s="87"/>
      <c r="G26" s="48"/>
      <c r="H26" s="84"/>
      <c r="I26" s="80">
        <f t="shared" si="20"/>
        <v>0</v>
      </c>
      <c r="J26" s="79">
        <f t="shared" si="21"/>
        <v>0</v>
      </c>
      <c r="K26" s="49"/>
      <c r="L26" s="84"/>
      <c r="M26" s="81">
        <f t="shared" si="0"/>
        <v>0</v>
      </c>
      <c r="N26" s="79">
        <f t="shared" si="1"/>
        <v>0</v>
      </c>
      <c r="O26" s="48"/>
      <c r="P26" s="84"/>
      <c r="Q26" s="81">
        <f t="shared" si="2"/>
        <v>0</v>
      </c>
      <c r="R26" s="79">
        <f t="shared" si="3"/>
        <v>0</v>
      </c>
      <c r="S26" s="49"/>
      <c r="T26" s="84"/>
      <c r="U26" s="81">
        <v>0</v>
      </c>
      <c r="V26" s="79">
        <v>0</v>
      </c>
      <c r="W26" s="49"/>
      <c r="X26" s="84"/>
      <c r="Y26" s="81">
        <v>0</v>
      </c>
      <c r="Z26" s="79">
        <v>0</v>
      </c>
      <c r="AA26" s="49"/>
      <c r="AB26" s="84"/>
      <c r="AC26" s="81">
        <v>0</v>
      </c>
      <c r="AD26" s="79">
        <v>0</v>
      </c>
      <c r="AE26" s="49"/>
      <c r="AF26" s="84"/>
      <c r="AG26" s="81">
        <f t="shared" si="22"/>
        <v>0</v>
      </c>
      <c r="AH26" s="79">
        <f t="shared" si="4"/>
        <v>0</v>
      </c>
      <c r="AI26" s="48"/>
      <c r="AJ26" s="84"/>
      <c r="AK26" s="81">
        <f t="shared" si="5"/>
        <v>0</v>
      </c>
      <c r="AL26" s="79">
        <f t="shared" si="6"/>
        <v>0</v>
      </c>
      <c r="AM26" s="48"/>
      <c r="AN26" s="84"/>
      <c r="AO26" s="81">
        <f t="shared" si="7"/>
        <v>0</v>
      </c>
      <c r="AP26" s="79">
        <f t="shared" si="8"/>
        <v>0</v>
      </c>
      <c r="AQ26" s="48"/>
      <c r="AR26" s="84"/>
      <c r="AS26" s="81">
        <f t="shared" si="9"/>
        <v>0</v>
      </c>
      <c r="AT26" s="79">
        <f t="shared" si="10"/>
        <v>0</v>
      </c>
      <c r="AU26" s="49"/>
      <c r="AV26" s="84"/>
      <c r="AW26" s="81">
        <v>0</v>
      </c>
      <c r="AX26" s="79">
        <v>0</v>
      </c>
      <c r="AY26" s="49"/>
      <c r="AZ26" s="84"/>
      <c r="BA26" s="81">
        <v>0</v>
      </c>
      <c r="BB26" s="79">
        <v>0</v>
      </c>
      <c r="BC26" s="49"/>
      <c r="BD26" s="84"/>
      <c r="BE26" s="81">
        <v>0</v>
      </c>
      <c r="BF26" s="79">
        <v>0</v>
      </c>
      <c r="BG26" s="49"/>
      <c r="BH26" s="84"/>
      <c r="BI26" s="81">
        <v>0</v>
      </c>
      <c r="BJ26" s="79">
        <v>0</v>
      </c>
      <c r="BK26" s="49"/>
      <c r="BL26" s="84"/>
      <c r="BM26" s="81">
        <v>0</v>
      </c>
      <c r="BN26" s="79">
        <v>0</v>
      </c>
      <c r="BO26" s="49"/>
      <c r="BP26" s="84"/>
      <c r="BQ26" s="81">
        <v>0</v>
      </c>
      <c r="BR26" s="79">
        <v>0</v>
      </c>
      <c r="BS26" s="49"/>
      <c r="BT26" s="84"/>
      <c r="BU26" s="81">
        <f t="shared" si="11"/>
        <v>0</v>
      </c>
      <c r="BV26" s="79">
        <f t="shared" si="12"/>
        <v>0</v>
      </c>
      <c r="BW26" s="48">
        <v>1920</v>
      </c>
      <c r="BX26" s="84"/>
      <c r="BY26" s="81">
        <f t="shared" si="13"/>
        <v>0</v>
      </c>
      <c r="BZ26" s="79">
        <f t="shared" si="14"/>
        <v>0</v>
      </c>
      <c r="CA26" s="48"/>
      <c r="CB26" s="84"/>
      <c r="CC26" s="81">
        <v>0</v>
      </c>
      <c r="CD26" s="79">
        <v>0</v>
      </c>
      <c r="CE26" s="49"/>
      <c r="CF26" s="84"/>
      <c r="CG26" s="81">
        <f t="shared" si="15"/>
        <v>0</v>
      </c>
      <c r="CH26" s="79">
        <f t="shared" si="16"/>
        <v>0</v>
      </c>
      <c r="CI26" s="33"/>
      <c r="CJ26" s="84"/>
      <c r="CK26" s="81">
        <f t="shared" si="17"/>
        <v>0</v>
      </c>
      <c r="CL26" s="79">
        <f t="shared" si="18"/>
        <v>0</v>
      </c>
      <c r="CM26" s="34"/>
      <c r="CN26" s="34"/>
      <c r="CO26" s="34"/>
      <c r="CP26" s="34"/>
      <c r="CQ26" s="50">
        <f t="shared" si="19"/>
        <v>1</v>
      </c>
      <c r="CR26" s="77">
        <f t="shared" si="23"/>
        <v>0</v>
      </c>
      <c r="CS26" s="28"/>
    </row>
    <row r="27" spans="1:97" s="1" customFormat="1">
      <c r="A27" s="30" t="s">
        <v>133</v>
      </c>
      <c r="B27" s="47"/>
      <c r="C27" s="31" t="s">
        <v>123</v>
      </c>
      <c r="D27" s="32"/>
      <c r="E27" s="32"/>
      <c r="F27" s="87"/>
      <c r="G27" s="48"/>
      <c r="H27" s="84"/>
      <c r="I27" s="80">
        <f t="shared" si="20"/>
        <v>0</v>
      </c>
      <c r="J27" s="79">
        <f t="shared" si="21"/>
        <v>0</v>
      </c>
      <c r="K27" s="49"/>
      <c r="L27" s="84"/>
      <c r="M27" s="81">
        <v>87</v>
      </c>
      <c r="N27" s="79">
        <f t="shared" si="1"/>
        <v>0</v>
      </c>
      <c r="O27" s="48">
        <v>3840</v>
      </c>
      <c r="P27" s="84"/>
      <c r="Q27" s="81">
        <f t="shared" si="2"/>
        <v>0</v>
      </c>
      <c r="R27" s="79">
        <f t="shared" si="3"/>
        <v>0</v>
      </c>
      <c r="S27" s="49"/>
      <c r="T27" s="84"/>
      <c r="U27" s="81">
        <v>0</v>
      </c>
      <c r="V27" s="79">
        <v>0</v>
      </c>
      <c r="W27" s="49"/>
      <c r="X27" s="84"/>
      <c r="Y27" s="81">
        <v>0</v>
      </c>
      <c r="Z27" s="79">
        <v>0</v>
      </c>
      <c r="AA27" s="49"/>
      <c r="AB27" s="84"/>
      <c r="AC27" s="81">
        <v>0</v>
      </c>
      <c r="AD27" s="79">
        <v>0</v>
      </c>
      <c r="AE27" s="49"/>
      <c r="AF27" s="84"/>
      <c r="AG27" s="81">
        <f t="shared" si="22"/>
        <v>0</v>
      </c>
      <c r="AH27" s="79">
        <f t="shared" si="4"/>
        <v>0</v>
      </c>
      <c r="AI27" s="48"/>
      <c r="AJ27" s="84"/>
      <c r="AK27" s="81">
        <f t="shared" si="5"/>
        <v>0</v>
      </c>
      <c r="AL27" s="79">
        <f t="shared" si="6"/>
        <v>0</v>
      </c>
      <c r="AM27" s="48"/>
      <c r="AN27" s="84"/>
      <c r="AO27" s="81">
        <f t="shared" si="7"/>
        <v>0</v>
      </c>
      <c r="AP27" s="79">
        <f t="shared" si="8"/>
        <v>0</v>
      </c>
      <c r="AQ27" s="48"/>
      <c r="AR27" s="84"/>
      <c r="AS27" s="81">
        <f t="shared" si="9"/>
        <v>0</v>
      </c>
      <c r="AT27" s="79">
        <f t="shared" si="10"/>
        <v>0</v>
      </c>
      <c r="AU27" s="49"/>
      <c r="AV27" s="84"/>
      <c r="AW27" s="81">
        <v>0</v>
      </c>
      <c r="AX27" s="79">
        <v>0</v>
      </c>
      <c r="AY27" s="49"/>
      <c r="AZ27" s="84"/>
      <c r="BA27" s="81">
        <v>0</v>
      </c>
      <c r="BB27" s="79">
        <v>0</v>
      </c>
      <c r="BC27" s="49"/>
      <c r="BD27" s="84"/>
      <c r="BE27" s="81">
        <v>0</v>
      </c>
      <c r="BF27" s="79">
        <v>0</v>
      </c>
      <c r="BG27" s="49"/>
      <c r="BH27" s="84"/>
      <c r="BI27" s="81">
        <v>0</v>
      </c>
      <c r="BJ27" s="79">
        <v>0</v>
      </c>
      <c r="BK27" s="49"/>
      <c r="BL27" s="84"/>
      <c r="BM27" s="81">
        <v>0</v>
      </c>
      <c r="BN27" s="79">
        <v>0</v>
      </c>
      <c r="BO27" s="49"/>
      <c r="BP27" s="84"/>
      <c r="BQ27" s="81">
        <v>0</v>
      </c>
      <c r="BR27" s="79">
        <v>0</v>
      </c>
      <c r="BS27" s="49"/>
      <c r="BT27" s="84"/>
      <c r="BU27" s="81">
        <f t="shared" si="11"/>
        <v>0</v>
      </c>
      <c r="BV27" s="79">
        <f t="shared" si="12"/>
        <v>0</v>
      </c>
      <c r="BW27" s="48"/>
      <c r="BX27" s="84"/>
      <c r="BY27" s="81">
        <f t="shared" si="13"/>
        <v>0</v>
      </c>
      <c r="BZ27" s="79">
        <f t="shared" si="14"/>
        <v>0</v>
      </c>
      <c r="CA27" s="48"/>
      <c r="CB27" s="84"/>
      <c r="CC27" s="81">
        <v>0</v>
      </c>
      <c r="CD27" s="79">
        <v>0</v>
      </c>
      <c r="CE27" s="49"/>
      <c r="CF27" s="84"/>
      <c r="CG27" s="81">
        <f t="shared" si="15"/>
        <v>0</v>
      </c>
      <c r="CH27" s="79">
        <f t="shared" si="16"/>
        <v>0</v>
      </c>
      <c r="CI27" s="33"/>
      <c r="CJ27" s="84"/>
      <c r="CK27" s="81">
        <f t="shared" si="17"/>
        <v>0</v>
      </c>
      <c r="CL27" s="79">
        <f t="shared" si="18"/>
        <v>0</v>
      </c>
      <c r="CM27" s="34"/>
      <c r="CN27" s="34"/>
      <c r="CO27" s="34"/>
      <c r="CP27" s="34"/>
      <c r="CQ27" s="50">
        <f t="shared" si="19"/>
        <v>1</v>
      </c>
      <c r="CR27" s="77">
        <f t="shared" si="23"/>
        <v>0</v>
      </c>
      <c r="CS27" s="28"/>
    </row>
    <row r="28" spans="1:97" s="1" customFormat="1">
      <c r="A28" s="30" t="s">
        <v>134</v>
      </c>
      <c r="B28" s="47"/>
      <c r="C28" s="36" t="s">
        <v>123</v>
      </c>
      <c r="D28" s="32"/>
      <c r="E28" s="32"/>
      <c r="F28" s="87"/>
      <c r="G28" s="48"/>
      <c r="H28" s="84"/>
      <c r="I28" s="80">
        <f t="shared" si="20"/>
        <v>0</v>
      </c>
      <c r="J28" s="79">
        <f t="shared" si="21"/>
        <v>0</v>
      </c>
      <c r="K28" s="48">
        <v>1920</v>
      </c>
      <c r="L28" s="84"/>
      <c r="M28" s="81">
        <f t="shared" ref="M28:M59" si="24">L28*CQ28</f>
        <v>0</v>
      </c>
      <c r="N28" s="79">
        <f t="shared" si="1"/>
        <v>0</v>
      </c>
      <c r="O28" s="48"/>
      <c r="P28" s="84"/>
      <c r="Q28" s="81">
        <f t="shared" si="2"/>
        <v>0</v>
      </c>
      <c r="R28" s="79">
        <f t="shared" si="3"/>
        <v>0</v>
      </c>
      <c r="S28" s="49"/>
      <c r="T28" s="84"/>
      <c r="U28" s="81">
        <v>0</v>
      </c>
      <c r="V28" s="79">
        <v>0</v>
      </c>
      <c r="W28" s="49"/>
      <c r="X28" s="84"/>
      <c r="Y28" s="81">
        <v>0</v>
      </c>
      <c r="Z28" s="79">
        <v>0</v>
      </c>
      <c r="AA28" s="49"/>
      <c r="AB28" s="84"/>
      <c r="AC28" s="81">
        <v>0</v>
      </c>
      <c r="AD28" s="79">
        <v>0</v>
      </c>
      <c r="AE28" s="49"/>
      <c r="AF28" s="84"/>
      <c r="AG28" s="81">
        <f t="shared" si="22"/>
        <v>0</v>
      </c>
      <c r="AH28" s="79">
        <f t="shared" si="4"/>
        <v>0</v>
      </c>
      <c r="AI28" s="48"/>
      <c r="AJ28" s="84"/>
      <c r="AK28" s="81">
        <f t="shared" si="5"/>
        <v>0</v>
      </c>
      <c r="AL28" s="79">
        <f t="shared" si="6"/>
        <v>0</v>
      </c>
      <c r="AM28" s="48"/>
      <c r="AN28" s="84"/>
      <c r="AO28" s="81">
        <f t="shared" si="7"/>
        <v>0</v>
      </c>
      <c r="AP28" s="79">
        <f t="shared" si="8"/>
        <v>0</v>
      </c>
      <c r="AQ28" s="48"/>
      <c r="AR28" s="84"/>
      <c r="AS28" s="81">
        <f t="shared" si="9"/>
        <v>0</v>
      </c>
      <c r="AT28" s="79">
        <f t="shared" si="10"/>
        <v>0</v>
      </c>
      <c r="AU28" s="49"/>
      <c r="AV28" s="84"/>
      <c r="AW28" s="81">
        <v>0</v>
      </c>
      <c r="AX28" s="79">
        <v>0</v>
      </c>
      <c r="AY28" s="49"/>
      <c r="AZ28" s="84"/>
      <c r="BA28" s="81">
        <v>0</v>
      </c>
      <c r="BB28" s="79">
        <v>0</v>
      </c>
      <c r="BC28" s="49"/>
      <c r="BD28" s="84"/>
      <c r="BE28" s="81">
        <v>0</v>
      </c>
      <c r="BF28" s="79">
        <v>0</v>
      </c>
      <c r="BG28" s="49"/>
      <c r="BH28" s="84"/>
      <c r="BI28" s="81">
        <v>0</v>
      </c>
      <c r="BJ28" s="79">
        <v>0</v>
      </c>
      <c r="BK28" s="49"/>
      <c r="BL28" s="84"/>
      <c r="BM28" s="81">
        <v>0</v>
      </c>
      <c r="BN28" s="79">
        <v>0</v>
      </c>
      <c r="BO28" s="49"/>
      <c r="BP28" s="84"/>
      <c r="BQ28" s="81">
        <v>0</v>
      </c>
      <c r="BR28" s="79">
        <v>0</v>
      </c>
      <c r="BS28" s="49"/>
      <c r="BT28" s="84"/>
      <c r="BU28" s="81">
        <f t="shared" si="11"/>
        <v>0</v>
      </c>
      <c r="BV28" s="79">
        <f t="shared" si="12"/>
        <v>0</v>
      </c>
      <c r="BW28" s="48"/>
      <c r="BX28" s="84"/>
      <c r="BY28" s="81">
        <f t="shared" si="13"/>
        <v>0</v>
      </c>
      <c r="BZ28" s="79">
        <f t="shared" si="14"/>
        <v>0</v>
      </c>
      <c r="CA28" s="48"/>
      <c r="CB28" s="84"/>
      <c r="CC28" s="81">
        <v>0</v>
      </c>
      <c r="CD28" s="79">
        <v>0</v>
      </c>
      <c r="CE28" s="49"/>
      <c r="CF28" s="84"/>
      <c r="CG28" s="81">
        <f t="shared" si="15"/>
        <v>0</v>
      </c>
      <c r="CH28" s="79">
        <f t="shared" si="16"/>
        <v>0</v>
      </c>
      <c r="CI28" s="33"/>
      <c r="CJ28" s="84"/>
      <c r="CK28" s="81">
        <f t="shared" si="17"/>
        <v>0</v>
      </c>
      <c r="CL28" s="79">
        <f t="shared" si="18"/>
        <v>0</v>
      </c>
      <c r="CM28" s="34"/>
      <c r="CN28" s="34"/>
      <c r="CO28" s="34"/>
      <c r="CP28" s="34"/>
      <c r="CQ28" s="50">
        <f t="shared" si="19"/>
        <v>1</v>
      </c>
      <c r="CR28" s="77">
        <f t="shared" si="23"/>
        <v>0</v>
      </c>
      <c r="CS28" s="28"/>
    </row>
    <row r="29" spans="1:97" s="1" customFormat="1">
      <c r="A29" s="30" t="s">
        <v>135</v>
      </c>
      <c r="B29" s="47"/>
      <c r="C29" s="31" t="s">
        <v>121</v>
      </c>
      <c r="D29" s="32"/>
      <c r="E29" s="32"/>
      <c r="F29" s="87"/>
      <c r="G29" s="48"/>
      <c r="H29" s="84"/>
      <c r="I29" s="80">
        <f t="shared" si="20"/>
        <v>0</v>
      </c>
      <c r="J29" s="79">
        <f t="shared" si="21"/>
        <v>0</v>
      </c>
      <c r="K29" s="49"/>
      <c r="L29" s="84"/>
      <c r="M29" s="81">
        <f t="shared" si="24"/>
        <v>0</v>
      </c>
      <c r="N29" s="79">
        <f t="shared" si="1"/>
        <v>0</v>
      </c>
      <c r="O29" s="48">
        <v>1920</v>
      </c>
      <c r="P29" s="84"/>
      <c r="Q29" s="81">
        <f t="shared" si="2"/>
        <v>0</v>
      </c>
      <c r="R29" s="79">
        <f t="shared" si="3"/>
        <v>0</v>
      </c>
      <c r="S29" s="49"/>
      <c r="T29" s="84"/>
      <c r="U29" s="81">
        <v>0</v>
      </c>
      <c r="V29" s="79">
        <v>0</v>
      </c>
      <c r="W29" s="49"/>
      <c r="X29" s="84"/>
      <c r="Y29" s="81">
        <v>0</v>
      </c>
      <c r="Z29" s="79">
        <v>0</v>
      </c>
      <c r="AA29" s="49"/>
      <c r="AB29" s="84"/>
      <c r="AC29" s="81">
        <v>0</v>
      </c>
      <c r="AD29" s="79">
        <v>0</v>
      </c>
      <c r="AE29" s="49"/>
      <c r="AF29" s="84"/>
      <c r="AG29" s="81">
        <f t="shared" si="22"/>
        <v>0</v>
      </c>
      <c r="AH29" s="79">
        <f t="shared" si="4"/>
        <v>0</v>
      </c>
      <c r="AI29" s="48"/>
      <c r="AJ29" s="84"/>
      <c r="AK29" s="81">
        <f t="shared" si="5"/>
        <v>0</v>
      </c>
      <c r="AL29" s="79">
        <f t="shared" si="6"/>
        <v>0</v>
      </c>
      <c r="AM29" s="48"/>
      <c r="AN29" s="84"/>
      <c r="AO29" s="81">
        <f t="shared" si="7"/>
        <v>0</v>
      </c>
      <c r="AP29" s="79">
        <f t="shared" si="8"/>
        <v>0</v>
      </c>
      <c r="AQ29" s="48"/>
      <c r="AR29" s="84"/>
      <c r="AS29" s="81">
        <f t="shared" si="9"/>
        <v>0</v>
      </c>
      <c r="AT29" s="79">
        <f t="shared" si="10"/>
        <v>0</v>
      </c>
      <c r="AU29" s="49"/>
      <c r="AV29" s="84"/>
      <c r="AW29" s="81">
        <v>0</v>
      </c>
      <c r="AX29" s="79">
        <v>0</v>
      </c>
      <c r="AY29" s="49"/>
      <c r="AZ29" s="84"/>
      <c r="BA29" s="81">
        <v>0</v>
      </c>
      <c r="BB29" s="79">
        <v>0</v>
      </c>
      <c r="BC29" s="49"/>
      <c r="BD29" s="84"/>
      <c r="BE29" s="81">
        <v>0</v>
      </c>
      <c r="BF29" s="79">
        <v>0</v>
      </c>
      <c r="BG29" s="49"/>
      <c r="BH29" s="84"/>
      <c r="BI29" s="81">
        <v>0</v>
      </c>
      <c r="BJ29" s="79">
        <v>0</v>
      </c>
      <c r="BK29" s="49"/>
      <c r="BL29" s="84"/>
      <c r="BM29" s="81">
        <v>0</v>
      </c>
      <c r="BN29" s="79">
        <v>0</v>
      </c>
      <c r="BO29" s="49"/>
      <c r="BP29" s="84"/>
      <c r="BQ29" s="81">
        <v>0</v>
      </c>
      <c r="BR29" s="79">
        <v>0</v>
      </c>
      <c r="BS29" s="49"/>
      <c r="BT29" s="84"/>
      <c r="BU29" s="81">
        <f t="shared" si="11"/>
        <v>0</v>
      </c>
      <c r="BV29" s="79">
        <f t="shared" si="12"/>
        <v>0</v>
      </c>
      <c r="BW29" s="48"/>
      <c r="BX29" s="84"/>
      <c r="BY29" s="81">
        <f t="shared" si="13"/>
        <v>0</v>
      </c>
      <c r="BZ29" s="79">
        <f t="shared" si="14"/>
        <v>0</v>
      </c>
      <c r="CA29" s="48"/>
      <c r="CB29" s="84"/>
      <c r="CC29" s="81">
        <v>0</v>
      </c>
      <c r="CD29" s="79">
        <v>0</v>
      </c>
      <c r="CE29" s="49"/>
      <c r="CF29" s="84"/>
      <c r="CG29" s="81">
        <f t="shared" si="15"/>
        <v>0</v>
      </c>
      <c r="CH29" s="79">
        <f t="shared" si="16"/>
        <v>0</v>
      </c>
      <c r="CI29" s="33"/>
      <c r="CJ29" s="84"/>
      <c r="CK29" s="81">
        <f t="shared" si="17"/>
        <v>0</v>
      </c>
      <c r="CL29" s="79">
        <f t="shared" si="18"/>
        <v>0</v>
      </c>
      <c r="CM29" s="34"/>
      <c r="CN29" s="34"/>
      <c r="CO29" s="34"/>
      <c r="CP29" s="34"/>
      <c r="CQ29" s="50">
        <f t="shared" si="19"/>
        <v>1</v>
      </c>
      <c r="CR29" s="77">
        <f t="shared" si="23"/>
        <v>0</v>
      </c>
      <c r="CS29" s="28"/>
    </row>
    <row r="30" spans="1:97" s="1" customFormat="1">
      <c r="A30" s="30" t="s">
        <v>136</v>
      </c>
      <c r="B30" s="47"/>
      <c r="C30" s="31" t="s">
        <v>123</v>
      </c>
      <c r="D30" s="32"/>
      <c r="E30" s="32"/>
      <c r="F30" s="87"/>
      <c r="G30" s="48"/>
      <c r="H30" s="84"/>
      <c r="I30" s="80">
        <f t="shared" si="20"/>
        <v>0</v>
      </c>
      <c r="J30" s="79">
        <f t="shared" si="21"/>
        <v>0</v>
      </c>
      <c r="K30" s="49"/>
      <c r="L30" s="84"/>
      <c r="M30" s="81">
        <f t="shared" si="24"/>
        <v>0</v>
      </c>
      <c r="N30" s="79">
        <f t="shared" si="1"/>
        <v>0</v>
      </c>
      <c r="O30" s="48">
        <v>1920</v>
      </c>
      <c r="P30" s="84"/>
      <c r="Q30" s="81">
        <f t="shared" si="2"/>
        <v>0</v>
      </c>
      <c r="R30" s="79">
        <f t="shared" si="3"/>
        <v>0</v>
      </c>
      <c r="S30" s="49"/>
      <c r="T30" s="84"/>
      <c r="U30" s="81">
        <v>0</v>
      </c>
      <c r="V30" s="79">
        <v>0</v>
      </c>
      <c r="W30" s="49"/>
      <c r="X30" s="84"/>
      <c r="Y30" s="81">
        <v>0</v>
      </c>
      <c r="Z30" s="79">
        <v>0</v>
      </c>
      <c r="AA30" s="49"/>
      <c r="AB30" s="84"/>
      <c r="AC30" s="81">
        <v>0</v>
      </c>
      <c r="AD30" s="79">
        <v>0</v>
      </c>
      <c r="AE30" s="49"/>
      <c r="AF30" s="84"/>
      <c r="AG30" s="81">
        <f t="shared" si="22"/>
        <v>0</v>
      </c>
      <c r="AH30" s="79">
        <f t="shared" si="4"/>
        <v>0</v>
      </c>
      <c r="AI30" s="48"/>
      <c r="AJ30" s="84"/>
      <c r="AK30" s="81">
        <f t="shared" si="5"/>
        <v>0</v>
      </c>
      <c r="AL30" s="79">
        <f t="shared" si="6"/>
        <v>0</v>
      </c>
      <c r="AM30" s="48"/>
      <c r="AN30" s="84"/>
      <c r="AO30" s="81">
        <f t="shared" si="7"/>
        <v>0</v>
      </c>
      <c r="AP30" s="79">
        <f t="shared" si="8"/>
        <v>0</v>
      </c>
      <c r="AQ30" s="48"/>
      <c r="AR30" s="84"/>
      <c r="AS30" s="81">
        <f t="shared" si="9"/>
        <v>0</v>
      </c>
      <c r="AT30" s="79">
        <f t="shared" si="10"/>
        <v>0</v>
      </c>
      <c r="AU30" s="49"/>
      <c r="AV30" s="84"/>
      <c r="AW30" s="81">
        <v>0</v>
      </c>
      <c r="AX30" s="79">
        <v>0</v>
      </c>
      <c r="AY30" s="49"/>
      <c r="AZ30" s="84"/>
      <c r="BA30" s="81">
        <v>0</v>
      </c>
      <c r="BB30" s="79">
        <v>0</v>
      </c>
      <c r="BC30" s="49"/>
      <c r="BD30" s="84"/>
      <c r="BE30" s="81">
        <v>0</v>
      </c>
      <c r="BF30" s="79">
        <v>0</v>
      </c>
      <c r="BG30" s="49"/>
      <c r="BH30" s="84"/>
      <c r="BI30" s="81">
        <v>0</v>
      </c>
      <c r="BJ30" s="79">
        <v>0</v>
      </c>
      <c r="BK30" s="49"/>
      <c r="BL30" s="84"/>
      <c r="BM30" s="81">
        <v>0</v>
      </c>
      <c r="BN30" s="79">
        <v>0</v>
      </c>
      <c r="BO30" s="49"/>
      <c r="BP30" s="84"/>
      <c r="BQ30" s="81">
        <v>0</v>
      </c>
      <c r="BR30" s="79">
        <v>0</v>
      </c>
      <c r="BS30" s="49"/>
      <c r="BT30" s="84"/>
      <c r="BU30" s="81">
        <f t="shared" si="11"/>
        <v>0</v>
      </c>
      <c r="BV30" s="79">
        <f t="shared" si="12"/>
        <v>0</v>
      </c>
      <c r="BW30" s="48"/>
      <c r="BX30" s="84"/>
      <c r="BY30" s="81">
        <f t="shared" si="13"/>
        <v>0</v>
      </c>
      <c r="BZ30" s="79">
        <f t="shared" si="14"/>
        <v>0</v>
      </c>
      <c r="CA30" s="48"/>
      <c r="CB30" s="84"/>
      <c r="CC30" s="81">
        <v>0</v>
      </c>
      <c r="CD30" s="79">
        <v>0</v>
      </c>
      <c r="CE30" s="49"/>
      <c r="CF30" s="84"/>
      <c r="CG30" s="81">
        <f t="shared" si="15"/>
        <v>0</v>
      </c>
      <c r="CH30" s="79">
        <f t="shared" si="16"/>
        <v>0</v>
      </c>
      <c r="CI30" s="33"/>
      <c r="CJ30" s="84"/>
      <c r="CK30" s="81">
        <f t="shared" si="17"/>
        <v>0</v>
      </c>
      <c r="CL30" s="79">
        <f t="shared" si="18"/>
        <v>0</v>
      </c>
      <c r="CM30" s="34"/>
      <c r="CN30" s="34"/>
      <c r="CO30" s="34"/>
      <c r="CP30" s="34"/>
      <c r="CQ30" s="50">
        <f t="shared" si="19"/>
        <v>1</v>
      </c>
      <c r="CR30" s="77">
        <f t="shared" si="23"/>
        <v>0</v>
      </c>
      <c r="CS30" s="28"/>
    </row>
    <row r="31" spans="1:97" s="1" customFormat="1">
      <c r="A31" s="30" t="s">
        <v>137</v>
      </c>
      <c r="B31" s="47"/>
      <c r="C31" s="31" t="s">
        <v>123</v>
      </c>
      <c r="D31" s="32"/>
      <c r="E31" s="32"/>
      <c r="F31" s="87"/>
      <c r="G31" s="48">
        <v>960</v>
      </c>
      <c r="H31" s="84"/>
      <c r="I31" s="80">
        <f t="shared" si="20"/>
        <v>0</v>
      </c>
      <c r="J31" s="79">
        <f t="shared" si="21"/>
        <v>0</v>
      </c>
      <c r="K31" s="49"/>
      <c r="L31" s="84"/>
      <c r="M31" s="81">
        <f t="shared" si="24"/>
        <v>0</v>
      </c>
      <c r="N31" s="79">
        <f t="shared" si="1"/>
        <v>0</v>
      </c>
      <c r="O31" s="48">
        <v>1920</v>
      </c>
      <c r="P31" s="84"/>
      <c r="Q31" s="81">
        <f t="shared" si="2"/>
        <v>0</v>
      </c>
      <c r="R31" s="79">
        <f t="shared" si="3"/>
        <v>0</v>
      </c>
      <c r="S31" s="49"/>
      <c r="T31" s="84"/>
      <c r="U31" s="81">
        <v>0</v>
      </c>
      <c r="V31" s="79">
        <v>0</v>
      </c>
      <c r="W31" s="49"/>
      <c r="X31" s="84"/>
      <c r="Y31" s="81">
        <v>0</v>
      </c>
      <c r="Z31" s="79">
        <v>0</v>
      </c>
      <c r="AA31" s="49"/>
      <c r="AB31" s="84"/>
      <c r="AC31" s="81">
        <v>0</v>
      </c>
      <c r="AD31" s="79">
        <v>0</v>
      </c>
      <c r="AE31" s="49"/>
      <c r="AF31" s="84"/>
      <c r="AG31" s="81">
        <f t="shared" si="22"/>
        <v>0</v>
      </c>
      <c r="AH31" s="79">
        <f t="shared" si="4"/>
        <v>0</v>
      </c>
      <c r="AI31" s="48"/>
      <c r="AJ31" s="84"/>
      <c r="AK31" s="81">
        <f t="shared" si="5"/>
        <v>0</v>
      </c>
      <c r="AL31" s="79">
        <f t="shared" si="6"/>
        <v>0</v>
      </c>
      <c r="AM31" s="48"/>
      <c r="AN31" s="84"/>
      <c r="AO31" s="81">
        <f t="shared" si="7"/>
        <v>0</v>
      </c>
      <c r="AP31" s="79">
        <f t="shared" si="8"/>
        <v>0</v>
      </c>
      <c r="AQ31" s="48"/>
      <c r="AR31" s="84"/>
      <c r="AS31" s="81">
        <f t="shared" si="9"/>
        <v>0</v>
      </c>
      <c r="AT31" s="79">
        <f t="shared" si="10"/>
        <v>0</v>
      </c>
      <c r="AU31" s="49"/>
      <c r="AV31" s="84"/>
      <c r="AW31" s="81">
        <v>0</v>
      </c>
      <c r="AX31" s="79">
        <v>0</v>
      </c>
      <c r="AY31" s="49"/>
      <c r="AZ31" s="84"/>
      <c r="BA31" s="81">
        <v>0</v>
      </c>
      <c r="BB31" s="79">
        <v>0</v>
      </c>
      <c r="BC31" s="49"/>
      <c r="BD31" s="84"/>
      <c r="BE31" s="81">
        <v>0</v>
      </c>
      <c r="BF31" s="79">
        <v>0</v>
      </c>
      <c r="BG31" s="49"/>
      <c r="BH31" s="84"/>
      <c r="BI31" s="81">
        <v>0</v>
      </c>
      <c r="BJ31" s="79">
        <v>0</v>
      </c>
      <c r="BK31" s="49"/>
      <c r="BL31" s="84"/>
      <c r="BM31" s="81">
        <v>0</v>
      </c>
      <c r="BN31" s="79">
        <v>0</v>
      </c>
      <c r="BO31" s="49"/>
      <c r="BP31" s="84"/>
      <c r="BQ31" s="81">
        <v>0</v>
      </c>
      <c r="BR31" s="79">
        <v>0</v>
      </c>
      <c r="BS31" s="49"/>
      <c r="BT31" s="84"/>
      <c r="BU31" s="81">
        <f t="shared" si="11"/>
        <v>0</v>
      </c>
      <c r="BV31" s="79">
        <f t="shared" si="12"/>
        <v>0</v>
      </c>
      <c r="BW31" s="48"/>
      <c r="BX31" s="84"/>
      <c r="BY31" s="81">
        <f t="shared" si="13"/>
        <v>0</v>
      </c>
      <c r="BZ31" s="79">
        <f t="shared" si="14"/>
        <v>0</v>
      </c>
      <c r="CA31" s="48"/>
      <c r="CB31" s="84"/>
      <c r="CC31" s="81">
        <v>0</v>
      </c>
      <c r="CD31" s="79">
        <v>0</v>
      </c>
      <c r="CE31" s="49"/>
      <c r="CF31" s="84"/>
      <c r="CG31" s="81">
        <f t="shared" si="15"/>
        <v>0</v>
      </c>
      <c r="CH31" s="79">
        <f t="shared" si="16"/>
        <v>0</v>
      </c>
      <c r="CI31" s="33"/>
      <c r="CJ31" s="84"/>
      <c r="CK31" s="81">
        <f t="shared" si="17"/>
        <v>0</v>
      </c>
      <c r="CL31" s="79">
        <f t="shared" si="18"/>
        <v>0</v>
      </c>
      <c r="CM31" s="34"/>
      <c r="CN31" s="34"/>
      <c r="CO31" s="34"/>
      <c r="CP31" s="34"/>
      <c r="CQ31" s="50">
        <f t="shared" si="19"/>
        <v>1</v>
      </c>
      <c r="CR31" s="77">
        <f t="shared" si="23"/>
        <v>0</v>
      </c>
      <c r="CS31" s="28"/>
    </row>
    <row r="32" spans="1:97" s="1" customFormat="1">
      <c r="A32" s="30" t="s">
        <v>138</v>
      </c>
      <c r="B32" s="47"/>
      <c r="C32" s="31" t="s">
        <v>121</v>
      </c>
      <c r="D32" s="32"/>
      <c r="E32" s="32"/>
      <c r="F32" s="87"/>
      <c r="G32" s="48"/>
      <c r="H32" s="84"/>
      <c r="I32" s="80">
        <f t="shared" si="20"/>
        <v>0</v>
      </c>
      <c r="J32" s="79">
        <f t="shared" si="21"/>
        <v>0</v>
      </c>
      <c r="K32" s="49"/>
      <c r="L32" s="84"/>
      <c r="M32" s="81">
        <f t="shared" si="24"/>
        <v>0</v>
      </c>
      <c r="N32" s="79">
        <f t="shared" si="1"/>
        <v>0</v>
      </c>
      <c r="O32" s="48">
        <v>1920</v>
      </c>
      <c r="P32" s="84"/>
      <c r="Q32" s="81">
        <f t="shared" si="2"/>
        <v>0</v>
      </c>
      <c r="R32" s="79">
        <f t="shared" si="3"/>
        <v>0</v>
      </c>
      <c r="S32" s="49"/>
      <c r="T32" s="84"/>
      <c r="U32" s="81">
        <v>0</v>
      </c>
      <c r="V32" s="79">
        <v>0</v>
      </c>
      <c r="W32" s="49"/>
      <c r="X32" s="84"/>
      <c r="Y32" s="81">
        <v>0</v>
      </c>
      <c r="Z32" s="79">
        <v>0</v>
      </c>
      <c r="AA32" s="49"/>
      <c r="AB32" s="84"/>
      <c r="AC32" s="81">
        <v>0</v>
      </c>
      <c r="AD32" s="79">
        <v>0</v>
      </c>
      <c r="AE32" s="49"/>
      <c r="AF32" s="84"/>
      <c r="AG32" s="81">
        <f t="shared" si="22"/>
        <v>0</v>
      </c>
      <c r="AH32" s="79">
        <f t="shared" si="4"/>
        <v>0</v>
      </c>
      <c r="AI32" s="48"/>
      <c r="AJ32" s="84"/>
      <c r="AK32" s="81">
        <f t="shared" si="5"/>
        <v>0</v>
      </c>
      <c r="AL32" s="79">
        <f t="shared" si="6"/>
        <v>0</v>
      </c>
      <c r="AM32" s="48"/>
      <c r="AN32" s="84"/>
      <c r="AO32" s="81">
        <f t="shared" si="7"/>
        <v>0</v>
      </c>
      <c r="AP32" s="79">
        <f t="shared" si="8"/>
        <v>0</v>
      </c>
      <c r="AQ32" s="48"/>
      <c r="AR32" s="84"/>
      <c r="AS32" s="81">
        <f t="shared" si="9"/>
        <v>0</v>
      </c>
      <c r="AT32" s="79">
        <f t="shared" si="10"/>
        <v>0</v>
      </c>
      <c r="AU32" s="49"/>
      <c r="AV32" s="84"/>
      <c r="AW32" s="81">
        <v>0</v>
      </c>
      <c r="AX32" s="79">
        <v>0</v>
      </c>
      <c r="AY32" s="49"/>
      <c r="AZ32" s="84"/>
      <c r="BA32" s="81">
        <v>0</v>
      </c>
      <c r="BB32" s="79">
        <v>0</v>
      </c>
      <c r="BC32" s="49"/>
      <c r="BD32" s="84"/>
      <c r="BE32" s="81">
        <v>0</v>
      </c>
      <c r="BF32" s="79">
        <v>0</v>
      </c>
      <c r="BG32" s="49"/>
      <c r="BH32" s="84"/>
      <c r="BI32" s="81">
        <v>0</v>
      </c>
      <c r="BJ32" s="79">
        <v>0</v>
      </c>
      <c r="BK32" s="49"/>
      <c r="BL32" s="84"/>
      <c r="BM32" s="81">
        <v>0</v>
      </c>
      <c r="BN32" s="79">
        <v>0</v>
      </c>
      <c r="BO32" s="49"/>
      <c r="BP32" s="84"/>
      <c r="BQ32" s="81">
        <v>0</v>
      </c>
      <c r="BR32" s="79">
        <v>0</v>
      </c>
      <c r="BS32" s="49"/>
      <c r="BT32" s="84"/>
      <c r="BU32" s="81">
        <f t="shared" si="11"/>
        <v>0</v>
      </c>
      <c r="BV32" s="79">
        <f t="shared" si="12"/>
        <v>0</v>
      </c>
      <c r="BW32" s="48"/>
      <c r="BX32" s="84"/>
      <c r="BY32" s="81">
        <f t="shared" si="13"/>
        <v>0</v>
      </c>
      <c r="BZ32" s="79">
        <f t="shared" si="14"/>
        <v>0</v>
      </c>
      <c r="CA32" s="48"/>
      <c r="CB32" s="84"/>
      <c r="CC32" s="81">
        <v>0</v>
      </c>
      <c r="CD32" s="79">
        <v>0</v>
      </c>
      <c r="CE32" s="49"/>
      <c r="CF32" s="84"/>
      <c r="CG32" s="81">
        <f t="shared" si="15"/>
        <v>0</v>
      </c>
      <c r="CH32" s="79">
        <f t="shared" si="16"/>
        <v>0</v>
      </c>
      <c r="CI32" s="33"/>
      <c r="CJ32" s="84"/>
      <c r="CK32" s="81">
        <f t="shared" si="17"/>
        <v>0</v>
      </c>
      <c r="CL32" s="79">
        <f t="shared" si="18"/>
        <v>0</v>
      </c>
      <c r="CM32" s="34"/>
      <c r="CN32" s="34"/>
      <c r="CO32" s="34"/>
      <c r="CP32" s="34"/>
      <c r="CQ32" s="50">
        <f t="shared" si="19"/>
        <v>1</v>
      </c>
      <c r="CR32" s="77">
        <f t="shared" si="23"/>
        <v>0</v>
      </c>
      <c r="CS32" s="28"/>
    </row>
    <row r="33" spans="1:97" s="1" customFormat="1">
      <c r="A33" s="30" t="s">
        <v>138</v>
      </c>
      <c r="B33" s="47"/>
      <c r="C33" s="31" t="s">
        <v>123</v>
      </c>
      <c r="D33" s="32"/>
      <c r="E33" s="32"/>
      <c r="F33" s="87"/>
      <c r="G33" s="48"/>
      <c r="H33" s="84"/>
      <c r="I33" s="80">
        <f t="shared" si="20"/>
        <v>0</v>
      </c>
      <c r="J33" s="79">
        <f t="shared" si="21"/>
        <v>0</v>
      </c>
      <c r="K33" s="49"/>
      <c r="L33" s="84"/>
      <c r="M33" s="81">
        <f t="shared" si="24"/>
        <v>0</v>
      </c>
      <c r="N33" s="79">
        <f t="shared" si="1"/>
        <v>0</v>
      </c>
      <c r="O33" s="48"/>
      <c r="P33" s="84"/>
      <c r="Q33" s="81">
        <f t="shared" si="2"/>
        <v>0</v>
      </c>
      <c r="R33" s="79">
        <f t="shared" si="3"/>
        <v>0</v>
      </c>
      <c r="S33" s="49"/>
      <c r="T33" s="84"/>
      <c r="U33" s="81">
        <v>0</v>
      </c>
      <c r="V33" s="79">
        <v>0</v>
      </c>
      <c r="W33" s="49"/>
      <c r="X33" s="84"/>
      <c r="Y33" s="81">
        <v>0</v>
      </c>
      <c r="Z33" s="79">
        <v>0</v>
      </c>
      <c r="AA33" s="49"/>
      <c r="AB33" s="84"/>
      <c r="AC33" s="81">
        <v>0</v>
      </c>
      <c r="AD33" s="79">
        <v>0</v>
      </c>
      <c r="AE33" s="49"/>
      <c r="AF33" s="84"/>
      <c r="AG33" s="81">
        <f t="shared" si="22"/>
        <v>0</v>
      </c>
      <c r="AH33" s="79">
        <f t="shared" si="4"/>
        <v>0</v>
      </c>
      <c r="AI33" s="48">
        <v>1920</v>
      </c>
      <c r="AJ33" s="84"/>
      <c r="AK33" s="81">
        <f t="shared" si="5"/>
        <v>0</v>
      </c>
      <c r="AL33" s="79">
        <f t="shared" si="6"/>
        <v>0</v>
      </c>
      <c r="AM33" s="48"/>
      <c r="AN33" s="84"/>
      <c r="AO33" s="81">
        <f t="shared" si="7"/>
        <v>0</v>
      </c>
      <c r="AP33" s="79">
        <f t="shared" si="8"/>
        <v>0</v>
      </c>
      <c r="AQ33" s="48"/>
      <c r="AR33" s="84"/>
      <c r="AS33" s="81">
        <f t="shared" si="9"/>
        <v>0</v>
      </c>
      <c r="AT33" s="79">
        <f t="shared" si="10"/>
        <v>0</v>
      </c>
      <c r="AU33" s="49"/>
      <c r="AV33" s="84"/>
      <c r="AW33" s="81">
        <v>0</v>
      </c>
      <c r="AX33" s="79">
        <v>0</v>
      </c>
      <c r="AY33" s="49"/>
      <c r="AZ33" s="84"/>
      <c r="BA33" s="81">
        <v>0</v>
      </c>
      <c r="BB33" s="79">
        <v>0</v>
      </c>
      <c r="BC33" s="49"/>
      <c r="BD33" s="84"/>
      <c r="BE33" s="81">
        <v>0</v>
      </c>
      <c r="BF33" s="79">
        <v>0</v>
      </c>
      <c r="BG33" s="49"/>
      <c r="BH33" s="84"/>
      <c r="BI33" s="81">
        <v>0</v>
      </c>
      <c r="BJ33" s="79">
        <v>0</v>
      </c>
      <c r="BK33" s="49"/>
      <c r="BL33" s="84"/>
      <c r="BM33" s="81">
        <v>0</v>
      </c>
      <c r="BN33" s="79">
        <v>0</v>
      </c>
      <c r="BO33" s="49"/>
      <c r="BP33" s="84"/>
      <c r="BQ33" s="81">
        <v>0</v>
      </c>
      <c r="BR33" s="79">
        <v>0</v>
      </c>
      <c r="BS33" s="49"/>
      <c r="BT33" s="84"/>
      <c r="BU33" s="81">
        <f t="shared" si="11"/>
        <v>0</v>
      </c>
      <c r="BV33" s="79">
        <f t="shared" si="12"/>
        <v>0</v>
      </c>
      <c r="BW33" s="48"/>
      <c r="BX33" s="84"/>
      <c r="BY33" s="81">
        <f t="shared" si="13"/>
        <v>0</v>
      </c>
      <c r="BZ33" s="79">
        <f t="shared" si="14"/>
        <v>0</v>
      </c>
      <c r="CA33" s="48"/>
      <c r="CB33" s="84"/>
      <c r="CC33" s="81">
        <v>0</v>
      </c>
      <c r="CD33" s="79">
        <v>0</v>
      </c>
      <c r="CE33" s="49"/>
      <c r="CF33" s="84"/>
      <c r="CG33" s="81">
        <f t="shared" si="15"/>
        <v>0</v>
      </c>
      <c r="CH33" s="79">
        <f t="shared" si="16"/>
        <v>0</v>
      </c>
      <c r="CI33" s="33"/>
      <c r="CJ33" s="84"/>
      <c r="CK33" s="81">
        <f t="shared" si="17"/>
        <v>0</v>
      </c>
      <c r="CL33" s="79">
        <f t="shared" si="18"/>
        <v>0</v>
      </c>
      <c r="CM33" s="34"/>
      <c r="CN33" s="34"/>
      <c r="CO33" s="34"/>
      <c r="CP33" s="34"/>
      <c r="CQ33" s="50">
        <f t="shared" si="19"/>
        <v>1</v>
      </c>
      <c r="CR33" s="77">
        <f t="shared" si="23"/>
        <v>0</v>
      </c>
      <c r="CS33" s="28"/>
    </row>
    <row r="34" spans="1:97" s="1" customFormat="1">
      <c r="A34" s="30" t="s">
        <v>139</v>
      </c>
      <c r="B34" s="47"/>
      <c r="C34" s="31" t="s">
        <v>140</v>
      </c>
      <c r="D34" s="32"/>
      <c r="E34" s="32"/>
      <c r="F34" s="87"/>
      <c r="G34" s="48">
        <v>1920</v>
      </c>
      <c r="H34" s="84"/>
      <c r="I34" s="80">
        <f t="shared" si="20"/>
        <v>0</v>
      </c>
      <c r="J34" s="79">
        <f t="shared" si="21"/>
        <v>0</v>
      </c>
      <c r="K34" s="49"/>
      <c r="L34" s="84"/>
      <c r="M34" s="81">
        <f t="shared" si="24"/>
        <v>0</v>
      </c>
      <c r="N34" s="79">
        <f t="shared" si="1"/>
        <v>0</v>
      </c>
      <c r="O34" s="48"/>
      <c r="P34" s="84"/>
      <c r="Q34" s="81">
        <f t="shared" si="2"/>
        <v>0</v>
      </c>
      <c r="R34" s="79">
        <f t="shared" si="3"/>
        <v>0</v>
      </c>
      <c r="S34" s="49"/>
      <c r="T34" s="84"/>
      <c r="U34" s="81">
        <v>0</v>
      </c>
      <c r="V34" s="79">
        <v>0</v>
      </c>
      <c r="W34" s="49"/>
      <c r="X34" s="84"/>
      <c r="Y34" s="81">
        <v>0</v>
      </c>
      <c r="Z34" s="79">
        <v>0</v>
      </c>
      <c r="AA34" s="49"/>
      <c r="AB34" s="84"/>
      <c r="AC34" s="81">
        <v>0</v>
      </c>
      <c r="AD34" s="79">
        <v>0</v>
      </c>
      <c r="AE34" s="49"/>
      <c r="AF34" s="84"/>
      <c r="AG34" s="81">
        <f t="shared" si="22"/>
        <v>0</v>
      </c>
      <c r="AH34" s="79">
        <f t="shared" si="4"/>
        <v>0</v>
      </c>
      <c r="AI34" s="48"/>
      <c r="AJ34" s="84"/>
      <c r="AK34" s="81">
        <f t="shared" si="5"/>
        <v>0</v>
      </c>
      <c r="AL34" s="79">
        <f t="shared" si="6"/>
        <v>0</v>
      </c>
      <c r="AM34" s="48"/>
      <c r="AN34" s="84"/>
      <c r="AO34" s="81">
        <f t="shared" si="7"/>
        <v>0</v>
      </c>
      <c r="AP34" s="79">
        <f t="shared" si="8"/>
        <v>0</v>
      </c>
      <c r="AQ34" s="48"/>
      <c r="AR34" s="84"/>
      <c r="AS34" s="81">
        <f t="shared" si="9"/>
        <v>0</v>
      </c>
      <c r="AT34" s="79">
        <f t="shared" si="10"/>
        <v>0</v>
      </c>
      <c r="AU34" s="49"/>
      <c r="AV34" s="84"/>
      <c r="AW34" s="81">
        <v>0</v>
      </c>
      <c r="AX34" s="79">
        <v>0</v>
      </c>
      <c r="AY34" s="49"/>
      <c r="AZ34" s="84"/>
      <c r="BA34" s="81">
        <v>0</v>
      </c>
      <c r="BB34" s="79">
        <v>0</v>
      </c>
      <c r="BC34" s="49"/>
      <c r="BD34" s="84"/>
      <c r="BE34" s="81">
        <v>0</v>
      </c>
      <c r="BF34" s="79">
        <v>0</v>
      </c>
      <c r="BG34" s="49"/>
      <c r="BH34" s="84"/>
      <c r="BI34" s="81">
        <v>0</v>
      </c>
      <c r="BJ34" s="79">
        <v>0</v>
      </c>
      <c r="BK34" s="49"/>
      <c r="BL34" s="84"/>
      <c r="BM34" s="81">
        <v>0</v>
      </c>
      <c r="BN34" s="79">
        <v>0</v>
      </c>
      <c r="BO34" s="49"/>
      <c r="BP34" s="84"/>
      <c r="BQ34" s="81">
        <v>0</v>
      </c>
      <c r="BR34" s="79">
        <v>0</v>
      </c>
      <c r="BS34" s="49"/>
      <c r="BT34" s="84"/>
      <c r="BU34" s="81">
        <f t="shared" si="11"/>
        <v>0</v>
      </c>
      <c r="BV34" s="79">
        <f t="shared" si="12"/>
        <v>0</v>
      </c>
      <c r="BW34" s="48"/>
      <c r="BX34" s="84"/>
      <c r="BY34" s="81">
        <f t="shared" si="13"/>
        <v>0</v>
      </c>
      <c r="BZ34" s="79">
        <f t="shared" si="14"/>
        <v>0</v>
      </c>
      <c r="CA34" s="48"/>
      <c r="CB34" s="84"/>
      <c r="CC34" s="81">
        <v>0</v>
      </c>
      <c r="CD34" s="79">
        <v>0</v>
      </c>
      <c r="CE34" s="49"/>
      <c r="CF34" s="84"/>
      <c r="CG34" s="81">
        <f t="shared" si="15"/>
        <v>0</v>
      </c>
      <c r="CH34" s="79">
        <f t="shared" si="16"/>
        <v>0</v>
      </c>
      <c r="CI34" s="33"/>
      <c r="CJ34" s="84"/>
      <c r="CK34" s="81">
        <f t="shared" si="17"/>
        <v>0</v>
      </c>
      <c r="CL34" s="79">
        <f t="shared" si="18"/>
        <v>0</v>
      </c>
      <c r="CM34" s="34"/>
      <c r="CN34" s="34"/>
      <c r="CO34" s="34"/>
      <c r="CP34" s="34"/>
      <c r="CQ34" s="50">
        <f t="shared" si="19"/>
        <v>1</v>
      </c>
      <c r="CR34" s="77">
        <f t="shared" si="23"/>
        <v>0</v>
      </c>
      <c r="CS34" s="28"/>
    </row>
    <row r="35" spans="1:97" s="1" customFormat="1">
      <c r="A35" s="30" t="s">
        <v>141</v>
      </c>
      <c r="B35" s="47"/>
      <c r="C35" s="63" t="s">
        <v>120</v>
      </c>
      <c r="D35" s="32"/>
      <c r="E35" s="32"/>
      <c r="F35" s="87"/>
      <c r="G35" s="48"/>
      <c r="H35" s="84"/>
      <c r="I35" s="80">
        <f t="shared" si="20"/>
        <v>0</v>
      </c>
      <c r="J35" s="79">
        <f t="shared" si="21"/>
        <v>0</v>
      </c>
      <c r="K35" s="49">
        <v>11520</v>
      </c>
      <c r="L35" s="84"/>
      <c r="M35" s="81">
        <f t="shared" si="24"/>
        <v>0</v>
      </c>
      <c r="N35" s="79">
        <f t="shared" si="1"/>
        <v>0</v>
      </c>
      <c r="O35" s="48"/>
      <c r="P35" s="84"/>
      <c r="Q35" s="81">
        <f t="shared" si="2"/>
        <v>0</v>
      </c>
      <c r="R35" s="79">
        <f t="shared" si="3"/>
        <v>0</v>
      </c>
      <c r="S35" s="49"/>
      <c r="T35" s="84"/>
      <c r="U35" s="81">
        <v>0</v>
      </c>
      <c r="V35" s="79">
        <v>0</v>
      </c>
      <c r="W35" s="49"/>
      <c r="X35" s="84"/>
      <c r="Y35" s="81">
        <v>0</v>
      </c>
      <c r="Z35" s="79">
        <v>0</v>
      </c>
      <c r="AA35" s="49"/>
      <c r="AB35" s="84"/>
      <c r="AC35" s="81">
        <v>0</v>
      </c>
      <c r="AD35" s="79">
        <v>0</v>
      </c>
      <c r="AE35" s="49"/>
      <c r="AF35" s="84"/>
      <c r="AG35" s="81">
        <f t="shared" si="22"/>
        <v>0</v>
      </c>
      <c r="AH35" s="79">
        <f t="shared" si="4"/>
        <v>0</v>
      </c>
      <c r="AI35" s="48"/>
      <c r="AJ35" s="84"/>
      <c r="AK35" s="81">
        <f t="shared" si="5"/>
        <v>0</v>
      </c>
      <c r="AL35" s="79">
        <f t="shared" si="6"/>
        <v>0</v>
      </c>
      <c r="AM35" s="48">
        <v>1920</v>
      </c>
      <c r="AN35" s="84"/>
      <c r="AO35" s="81">
        <f t="shared" si="7"/>
        <v>0</v>
      </c>
      <c r="AP35" s="79">
        <f t="shared" si="8"/>
        <v>0</v>
      </c>
      <c r="AQ35" s="48"/>
      <c r="AR35" s="84"/>
      <c r="AS35" s="81">
        <f t="shared" si="9"/>
        <v>0</v>
      </c>
      <c r="AT35" s="79">
        <f t="shared" si="10"/>
        <v>0</v>
      </c>
      <c r="AU35" s="49"/>
      <c r="AV35" s="84"/>
      <c r="AW35" s="81">
        <v>0</v>
      </c>
      <c r="AX35" s="79">
        <v>0</v>
      </c>
      <c r="AY35" s="49"/>
      <c r="AZ35" s="84"/>
      <c r="BA35" s="81">
        <v>0</v>
      </c>
      <c r="BB35" s="79">
        <v>0</v>
      </c>
      <c r="BC35" s="49"/>
      <c r="BD35" s="84"/>
      <c r="BE35" s="81">
        <v>0</v>
      </c>
      <c r="BF35" s="79">
        <v>0</v>
      </c>
      <c r="BG35" s="49"/>
      <c r="BH35" s="84"/>
      <c r="BI35" s="81">
        <v>0</v>
      </c>
      <c r="BJ35" s="79">
        <v>0</v>
      </c>
      <c r="BK35" s="49"/>
      <c r="BL35" s="84"/>
      <c r="BM35" s="81">
        <v>0</v>
      </c>
      <c r="BN35" s="79">
        <v>0</v>
      </c>
      <c r="BO35" s="49"/>
      <c r="BP35" s="84"/>
      <c r="BQ35" s="81">
        <v>0</v>
      </c>
      <c r="BR35" s="79">
        <v>0</v>
      </c>
      <c r="BS35" s="49"/>
      <c r="BT35" s="84"/>
      <c r="BU35" s="81">
        <f t="shared" si="11"/>
        <v>0</v>
      </c>
      <c r="BV35" s="79">
        <f t="shared" si="12"/>
        <v>0</v>
      </c>
      <c r="BW35" s="48"/>
      <c r="BX35" s="84"/>
      <c r="BY35" s="81">
        <f t="shared" si="13"/>
        <v>0</v>
      </c>
      <c r="BZ35" s="79">
        <f t="shared" si="14"/>
        <v>0</v>
      </c>
      <c r="CA35" s="48"/>
      <c r="CB35" s="84"/>
      <c r="CC35" s="81">
        <v>0</v>
      </c>
      <c r="CD35" s="79">
        <v>0</v>
      </c>
      <c r="CE35" s="49"/>
      <c r="CF35" s="84"/>
      <c r="CG35" s="81">
        <f t="shared" si="15"/>
        <v>0</v>
      </c>
      <c r="CH35" s="79">
        <f t="shared" si="16"/>
        <v>0</v>
      </c>
      <c r="CI35" s="33"/>
      <c r="CJ35" s="84"/>
      <c r="CK35" s="81">
        <f t="shared" si="17"/>
        <v>0</v>
      </c>
      <c r="CL35" s="79">
        <f t="shared" si="18"/>
        <v>0</v>
      </c>
      <c r="CM35" s="34"/>
      <c r="CN35" s="34"/>
      <c r="CO35" s="34"/>
      <c r="CP35" s="34"/>
      <c r="CQ35" s="50">
        <f t="shared" si="19"/>
        <v>1</v>
      </c>
      <c r="CR35" s="77">
        <f t="shared" si="23"/>
        <v>0</v>
      </c>
      <c r="CS35" s="28"/>
    </row>
    <row r="36" spans="1:97" s="1" customFormat="1">
      <c r="A36" s="30" t="s">
        <v>141</v>
      </c>
      <c r="B36" s="47"/>
      <c r="C36" s="31" t="s">
        <v>121</v>
      </c>
      <c r="D36" s="32"/>
      <c r="E36" s="32"/>
      <c r="F36" s="87"/>
      <c r="G36" s="48">
        <v>3840</v>
      </c>
      <c r="H36" s="84"/>
      <c r="I36" s="80">
        <f t="shared" si="20"/>
        <v>0</v>
      </c>
      <c r="J36" s="79">
        <f t="shared" si="21"/>
        <v>0</v>
      </c>
      <c r="K36" s="49"/>
      <c r="L36" s="84"/>
      <c r="M36" s="81">
        <f t="shared" si="24"/>
        <v>0</v>
      </c>
      <c r="N36" s="79">
        <f t="shared" si="1"/>
        <v>0</v>
      </c>
      <c r="O36" s="48"/>
      <c r="P36" s="84"/>
      <c r="Q36" s="81">
        <f t="shared" si="2"/>
        <v>0</v>
      </c>
      <c r="R36" s="79">
        <f t="shared" si="3"/>
        <v>0</v>
      </c>
      <c r="S36" s="49"/>
      <c r="T36" s="84"/>
      <c r="U36" s="81">
        <v>0</v>
      </c>
      <c r="V36" s="79">
        <v>0</v>
      </c>
      <c r="W36" s="49"/>
      <c r="X36" s="84"/>
      <c r="Y36" s="81">
        <v>0</v>
      </c>
      <c r="Z36" s="79">
        <v>0</v>
      </c>
      <c r="AA36" s="49"/>
      <c r="AB36" s="84"/>
      <c r="AC36" s="81">
        <v>0</v>
      </c>
      <c r="AD36" s="79">
        <v>0</v>
      </c>
      <c r="AE36" s="49"/>
      <c r="AF36" s="84"/>
      <c r="AG36" s="81">
        <f t="shared" si="22"/>
        <v>0</v>
      </c>
      <c r="AH36" s="79">
        <f t="shared" si="4"/>
        <v>0</v>
      </c>
      <c r="AI36" s="48">
        <v>1920</v>
      </c>
      <c r="AJ36" s="84"/>
      <c r="AK36" s="81">
        <f t="shared" si="5"/>
        <v>0</v>
      </c>
      <c r="AL36" s="79">
        <f t="shared" si="6"/>
        <v>0</v>
      </c>
      <c r="AM36" s="48"/>
      <c r="AN36" s="84"/>
      <c r="AO36" s="81">
        <f t="shared" si="7"/>
        <v>0</v>
      </c>
      <c r="AP36" s="79">
        <f t="shared" si="8"/>
        <v>0</v>
      </c>
      <c r="AQ36" s="48"/>
      <c r="AR36" s="84"/>
      <c r="AS36" s="81">
        <f t="shared" si="9"/>
        <v>0</v>
      </c>
      <c r="AT36" s="79">
        <f t="shared" si="10"/>
        <v>0</v>
      </c>
      <c r="AU36" s="49"/>
      <c r="AV36" s="84"/>
      <c r="AW36" s="81">
        <v>0</v>
      </c>
      <c r="AX36" s="79">
        <v>0</v>
      </c>
      <c r="AY36" s="49"/>
      <c r="AZ36" s="84"/>
      <c r="BA36" s="81">
        <v>0</v>
      </c>
      <c r="BB36" s="79">
        <v>0</v>
      </c>
      <c r="BC36" s="49"/>
      <c r="BD36" s="84"/>
      <c r="BE36" s="81">
        <v>0</v>
      </c>
      <c r="BF36" s="79">
        <v>0</v>
      </c>
      <c r="BG36" s="49"/>
      <c r="BH36" s="84"/>
      <c r="BI36" s="81">
        <v>0</v>
      </c>
      <c r="BJ36" s="79">
        <v>0</v>
      </c>
      <c r="BK36" s="49"/>
      <c r="BL36" s="84"/>
      <c r="BM36" s="81">
        <v>0</v>
      </c>
      <c r="BN36" s="79">
        <v>0</v>
      </c>
      <c r="BO36" s="49"/>
      <c r="BP36" s="84"/>
      <c r="BQ36" s="81">
        <v>0</v>
      </c>
      <c r="BR36" s="79">
        <v>0</v>
      </c>
      <c r="BS36" s="49"/>
      <c r="BT36" s="84"/>
      <c r="BU36" s="81">
        <f t="shared" si="11"/>
        <v>0</v>
      </c>
      <c r="BV36" s="79">
        <f t="shared" si="12"/>
        <v>0</v>
      </c>
      <c r="BW36" s="48"/>
      <c r="BX36" s="84"/>
      <c r="BY36" s="81">
        <f t="shared" si="13"/>
        <v>0</v>
      </c>
      <c r="BZ36" s="79">
        <f t="shared" si="14"/>
        <v>0</v>
      </c>
      <c r="CA36" s="48"/>
      <c r="CB36" s="84"/>
      <c r="CC36" s="81">
        <v>0</v>
      </c>
      <c r="CD36" s="79">
        <v>0</v>
      </c>
      <c r="CE36" s="49"/>
      <c r="CF36" s="84"/>
      <c r="CG36" s="81">
        <f t="shared" si="15"/>
        <v>0</v>
      </c>
      <c r="CH36" s="79">
        <f t="shared" si="16"/>
        <v>0</v>
      </c>
      <c r="CI36" s="33"/>
      <c r="CJ36" s="84"/>
      <c r="CK36" s="81">
        <f t="shared" si="17"/>
        <v>0</v>
      </c>
      <c r="CL36" s="79">
        <f t="shared" si="18"/>
        <v>0</v>
      </c>
      <c r="CM36" s="34"/>
      <c r="CN36" s="34"/>
      <c r="CO36" s="34"/>
      <c r="CP36" s="34"/>
      <c r="CQ36" s="50">
        <f t="shared" si="19"/>
        <v>1</v>
      </c>
      <c r="CR36" s="77">
        <f t="shared" si="23"/>
        <v>0</v>
      </c>
      <c r="CS36" s="28"/>
    </row>
    <row r="37" spans="1:97" s="1" customFormat="1">
      <c r="A37" s="30" t="s">
        <v>141</v>
      </c>
      <c r="B37" s="47"/>
      <c r="C37" s="36" t="s">
        <v>123</v>
      </c>
      <c r="D37" s="32"/>
      <c r="E37" s="32"/>
      <c r="F37" s="87"/>
      <c r="G37" s="48">
        <v>11520</v>
      </c>
      <c r="H37" s="84"/>
      <c r="I37" s="80">
        <f t="shared" si="20"/>
        <v>0</v>
      </c>
      <c r="J37" s="79">
        <f t="shared" si="21"/>
        <v>0</v>
      </c>
      <c r="K37" s="49">
        <v>1920</v>
      </c>
      <c r="L37" s="84"/>
      <c r="M37" s="81">
        <f t="shared" si="24"/>
        <v>0</v>
      </c>
      <c r="N37" s="79">
        <f t="shared" si="1"/>
        <v>0</v>
      </c>
      <c r="O37" s="48"/>
      <c r="P37" s="84"/>
      <c r="Q37" s="81">
        <f t="shared" si="2"/>
        <v>0</v>
      </c>
      <c r="R37" s="79">
        <f t="shared" si="3"/>
        <v>0</v>
      </c>
      <c r="S37" s="49"/>
      <c r="T37" s="84"/>
      <c r="U37" s="81">
        <v>0</v>
      </c>
      <c r="V37" s="79">
        <v>0</v>
      </c>
      <c r="W37" s="49"/>
      <c r="X37" s="84"/>
      <c r="Y37" s="81">
        <v>0</v>
      </c>
      <c r="Z37" s="79">
        <v>0</v>
      </c>
      <c r="AA37" s="49"/>
      <c r="AB37" s="84"/>
      <c r="AC37" s="81">
        <v>0</v>
      </c>
      <c r="AD37" s="79">
        <v>0</v>
      </c>
      <c r="AE37" s="49"/>
      <c r="AF37" s="84"/>
      <c r="AG37" s="81">
        <f t="shared" si="22"/>
        <v>0</v>
      </c>
      <c r="AH37" s="79">
        <f t="shared" si="4"/>
        <v>0</v>
      </c>
      <c r="AI37" s="48">
        <v>1920</v>
      </c>
      <c r="AJ37" s="84"/>
      <c r="AK37" s="81">
        <f t="shared" si="5"/>
        <v>0</v>
      </c>
      <c r="AL37" s="79">
        <f t="shared" si="6"/>
        <v>0</v>
      </c>
      <c r="AM37" s="48"/>
      <c r="AN37" s="84"/>
      <c r="AO37" s="81">
        <f t="shared" si="7"/>
        <v>0</v>
      </c>
      <c r="AP37" s="79">
        <f t="shared" si="8"/>
        <v>0</v>
      </c>
      <c r="AQ37" s="48"/>
      <c r="AR37" s="84"/>
      <c r="AS37" s="81">
        <f t="shared" si="9"/>
        <v>0</v>
      </c>
      <c r="AT37" s="79">
        <f t="shared" si="10"/>
        <v>0</v>
      </c>
      <c r="AU37" s="49"/>
      <c r="AV37" s="84"/>
      <c r="AW37" s="81">
        <v>0</v>
      </c>
      <c r="AX37" s="79">
        <v>0</v>
      </c>
      <c r="AY37" s="49"/>
      <c r="AZ37" s="84"/>
      <c r="BA37" s="81">
        <v>0</v>
      </c>
      <c r="BB37" s="79">
        <v>0</v>
      </c>
      <c r="BC37" s="49"/>
      <c r="BD37" s="84"/>
      <c r="BE37" s="81">
        <v>0</v>
      </c>
      <c r="BF37" s="79">
        <v>0</v>
      </c>
      <c r="BG37" s="49"/>
      <c r="BH37" s="84"/>
      <c r="BI37" s="81">
        <v>0</v>
      </c>
      <c r="BJ37" s="79">
        <v>0</v>
      </c>
      <c r="BK37" s="49"/>
      <c r="BL37" s="84"/>
      <c r="BM37" s="81">
        <v>0</v>
      </c>
      <c r="BN37" s="79">
        <v>0</v>
      </c>
      <c r="BO37" s="49"/>
      <c r="BP37" s="84"/>
      <c r="BQ37" s="81">
        <v>0</v>
      </c>
      <c r="BR37" s="79">
        <v>0</v>
      </c>
      <c r="BS37" s="49"/>
      <c r="BT37" s="84"/>
      <c r="BU37" s="81">
        <f t="shared" si="11"/>
        <v>0</v>
      </c>
      <c r="BV37" s="79">
        <f t="shared" si="12"/>
        <v>0</v>
      </c>
      <c r="BW37" s="48"/>
      <c r="BX37" s="84"/>
      <c r="BY37" s="81">
        <f t="shared" si="13"/>
        <v>0</v>
      </c>
      <c r="BZ37" s="79">
        <f t="shared" si="14"/>
        <v>0</v>
      </c>
      <c r="CA37" s="48"/>
      <c r="CB37" s="84"/>
      <c r="CC37" s="81">
        <v>0</v>
      </c>
      <c r="CD37" s="79">
        <v>0</v>
      </c>
      <c r="CE37" s="49"/>
      <c r="CF37" s="84"/>
      <c r="CG37" s="81">
        <f t="shared" si="15"/>
        <v>0</v>
      </c>
      <c r="CH37" s="79">
        <f t="shared" si="16"/>
        <v>0</v>
      </c>
      <c r="CI37" s="33"/>
      <c r="CJ37" s="84"/>
      <c r="CK37" s="81">
        <f t="shared" si="17"/>
        <v>0</v>
      </c>
      <c r="CL37" s="79">
        <f t="shared" si="18"/>
        <v>0</v>
      </c>
      <c r="CM37" s="34"/>
      <c r="CN37" s="34"/>
      <c r="CO37" s="34"/>
      <c r="CP37" s="34"/>
      <c r="CQ37" s="50">
        <f t="shared" si="19"/>
        <v>1</v>
      </c>
      <c r="CR37" s="77">
        <f t="shared" si="23"/>
        <v>0</v>
      </c>
      <c r="CS37" s="28"/>
    </row>
    <row r="38" spans="1:97" s="1" customFormat="1">
      <c r="A38" s="30" t="s">
        <v>142</v>
      </c>
      <c r="B38" s="47"/>
      <c r="C38" s="31" t="s">
        <v>143</v>
      </c>
      <c r="D38" s="32"/>
      <c r="E38" s="32"/>
      <c r="F38" s="87"/>
      <c r="G38" s="48"/>
      <c r="H38" s="84"/>
      <c r="I38" s="80">
        <f t="shared" si="20"/>
        <v>0</v>
      </c>
      <c r="J38" s="79">
        <f t="shared" si="21"/>
        <v>0</v>
      </c>
      <c r="K38" s="49"/>
      <c r="L38" s="84"/>
      <c r="M38" s="81">
        <f t="shared" si="24"/>
        <v>0</v>
      </c>
      <c r="N38" s="79">
        <f t="shared" si="1"/>
        <v>0</v>
      </c>
      <c r="O38" s="48"/>
      <c r="P38" s="84"/>
      <c r="Q38" s="81">
        <f t="shared" si="2"/>
        <v>0</v>
      </c>
      <c r="R38" s="79">
        <f t="shared" si="3"/>
        <v>0</v>
      </c>
      <c r="S38" s="49"/>
      <c r="T38" s="84"/>
      <c r="U38" s="81">
        <v>0</v>
      </c>
      <c r="V38" s="79">
        <v>0</v>
      </c>
      <c r="W38" s="49"/>
      <c r="X38" s="84"/>
      <c r="Y38" s="81">
        <v>0</v>
      </c>
      <c r="Z38" s="79">
        <v>0</v>
      </c>
      <c r="AA38" s="49"/>
      <c r="AB38" s="84"/>
      <c r="AC38" s="81">
        <v>0</v>
      </c>
      <c r="AD38" s="79">
        <v>0</v>
      </c>
      <c r="AE38" s="49"/>
      <c r="AF38" s="84"/>
      <c r="AG38" s="81">
        <f t="shared" si="22"/>
        <v>0</v>
      </c>
      <c r="AH38" s="79">
        <f t="shared" si="4"/>
        <v>0</v>
      </c>
      <c r="AI38" s="48"/>
      <c r="AJ38" s="84"/>
      <c r="AK38" s="81">
        <f t="shared" si="5"/>
        <v>0</v>
      </c>
      <c r="AL38" s="79">
        <f t="shared" si="6"/>
        <v>0</v>
      </c>
      <c r="AM38" s="48"/>
      <c r="AN38" s="84"/>
      <c r="AO38" s="81">
        <f t="shared" si="7"/>
        <v>0</v>
      </c>
      <c r="AP38" s="79">
        <f t="shared" si="8"/>
        <v>0</v>
      </c>
      <c r="AQ38" s="48">
        <v>3840</v>
      </c>
      <c r="AR38" s="84"/>
      <c r="AS38" s="81">
        <f t="shared" si="9"/>
        <v>0</v>
      </c>
      <c r="AT38" s="79">
        <f t="shared" si="10"/>
        <v>0</v>
      </c>
      <c r="AU38" s="49"/>
      <c r="AV38" s="84"/>
      <c r="AW38" s="81">
        <v>0</v>
      </c>
      <c r="AX38" s="79">
        <v>0</v>
      </c>
      <c r="AY38" s="49"/>
      <c r="AZ38" s="84"/>
      <c r="BA38" s="81">
        <v>0</v>
      </c>
      <c r="BB38" s="79">
        <v>0</v>
      </c>
      <c r="BC38" s="49"/>
      <c r="BD38" s="84"/>
      <c r="BE38" s="81">
        <v>0</v>
      </c>
      <c r="BF38" s="79">
        <v>0</v>
      </c>
      <c r="BG38" s="49"/>
      <c r="BH38" s="84"/>
      <c r="BI38" s="81">
        <v>0</v>
      </c>
      <c r="BJ38" s="79">
        <v>0</v>
      </c>
      <c r="BK38" s="49"/>
      <c r="BL38" s="84"/>
      <c r="BM38" s="81">
        <v>0</v>
      </c>
      <c r="BN38" s="79">
        <v>0</v>
      </c>
      <c r="BO38" s="49"/>
      <c r="BP38" s="84"/>
      <c r="BQ38" s="81">
        <v>0</v>
      </c>
      <c r="BR38" s="79">
        <v>0</v>
      </c>
      <c r="BS38" s="49"/>
      <c r="BT38" s="84"/>
      <c r="BU38" s="81">
        <f t="shared" si="11"/>
        <v>0</v>
      </c>
      <c r="BV38" s="79">
        <f t="shared" si="12"/>
        <v>0</v>
      </c>
      <c r="BW38" s="48"/>
      <c r="BX38" s="84"/>
      <c r="BY38" s="81">
        <f t="shared" si="13"/>
        <v>0</v>
      </c>
      <c r="BZ38" s="79">
        <f t="shared" si="14"/>
        <v>0</v>
      </c>
      <c r="CA38" s="48"/>
      <c r="CB38" s="84"/>
      <c r="CC38" s="81">
        <v>0</v>
      </c>
      <c r="CD38" s="79">
        <v>0</v>
      </c>
      <c r="CE38" s="49"/>
      <c r="CF38" s="84"/>
      <c r="CG38" s="81">
        <f t="shared" si="15"/>
        <v>0</v>
      </c>
      <c r="CH38" s="79">
        <f t="shared" si="16"/>
        <v>0</v>
      </c>
      <c r="CI38" s="33"/>
      <c r="CJ38" s="84"/>
      <c r="CK38" s="81">
        <f t="shared" si="17"/>
        <v>0</v>
      </c>
      <c r="CL38" s="79">
        <f t="shared" si="18"/>
        <v>0</v>
      </c>
      <c r="CM38" s="34"/>
      <c r="CN38" s="34"/>
      <c r="CO38" s="34"/>
      <c r="CP38" s="34"/>
      <c r="CQ38" s="50">
        <f t="shared" si="19"/>
        <v>1</v>
      </c>
      <c r="CR38" s="77">
        <f t="shared" si="23"/>
        <v>0</v>
      </c>
      <c r="CS38" s="28"/>
    </row>
    <row r="39" spans="1:97" s="1" customFormat="1">
      <c r="A39" s="30" t="s">
        <v>144</v>
      </c>
      <c r="B39" s="47"/>
      <c r="C39" s="63" t="s">
        <v>120</v>
      </c>
      <c r="D39" s="32"/>
      <c r="E39" s="32"/>
      <c r="F39" s="87"/>
      <c r="G39" s="48">
        <v>5760</v>
      </c>
      <c r="H39" s="84"/>
      <c r="I39" s="80">
        <f t="shared" si="20"/>
        <v>0</v>
      </c>
      <c r="J39" s="79">
        <f t="shared" si="21"/>
        <v>0</v>
      </c>
      <c r="K39" s="49"/>
      <c r="L39" s="84"/>
      <c r="M39" s="81">
        <f t="shared" si="24"/>
        <v>0</v>
      </c>
      <c r="N39" s="79">
        <f t="shared" si="1"/>
        <v>0</v>
      </c>
      <c r="O39" s="48"/>
      <c r="P39" s="84"/>
      <c r="Q39" s="81">
        <f t="shared" si="2"/>
        <v>0</v>
      </c>
      <c r="R39" s="79">
        <f t="shared" si="3"/>
        <v>0</v>
      </c>
      <c r="S39" s="49"/>
      <c r="T39" s="84"/>
      <c r="U39" s="81">
        <v>0</v>
      </c>
      <c r="V39" s="79">
        <v>0</v>
      </c>
      <c r="W39" s="49"/>
      <c r="X39" s="84"/>
      <c r="Y39" s="81">
        <v>0</v>
      </c>
      <c r="Z39" s="79">
        <v>0</v>
      </c>
      <c r="AA39" s="49"/>
      <c r="AB39" s="84"/>
      <c r="AC39" s="81">
        <v>0</v>
      </c>
      <c r="AD39" s="79">
        <v>0</v>
      </c>
      <c r="AE39" s="49"/>
      <c r="AF39" s="84"/>
      <c r="AG39" s="81">
        <f t="shared" si="22"/>
        <v>0</v>
      </c>
      <c r="AH39" s="79">
        <f t="shared" si="4"/>
        <v>0</v>
      </c>
      <c r="AI39" s="48">
        <v>5760</v>
      </c>
      <c r="AJ39" s="84"/>
      <c r="AK39" s="81">
        <f t="shared" si="5"/>
        <v>0</v>
      </c>
      <c r="AL39" s="79">
        <f t="shared" si="6"/>
        <v>0</v>
      </c>
      <c r="AM39" s="48"/>
      <c r="AN39" s="84"/>
      <c r="AO39" s="81">
        <f t="shared" si="7"/>
        <v>0</v>
      </c>
      <c r="AP39" s="79">
        <f t="shared" si="8"/>
        <v>0</v>
      </c>
      <c r="AQ39" s="48"/>
      <c r="AR39" s="84"/>
      <c r="AS39" s="81">
        <f t="shared" si="9"/>
        <v>0</v>
      </c>
      <c r="AT39" s="79">
        <f t="shared" si="10"/>
        <v>0</v>
      </c>
      <c r="AU39" s="54">
        <v>1920</v>
      </c>
      <c r="AV39" s="84"/>
      <c r="AW39" s="81">
        <v>0</v>
      </c>
      <c r="AX39" s="79">
        <v>0</v>
      </c>
      <c r="AY39" s="54">
        <v>1920</v>
      </c>
      <c r="AZ39" s="84"/>
      <c r="BA39" s="81">
        <v>0</v>
      </c>
      <c r="BB39" s="79">
        <v>0</v>
      </c>
      <c r="BC39" s="54">
        <v>9600</v>
      </c>
      <c r="BD39" s="84"/>
      <c r="BE39" s="81">
        <v>0</v>
      </c>
      <c r="BF39" s="79">
        <v>0</v>
      </c>
      <c r="BG39" s="49"/>
      <c r="BH39" s="84"/>
      <c r="BI39" s="81">
        <v>0</v>
      </c>
      <c r="BJ39" s="79">
        <v>0</v>
      </c>
      <c r="BK39" s="49"/>
      <c r="BL39" s="84"/>
      <c r="BM39" s="81">
        <v>0</v>
      </c>
      <c r="BN39" s="79">
        <v>0</v>
      </c>
      <c r="BO39" s="49"/>
      <c r="BP39" s="84"/>
      <c r="BQ39" s="81">
        <v>0</v>
      </c>
      <c r="BR39" s="79">
        <v>0</v>
      </c>
      <c r="BS39" s="49"/>
      <c r="BT39" s="84"/>
      <c r="BU39" s="81">
        <f t="shared" si="11"/>
        <v>0</v>
      </c>
      <c r="BV39" s="79">
        <f t="shared" si="12"/>
        <v>0</v>
      </c>
      <c r="BW39" s="48"/>
      <c r="BX39" s="84"/>
      <c r="BY39" s="81">
        <f t="shared" si="13"/>
        <v>0</v>
      </c>
      <c r="BZ39" s="79">
        <f t="shared" si="14"/>
        <v>0</v>
      </c>
      <c r="CA39" s="48"/>
      <c r="CB39" s="84"/>
      <c r="CC39" s="81">
        <v>0</v>
      </c>
      <c r="CD39" s="79">
        <v>0</v>
      </c>
      <c r="CE39" s="49"/>
      <c r="CF39" s="84"/>
      <c r="CG39" s="81">
        <f t="shared" si="15"/>
        <v>0</v>
      </c>
      <c r="CH39" s="79">
        <f t="shared" si="16"/>
        <v>0</v>
      </c>
      <c r="CI39" s="33"/>
      <c r="CJ39" s="84"/>
      <c r="CK39" s="81">
        <f t="shared" si="17"/>
        <v>0</v>
      </c>
      <c r="CL39" s="79">
        <f t="shared" si="18"/>
        <v>0</v>
      </c>
      <c r="CM39" s="34"/>
      <c r="CN39" s="34"/>
      <c r="CO39" s="34"/>
      <c r="CP39" s="34"/>
      <c r="CQ39" s="50">
        <f t="shared" si="19"/>
        <v>1</v>
      </c>
      <c r="CR39" s="77">
        <f t="shared" si="23"/>
        <v>0</v>
      </c>
      <c r="CS39" s="28"/>
    </row>
    <row r="40" spans="1:97" s="1" customFormat="1">
      <c r="A40" s="30" t="s">
        <v>144</v>
      </c>
      <c r="B40" s="47"/>
      <c r="C40" s="31" t="s">
        <v>123</v>
      </c>
      <c r="D40" s="32"/>
      <c r="E40" s="32"/>
      <c r="F40" s="87"/>
      <c r="G40" s="48">
        <v>1920</v>
      </c>
      <c r="H40" s="84"/>
      <c r="I40" s="80">
        <f t="shared" si="20"/>
        <v>0</v>
      </c>
      <c r="J40" s="79">
        <f t="shared" si="21"/>
        <v>0</v>
      </c>
      <c r="K40" s="49"/>
      <c r="L40" s="84"/>
      <c r="M40" s="81">
        <f t="shared" si="24"/>
        <v>0</v>
      </c>
      <c r="N40" s="79">
        <f t="shared" si="1"/>
        <v>0</v>
      </c>
      <c r="O40" s="48">
        <v>24960</v>
      </c>
      <c r="P40" s="84"/>
      <c r="Q40" s="81">
        <f t="shared" si="2"/>
        <v>0</v>
      </c>
      <c r="R40" s="79">
        <f t="shared" si="3"/>
        <v>0</v>
      </c>
      <c r="S40" s="49"/>
      <c r="T40" s="84"/>
      <c r="U40" s="81">
        <v>0</v>
      </c>
      <c r="V40" s="79">
        <v>0</v>
      </c>
      <c r="W40" s="49"/>
      <c r="X40" s="84"/>
      <c r="Y40" s="81">
        <v>0</v>
      </c>
      <c r="Z40" s="79">
        <v>0</v>
      </c>
      <c r="AA40" s="49"/>
      <c r="AB40" s="84"/>
      <c r="AC40" s="81">
        <v>0</v>
      </c>
      <c r="AD40" s="79">
        <v>0</v>
      </c>
      <c r="AE40" s="49"/>
      <c r="AF40" s="84"/>
      <c r="AG40" s="81">
        <f t="shared" si="22"/>
        <v>0</v>
      </c>
      <c r="AH40" s="79">
        <f t="shared" si="4"/>
        <v>0</v>
      </c>
      <c r="AI40" s="48"/>
      <c r="AJ40" s="84"/>
      <c r="AK40" s="81">
        <f t="shared" si="5"/>
        <v>0</v>
      </c>
      <c r="AL40" s="79">
        <f t="shared" si="6"/>
        <v>0</v>
      </c>
      <c r="AM40" s="48"/>
      <c r="AN40" s="84"/>
      <c r="AO40" s="81">
        <f t="shared" si="7"/>
        <v>0</v>
      </c>
      <c r="AP40" s="79">
        <f t="shared" si="8"/>
        <v>0</v>
      </c>
      <c r="AQ40" s="48"/>
      <c r="AR40" s="84"/>
      <c r="AS40" s="81">
        <f t="shared" si="9"/>
        <v>0</v>
      </c>
      <c r="AT40" s="79">
        <f t="shared" si="10"/>
        <v>0</v>
      </c>
      <c r="AU40" s="49"/>
      <c r="AV40" s="84"/>
      <c r="AW40" s="81">
        <v>0</v>
      </c>
      <c r="AX40" s="79">
        <v>0</v>
      </c>
      <c r="AY40" s="49"/>
      <c r="AZ40" s="84"/>
      <c r="BA40" s="81">
        <v>0</v>
      </c>
      <c r="BB40" s="79">
        <v>0</v>
      </c>
      <c r="BC40" s="49"/>
      <c r="BD40" s="84"/>
      <c r="BE40" s="81">
        <v>0</v>
      </c>
      <c r="BF40" s="79">
        <v>0</v>
      </c>
      <c r="BG40" s="49"/>
      <c r="BH40" s="84"/>
      <c r="BI40" s="81">
        <v>0</v>
      </c>
      <c r="BJ40" s="79">
        <v>0</v>
      </c>
      <c r="BK40" s="49"/>
      <c r="BL40" s="84"/>
      <c r="BM40" s="81">
        <v>0</v>
      </c>
      <c r="BN40" s="79">
        <v>0</v>
      </c>
      <c r="BO40" s="49"/>
      <c r="BP40" s="84"/>
      <c r="BQ40" s="81">
        <v>0</v>
      </c>
      <c r="BR40" s="79">
        <v>0</v>
      </c>
      <c r="BS40" s="49"/>
      <c r="BT40" s="84"/>
      <c r="BU40" s="81">
        <f t="shared" si="11"/>
        <v>0</v>
      </c>
      <c r="BV40" s="79">
        <f t="shared" si="12"/>
        <v>0</v>
      </c>
      <c r="BW40" s="48"/>
      <c r="BX40" s="84"/>
      <c r="BY40" s="81">
        <f t="shared" si="13"/>
        <v>0</v>
      </c>
      <c r="BZ40" s="79">
        <f t="shared" si="14"/>
        <v>0</v>
      </c>
      <c r="CA40" s="48"/>
      <c r="CB40" s="84"/>
      <c r="CC40" s="81">
        <v>0</v>
      </c>
      <c r="CD40" s="79">
        <v>0</v>
      </c>
      <c r="CE40" s="49"/>
      <c r="CF40" s="84"/>
      <c r="CG40" s="81">
        <f t="shared" si="15"/>
        <v>0</v>
      </c>
      <c r="CH40" s="79">
        <f t="shared" si="16"/>
        <v>0</v>
      </c>
      <c r="CI40" s="33"/>
      <c r="CJ40" s="84"/>
      <c r="CK40" s="81">
        <f t="shared" si="17"/>
        <v>0</v>
      </c>
      <c r="CL40" s="79">
        <f t="shared" si="18"/>
        <v>0</v>
      </c>
      <c r="CM40" s="34"/>
      <c r="CN40" s="34"/>
      <c r="CO40" s="34"/>
      <c r="CP40" s="34"/>
      <c r="CQ40" s="50">
        <f t="shared" si="19"/>
        <v>1</v>
      </c>
      <c r="CR40" s="77">
        <f t="shared" si="23"/>
        <v>0</v>
      </c>
      <c r="CS40" s="28"/>
    </row>
    <row r="41" spans="1:97" s="1" customFormat="1">
      <c r="A41" s="30" t="s">
        <v>145</v>
      </c>
      <c r="B41" s="47"/>
      <c r="C41" s="31" t="s">
        <v>121</v>
      </c>
      <c r="D41" s="32"/>
      <c r="E41" s="32"/>
      <c r="F41" s="87"/>
      <c r="G41" s="48"/>
      <c r="H41" s="84"/>
      <c r="I41" s="80">
        <f t="shared" si="20"/>
        <v>0</v>
      </c>
      <c r="J41" s="79">
        <f t="shared" si="21"/>
        <v>0</v>
      </c>
      <c r="K41" s="49"/>
      <c r="L41" s="84"/>
      <c r="M41" s="81">
        <f t="shared" si="24"/>
        <v>0</v>
      </c>
      <c r="N41" s="79">
        <f t="shared" si="1"/>
        <v>0</v>
      </c>
      <c r="O41" s="48">
        <v>11520</v>
      </c>
      <c r="P41" s="84"/>
      <c r="Q41" s="81">
        <f t="shared" si="2"/>
        <v>0</v>
      </c>
      <c r="R41" s="79">
        <f t="shared" si="3"/>
        <v>0</v>
      </c>
      <c r="S41" s="49"/>
      <c r="T41" s="84"/>
      <c r="U41" s="81">
        <v>0</v>
      </c>
      <c r="V41" s="79">
        <v>0</v>
      </c>
      <c r="W41" s="49"/>
      <c r="X41" s="84"/>
      <c r="Y41" s="81">
        <v>0</v>
      </c>
      <c r="Z41" s="79">
        <v>0</v>
      </c>
      <c r="AA41" s="49"/>
      <c r="AB41" s="84"/>
      <c r="AC41" s="81">
        <v>0</v>
      </c>
      <c r="AD41" s="79">
        <v>0</v>
      </c>
      <c r="AE41" s="49"/>
      <c r="AF41" s="84"/>
      <c r="AG41" s="81">
        <f t="shared" si="22"/>
        <v>0</v>
      </c>
      <c r="AH41" s="79">
        <f t="shared" si="4"/>
        <v>0</v>
      </c>
      <c r="AI41" s="48"/>
      <c r="AJ41" s="84"/>
      <c r="AK41" s="81">
        <f t="shared" si="5"/>
        <v>0</v>
      </c>
      <c r="AL41" s="79">
        <f t="shared" si="6"/>
        <v>0</v>
      </c>
      <c r="AM41" s="48"/>
      <c r="AN41" s="84"/>
      <c r="AO41" s="81">
        <f t="shared" si="7"/>
        <v>0</v>
      </c>
      <c r="AP41" s="79">
        <f t="shared" si="8"/>
        <v>0</v>
      </c>
      <c r="AQ41" s="48"/>
      <c r="AR41" s="84"/>
      <c r="AS41" s="81">
        <f t="shared" si="9"/>
        <v>0</v>
      </c>
      <c r="AT41" s="79">
        <f t="shared" si="10"/>
        <v>0</v>
      </c>
      <c r="AU41" s="49"/>
      <c r="AV41" s="84"/>
      <c r="AW41" s="81">
        <v>0</v>
      </c>
      <c r="AX41" s="79">
        <v>0</v>
      </c>
      <c r="AY41" s="49"/>
      <c r="AZ41" s="84"/>
      <c r="BA41" s="81">
        <v>0</v>
      </c>
      <c r="BB41" s="79">
        <v>0</v>
      </c>
      <c r="BC41" s="49"/>
      <c r="BD41" s="84"/>
      <c r="BE41" s="81">
        <v>0</v>
      </c>
      <c r="BF41" s="79">
        <v>0</v>
      </c>
      <c r="BG41" s="49"/>
      <c r="BH41" s="84"/>
      <c r="BI41" s="81">
        <v>0</v>
      </c>
      <c r="BJ41" s="79">
        <v>0</v>
      </c>
      <c r="BK41" s="49"/>
      <c r="BL41" s="84"/>
      <c r="BM41" s="81">
        <v>0</v>
      </c>
      <c r="BN41" s="79">
        <v>0</v>
      </c>
      <c r="BO41" s="49"/>
      <c r="BP41" s="84"/>
      <c r="BQ41" s="81">
        <v>0</v>
      </c>
      <c r="BR41" s="79">
        <v>0</v>
      </c>
      <c r="BS41" s="49"/>
      <c r="BT41" s="84"/>
      <c r="BU41" s="81">
        <f t="shared" si="11"/>
        <v>0</v>
      </c>
      <c r="BV41" s="79">
        <f t="shared" si="12"/>
        <v>0</v>
      </c>
      <c r="BW41" s="48"/>
      <c r="BX41" s="84"/>
      <c r="BY41" s="81">
        <f t="shared" si="13"/>
        <v>0</v>
      </c>
      <c r="BZ41" s="79">
        <f t="shared" si="14"/>
        <v>0</v>
      </c>
      <c r="CA41" s="48"/>
      <c r="CB41" s="84"/>
      <c r="CC41" s="81">
        <v>0</v>
      </c>
      <c r="CD41" s="79">
        <v>0</v>
      </c>
      <c r="CE41" s="49">
        <v>1920</v>
      </c>
      <c r="CF41" s="84"/>
      <c r="CG41" s="81">
        <f t="shared" si="15"/>
        <v>0</v>
      </c>
      <c r="CH41" s="79">
        <f t="shared" si="16"/>
        <v>0</v>
      </c>
      <c r="CI41" s="33"/>
      <c r="CJ41" s="84"/>
      <c r="CK41" s="81">
        <f t="shared" si="17"/>
        <v>0</v>
      </c>
      <c r="CL41" s="79">
        <f t="shared" si="18"/>
        <v>0</v>
      </c>
      <c r="CM41" s="34"/>
      <c r="CN41" s="34"/>
      <c r="CO41" s="34"/>
      <c r="CP41" s="34"/>
      <c r="CQ41" s="50">
        <f t="shared" si="19"/>
        <v>1</v>
      </c>
      <c r="CR41" s="77">
        <f t="shared" si="23"/>
        <v>0</v>
      </c>
      <c r="CS41" s="28"/>
    </row>
    <row r="42" spans="1:97" s="1" customFormat="1">
      <c r="A42" s="30" t="s">
        <v>146</v>
      </c>
      <c r="B42" s="47"/>
      <c r="C42" s="63" t="s">
        <v>120</v>
      </c>
      <c r="D42" s="32"/>
      <c r="E42" s="32"/>
      <c r="F42" s="87"/>
      <c r="G42" s="48">
        <v>5760</v>
      </c>
      <c r="H42" s="84"/>
      <c r="I42" s="80">
        <f t="shared" si="20"/>
        <v>0</v>
      </c>
      <c r="J42" s="79">
        <f t="shared" si="21"/>
        <v>0</v>
      </c>
      <c r="K42" s="49"/>
      <c r="L42" s="84"/>
      <c r="M42" s="81">
        <f t="shared" si="24"/>
        <v>0</v>
      </c>
      <c r="N42" s="79">
        <f t="shared" si="1"/>
        <v>0</v>
      </c>
      <c r="O42" s="48"/>
      <c r="P42" s="84"/>
      <c r="Q42" s="81">
        <f t="shared" si="2"/>
        <v>0</v>
      </c>
      <c r="R42" s="79">
        <f t="shared" si="3"/>
        <v>0</v>
      </c>
      <c r="S42" s="49"/>
      <c r="T42" s="84"/>
      <c r="U42" s="81">
        <v>0</v>
      </c>
      <c r="V42" s="79">
        <v>0</v>
      </c>
      <c r="W42" s="54">
        <v>1920</v>
      </c>
      <c r="X42" s="84"/>
      <c r="Y42" s="81">
        <v>0</v>
      </c>
      <c r="Z42" s="79">
        <v>0</v>
      </c>
      <c r="AA42" s="54"/>
      <c r="AB42" s="84"/>
      <c r="AC42" s="81">
        <v>0</v>
      </c>
      <c r="AD42" s="79">
        <v>0</v>
      </c>
      <c r="AE42" s="54"/>
      <c r="AF42" s="84"/>
      <c r="AG42" s="81">
        <f t="shared" si="22"/>
        <v>0</v>
      </c>
      <c r="AH42" s="79">
        <f t="shared" si="4"/>
        <v>0</v>
      </c>
      <c r="AI42" s="48">
        <v>7680</v>
      </c>
      <c r="AJ42" s="84"/>
      <c r="AK42" s="81">
        <f t="shared" si="5"/>
        <v>0</v>
      </c>
      <c r="AL42" s="79">
        <f t="shared" si="6"/>
        <v>0</v>
      </c>
      <c r="AM42" s="48"/>
      <c r="AN42" s="84"/>
      <c r="AO42" s="81">
        <f t="shared" si="7"/>
        <v>0</v>
      </c>
      <c r="AP42" s="79">
        <f t="shared" si="8"/>
        <v>0</v>
      </c>
      <c r="AQ42" s="48"/>
      <c r="AR42" s="84"/>
      <c r="AS42" s="81">
        <f t="shared" si="9"/>
        <v>0</v>
      </c>
      <c r="AT42" s="79">
        <f t="shared" si="10"/>
        <v>0</v>
      </c>
      <c r="AU42" s="49"/>
      <c r="AV42" s="84"/>
      <c r="AW42" s="81">
        <v>0</v>
      </c>
      <c r="AX42" s="79">
        <v>0</v>
      </c>
      <c r="AY42" s="49"/>
      <c r="AZ42" s="84"/>
      <c r="BA42" s="81">
        <v>0</v>
      </c>
      <c r="BB42" s="79">
        <v>0</v>
      </c>
      <c r="BC42" s="49"/>
      <c r="BD42" s="84"/>
      <c r="BE42" s="81">
        <v>0</v>
      </c>
      <c r="BF42" s="79">
        <v>0</v>
      </c>
      <c r="BG42" s="49"/>
      <c r="BH42" s="84"/>
      <c r="BI42" s="81">
        <v>0</v>
      </c>
      <c r="BJ42" s="79">
        <v>0</v>
      </c>
      <c r="BK42" s="49"/>
      <c r="BL42" s="84"/>
      <c r="BM42" s="81">
        <v>0</v>
      </c>
      <c r="BN42" s="79">
        <v>0</v>
      </c>
      <c r="BO42" s="49"/>
      <c r="BP42" s="84"/>
      <c r="BQ42" s="81">
        <v>0</v>
      </c>
      <c r="BR42" s="79">
        <v>0</v>
      </c>
      <c r="BS42" s="49"/>
      <c r="BT42" s="84"/>
      <c r="BU42" s="81">
        <f t="shared" si="11"/>
        <v>0</v>
      </c>
      <c r="BV42" s="79">
        <f t="shared" si="12"/>
        <v>0</v>
      </c>
      <c r="BW42" s="48"/>
      <c r="BX42" s="84"/>
      <c r="BY42" s="81">
        <f t="shared" si="13"/>
        <v>0</v>
      </c>
      <c r="BZ42" s="79">
        <f t="shared" si="14"/>
        <v>0</v>
      </c>
      <c r="CA42" s="48"/>
      <c r="CB42" s="84"/>
      <c r="CC42" s="81">
        <v>0</v>
      </c>
      <c r="CD42" s="79">
        <v>0</v>
      </c>
      <c r="CE42" s="49"/>
      <c r="CF42" s="84"/>
      <c r="CG42" s="81">
        <f t="shared" si="15"/>
        <v>0</v>
      </c>
      <c r="CH42" s="79">
        <f t="shared" si="16"/>
        <v>0</v>
      </c>
      <c r="CI42" s="33"/>
      <c r="CJ42" s="84"/>
      <c r="CK42" s="81">
        <f t="shared" si="17"/>
        <v>0</v>
      </c>
      <c r="CL42" s="79">
        <f t="shared" si="18"/>
        <v>0</v>
      </c>
      <c r="CM42" s="34"/>
      <c r="CN42" s="34"/>
      <c r="CO42" s="34"/>
      <c r="CP42" s="34"/>
      <c r="CQ42" s="50">
        <f t="shared" si="19"/>
        <v>1</v>
      </c>
      <c r="CR42" s="77">
        <f t="shared" si="23"/>
        <v>0</v>
      </c>
      <c r="CS42" s="28"/>
    </row>
    <row r="43" spans="1:97" s="1" customFormat="1">
      <c r="A43" s="30" t="s">
        <v>146</v>
      </c>
      <c r="B43" s="47"/>
      <c r="C43" s="31" t="s">
        <v>121</v>
      </c>
      <c r="D43" s="32"/>
      <c r="E43" s="32"/>
      <c r="F43" s="87"/>
      <c r="G43" s="48">
        <v>1920</v>
      </c>
      <c r="H43" s="84"/>
      <c r="I43" s="80">
        <f t="shared" si="20"/>
        <v>0</v>
      </c>
      <c r="J43" s="79">
        <f t="shared" si="21"/>
        <v>0</v>
      </c>
      <c r="K43" s="49"/>
      <c r="L43" s="84"/>
      <c r="M43" s="81">
        <f t="shared" si="24"/>
        <v>0</v>
      </c>
      <c r="N43" s="79">
        <f t="shared" ref="N43:N59" si="25">K43*M43</f>
        <v>0</v>
      </c>
      <c r="O43" s="48">
        <v>5760</v>
      </c>
      <c r="P43" s="84"/>
      <c r="Q43" s="81">
        <f t="shared" ref="Q43:Q59" si="26">P43*CQ43</f>
        <v>0</v>
      </c>
      <c r="R43" s="79">
        <f t="shared" ref="R43:R59" si="27">O43*Q43</f>
        <v>0</v>
      </c>
      <c r="S43" s="49"/>
      <c r="T43" s="84"/>
      <c r="U43" s="81">
        <v>0</v>
      </c>
      <c r="V43" s="79">
        <v>0</v>
      </c>
      <c r="W43" s="49"/>
      <c r="X43" s="84"/>
      <c r="Y43" s="81">
        <v>0</v>
      </c>
      <c r="Z43" s="79">
        <v>0</v>
      </c>
      <c r="AA43" s="49"/>
      <c r="AB43" s="84"/>
      <c r="AC43" s="81">
        <v>0</v>
      </c>
      <c r="AD43" s="79">
        <v>0</v>
      </c>
      <c r="AE43" s="49"/>
      <c r="AF43" s="84"/>
      <c r="AG43" s="81">
        <f t="shared" si="22"/>
        <v>0</v>
      </c>
      <c r="AH43" s="79">
        <f t="shared" ref="AH43:AH59" si="28">AE43*AG43</f>
        <v>0</v>
      </c>
      <c r="AI43" s="48">
        <v>13440</v>
      </c>
      <c r="AJ43" s="84"/>
      <c r="AK43" s="81">
        <f t="shared" ref="AK43:AK59" si="29">AJ43*CQ43</f>
        <v>0</v>
      </c>
      <c r="AL43" s="79">
        <f t="shared" ref="AL43:AL59" si="30">AI43*AK43</f>
        <v>0</v>
      </c>
      <c r="AM43" s="48"/>
      <c r="AN43" s="84"/>
      <c r="AO43" s="81">
        <f t="shared" ref="AO43:AO59" si="31">AN43*CQ43</f>
        <v>0</v>
      </c>
      <c r="AP43" s="79">
        <f t="shared" ref="AP43:AP59" si="32">AM43*AO43</f>
        <v>0</v>
      </c>
      <c r="AQ43" s="48"/>
      <c r="AR43" s="84"/>
      <c r="AS43" s="81">
        <f t="shared" ref="AS43:AS59" si="33">AR43*CQ43</f>
        <v>0</v>
      </c>
      <c r="AT43" s="79">
        <f t="shared" ref="AT43:AT59" si="34">AQ43*AS43</f>
        <v>0</v>
      </c>
      <c r="AU43" s="49"/>
      <c r="AV43" s="84"/>
      <c r="AW43" s="81">
        <v>0</v>
      </c>
      <c r="AX43" s="79">
        <v>0</v>
      </c>
      <c r="AY43" s="49"/>
      <c r="AZ43" s="84"/>
      <c r="BA43" s="81">
        <v>0</v>
      </c>
      <c r="BB43" s="79">
        <v>0</v>
      </c>
      <c r="BC43" s="49"/>
      <c r="BD43" s="84"/>
      <c r="BE43" s="81">
        <v>0</v>
      </c>
      <c r="BF43" s="79">
        <v>0</v>
      </c>
      <c r="BG43" s="49"/>
      <c r="BH43" s="84"/>
      <c r="BI43" s="81">
        <v>0</v>
      </c>
      <c r="BJ43" s="79">
        <v>0</v>
      </c>
      <c r="BK43" s="49"/>
      <c r="BL43" s="84"/>
      <c r="BM43" s="81">
        <v>0</v>
      </c>
      <c r="BN43" s="79">
        <v>0</v>
      </c>
      <c r="BO43" s="49"/>
      <c r="BP43" s="84"/>
      <c r="BQ43" s="81">
        <v>0</v>
      </c>
      <c r="BR43" s="79">
        <v>0</v>
      </c>
      <c r="BS43" s="49"/>
      <c r="BT43" s="84"/>
      <c r="BU43" s="81">
        <f t="shared" ref="BU43:BU59" si="35">BT43*CQ43</f>
        <v>0</v>
      </c>
      <c r="BV43" s="79">
        <f t="shared" ref="BV43:BV59" si="36">BS43*BU43</f>
        <v>0</v>
      </c>
      <c r="BW43" s="48">
        <v>960</v>
      </c>
      <c r="BX43" s="84"/>
      <c r="BY43" s="81">
        <f t="shared" ref="BY43:BY59" si="37">BX43*CQ43</f>
        <v>0</v>
      </c>
      <c r="BZ43" s="79">
        <f t="shared" ref="BZ43:BZ59" si="38">BW43*BY43</f>
        <v>0</v>
      </c>
      <c r="CA43" s="48"/>
      <c r="CB43" s="84"/>
      <c r="CC43" s="81">
        <v>0</v>
      </c>
      <c r="CD43" s="79">
        <v>0</v>
      </c>
      <c r="CE43" s="49"/>
      <c r="CF43" s="84"/>
      <c r="CG43" s="81">
        <f t="shared" ref="CG43:CG59" si="39">CF43*CQ43</f>
        <v>0</v>
      </c>
      <c r="CH43" s="79">
        <f t="shared" ref="CH43:CH59" si="40">CE43*CG43</f>
        <v>0</v>
      </c>
      <c r="CI43" s="33"/>
      <c r="CJ43" s="84"/>
      <c r="CK43" s="81">
        <f t="shared" ref="CK43:CK59" si="41">CJ43*CQ43</f>
        <v>0</v>
      </c>
      <c r="CL43" s="79">
        <f t="shared" ref="CL43:CL59" si="42">CI43*CK43</f>
        <v>0</v>
      </c>
      <c r="CM43" s="34"/>
      <c r="CN43" s="34"/>
      <c r="CO43" s="34"/>
      <c r="CP43" s="34"/>
      <c r="CQ43" s="50">
        <f t="shared" ref="CQ43:CQ59" si="43">(1+CM43)*(1+CN43)*(1+CO43)*(1+CP43)</f>
        <v>1</v>
      </c>
      <c r="CR43" s="77">
        <f t="shared" ref="CR43:CR59" si="44">J43+N43+R43+V43+Z43+AD43+AH43+AL43+AP43+AT43+AX43+BB43+BF43+BJ43+BN43+BR43+BV43+BZ43+CD43+CH43+CL43</f>
        <v>0</v>
      </c>
      <c r="CS43" s="28"/>
    </row>
    <row r="44" spans="1:97" s="1" customFormat="1">
      <c r="A44" s="30" t="s">
        <v>146</v>
      </c>
      <c r="B44" s="47"/>
      <c r="C44" s="31" t="s">
        <v>123</v>
      </c>
      <c r="D44" s="32"/>
      <c r="E44" s="32"/>
      <c r="F44" s="87"/>
      <c r="G44" s="48">
        <v>1920</v>
      </c>
      <c r="H44" s="84"/>
      <c r="I44" s="80">
        <f t="shared" si="20"/>
        <v>0</v>
      </c>
      <c r="J44" s="79">
        <f t="shared" si="21"/>
        <v>0</v>
      </c>
      <c r="K44" s="49"/>
      <c r="L44" s="84"/>
      <c r="M44" s="81">
        <f t="shared" si="24"/>
        <v>0</v>
      </c>
      <c r="N44" s="79">
        <f t="shared" si="25"/>
        <v>0</v>
      </c>
      <c r="O44" s="48">
        <v>46080</v>
      </c>
      <c r="P44" s="84"/>
      <c r="Q44" s="81">
        <f t="shared" si="26"/>
        <v>0</v>
      </c>
      <c r="R44" s="79">
        <f t="shared" si="27"/>
        <v>0</v>
      </c>
      <c r="S44" s="49"/>
      <c r="T44" s="84"/>
      <c r="U44" s="81">
        <v>0</v>
      </c>
      <c r="V44" s="79">
        <v>0</v>
      </c>
      <c r="W44" s="49"/>
      <c r="X44" s="84"/>
      <c r="Y44" s="81">
        <v>0</v>
      </c>
      <c r="Z44" s="79">
        <v>0</v>
      </c>
      <c r="AA44" s="54">
        <v>1920</v>
      </c>
      <c r="AB44" s="84"/>
      <c r="AC44" s="81">
        <v>0</v>
      </c>
      <c r="AD44" s="79">
        <v>0</v>
      </c>
      <c r="AE44" s="54">
        <v>1920</v>
      </c>
      <c r="AF44" s="84"/>
      <c r="AG44" s="81">
        <f t="shared" si="22"/>
        <v>0</v>
      </c>
      <c r="AH44" s="79">
        <f t="shared" si="28"/>
        <v>0</v>
      </c>
      <c r="AI44" s="48"/>
      <c r="AJ44" s="84"/>
      <c r="AK44" s="81">
        <f t="shared" si="29"/>
        <v>0</v>
      </c>
      <c r="AL44" s="79">
        <f t="shared" si="30"/>
        <v>0</v>
      </c>
      <c r="AM44" s="48"/>
      <c r="AN44" s="84"/>
      <c r="AO44" s="81">
        <f t="shared" si="31"/>
        <v>0</v>
      </c>
      <c r="AP44" s="79">
        <f t="shared" si="32"/>
        <v>0</v>
      </c>
      <c r="AQ44" s="48"/>
      <c r="AR44" s="84"/>
      <c r="AS44" s="81">
        <f t="shared" si="33"/>
        <v>0</v>
      </c>
      <c r="AT44" s="79">
        <f t="shared" si="34"/>
        <v>0</v>
      </c>
      <c r="AU44" s="49"/>
      <c r="AV44" s="84"/>
      <c r="AW44" s="81">
        <v>0</v>
      </c>
      <c r="AX44" s="79">
        <v>0</v>
      </c>
      <c r="AY44" s="49"/>
      <c r="AZ44" s="84"/>
      <c r="BA44" s="81">
        <v>0</v>
      </c>
      <c r="BB44" s="79">
        <v>0</v>
      </c>
      <c r="BC44" s="49"/>
      <c r="BD44" s="84"/>
      <c r="BE44" s="81">
        <v>0</v>
      </c>
      <c r="BF44" s="79">
        <v>0</v>
      </c>
      <c r="BG44" s="54">
        <v>1920</v>
      </c>
      <c r="BH44" s="84"/>
      <c r="BI44" s="81">
        <v>0</v>
      </c>
      <c r="BJ44" s="79">
        <v>0</v>
      </c>
      <c r="BK44" s="54">
        <v>1920</v>
      </c>
      <c r="BL44" s="84"/>
      <c r="BM44" s="81">
        <v>0</v>
      </c>
      <c r="BN44" s="79">
        <v>0</v>
      </c>
      <c r="BO44" s="54">
        <v>1920</v>
      </c>
      <c r="BP44" s="84"/>
      <c r="BQ44" s="81">
        <v>0</v>
      </c>
      <c r="BR44" s="79">
        <v>0</v>
      </c>
      <c r="BS44" s="54">
        <v>1920</v>
      </c>
      <c r="BT44" s="84"/>
      <c r="BU44" s="81">
        <f t="shared" si="35"/>
        <v>0</v>
      </c>
      <c r="BV44" s="79">
        <f t="shared" si="36"/>
        <v>0</v>
      </c>
      <c r="BW44" s="48"/>
      <c r="BX44" s="84"/>
      <c r="BY44" s="81">
        <f t="shared" si="37"/>
        <v>0</v>
      </c>
      <c r="BZ44" s="79">
        <f t="shared" si="38"/>
        <v>0</v>
      </c>
      <c r="CA44" s="48"/>
      <c r="CB44" s="84"/>
      <c r="CC44" s="81">
        <v>0</v>
      </c>
      <c r="CD44" s="79">
        <v>0</v>
      </c>
      <c r="CE44" s="49"/>
      <c r="CF44" s="84"/>
      <c r="CG44" s="81">
        <f t="shared" si="39"/>
        <v>0</v>
      </c>
      <c r="CH44" s="79">
        <f t="shared" si="40"/>
        <v>0</v>
      </c>
      <c r="CI44" s="33"/>
      <c r="CJ44" s="84"/>
      <c r="CK44" s="81">
        <f t="shared" si="41"/>
        <v>0</v>
      </c>
      <c r="CL44" s="79">
        <f t="shared" si="42"/>
        <v>0</v>
      </c>
      <c r="CM44" s="34"/>
      <c r="CN44" s="34"/>
      <c r="CO44" s="34"/>
      <c r="CP44" s="34"/>
      <c r="CQ44" s="50">
        <f t="shared" si="43"/>
        <v>1</v>
      </c>
      <c r="CR44" s="77">
        <f t="shared" si="44"/>
        <v>0</v>
      </c>
      <c r="CS44" s="28"/>
    </row>
    <row r="45" spans="1:97" s="1" customFormat="1">
      <c r="A45" s="30" t="s">
        <v>147</v>
      </c>
      <c r="B45" s="47"/>
      <c r="C45" s="63" t="s">
        <v>120</v>
      </c>
      <c r="D45" s="32"/>
      <c r="E45" s="32"/>
      <c r="F45" s="87"/>
      <c r="G45" s="48"/>
      <c r="H45" s="84"/>
      <c r="I45" s="80">
        <f t="shared" si="20"/>
        <v>0</v>
      </c>
      <c r="J45" s="79">
        <f t="shared" si="21"/>
        <v>0</v>
      </c>
      <c r="K45" s="49"/>
      <c r="L45" s="84"/>
      <c r="M45" s="81">
        <f t="shared" si="24"/>
        <v>0</v>
      </c>
      <c r="N45" s="79">
        <f t="shared" si="25"/>
        <v>0</v>
      </c>
      <c r="O45" s="48"/>
      <c r="P45" s="84"/>
      <c r="Q45" s="81">
        <f t="shared" si="26"/>
        <v>0</v>
      </c>
      <c r="R45" s="79">
        <f t="shared" si="27"/>
        <v>0</v>
      </c>
      <c r="S45" s="54">
        <v>1920</v>
      </c>
      <c r="T45" s="89"/>
      <c r="U45" s="81">
        <v>0</v>
      </c>
      <c r="V45" s="79">
        <v>0</v>
      </c>
      <c r="W45" s="49"/>
      <c r="X45" s="89"/>
      <c r="Y45" s="81">
        <v>0</v>
      </c>
      <c r="Z45" s="79">
        <v>0</v>
      </c>
      <c r="AA45" s="49"/>
      <c r="AB45" s="89"/>
      <c r="AC45" s="81">
        <v>0</v>
      </c>
      <c r="AD45" s="79">
        <v>0</v>
      </c>
      <c r="AE45" s="49"/>
      <c r="AF45" s="89"/>
      <c r="AG45" s="81">
        <f t="shared" si="22"/>
        <v>0</v>
      </c>
      <c r="AH45" s="79">
        <f t="shared" si="28"/>
        <v>0</v>
      </c>
      <c r="AI45" s="48"/>
      <c r="AJ45" s="84"/>
      <c r="AK45" s="81">
        <f t="shared" si="29"/>
        <v>0</v>
      </c>
      <c r="AL45" s="79">
        <f t="shared" si="30"/>
        <v>0</v>
      </c>
      <c r="AM45" s="48"/>
      <c r="AN45" s="84"/>
      <c r="AO45" s="81">
        <f t="shared" si="31"/>
        <v>0</v>
      </c>
      <c r="AP45" s="79">
        <f t="shared" si="32"/>
        <v>0</v>
      </c>
      <c r="AQ45" s="48"/>
      <c r="AR45" s="84"/>
      <c r="AS45" s="81">
        <f t="shared" si="33"/>
        <v>0</v>
      </c>
      <c r="AT45" s="79">
        <f t="shared" si="34"/>
        <v>0</v>
      </c>
      <c r="AU45" s="49"/>
      <c r="AV45" s="84"/>
      <c r="AW45" s="81">
        <v>0</v>
      </c>
      <c r="AX45" s="79">
        <v>0</v>
      </c>
      <c r="AY45" s="49"/>
      <c r="AZ45" s="84"/>
      <c r="BA45" s="81">
        <v>0</v>
      </c>
      <c r="BB45" s="79">
        <v>0</v>
      </c>
      <c r="BC45" s="49"/>
      <c r="BD45" s="84"/>
      <c r="BE45" s="81">
        <v>0</v>
      </c>
      <c r="BF45" s="79">
        <v>0</v>
      </c>
      <c r="BG45" s="49"/>
      <c r="BH45" s="84"/>
      <c r="BI45" s="81">
        <v>0</v>
      </c>
      <c r="BJ45" s="79">
        <v>0</v>
      </c>
      <c r="BK45" s="49"/>
      <c r="BL45" s="84"/>
      <c r="BM45" s="81">
        <v>0</v>
      </c>
      <c r="BN45" s="79">
        <v>0</v>
      </c>
      <c r="BO45" s="49"/>
      <c r="BP45" s="84"/>
      <c r="BQ45" s="81">
        <v>0</v>
      </c>
      <c r="BR45" s="79">
        <v>0</v>
      </c>
      <c r="BS45" s="49"/>
      <c r="BT45" s="84"/>
      <c r="BU45" s="81">
        <f t="shared" si="35"/>
        <v>0</v>
      </c>
      <c r="BV45" s="79">
        <f t="shared" si="36"/>
        <v>0</v>
      </c>
      <c r="BW45" s="48"/>
      <c r="BX45" s="84"/>
      <c r="BY45" s="81">
        <f t="shared" si="37"/>
        <v>0</v>
      </c>
      <c r="BZ45" s="79">
        <f t="shared" si="38"/>
        <v>0</v>
      </c>
      <c r="CA45" s="48"/>
      <c r="CB45" s="84"/>
      <c r="CC45" s="81">
        <v>0</v>
      </c>
      <c r="CD45" s="79">
        <v>0</v>
      </c>
      <c r="CE45" s="49"/>
      <c r="CF45" s="84"/>
      <c r="CG45" s="81">
        <f t="shared" si="39"/>
        <v>0</v>
      </c>
      <c r="CH45" s="79">
        <f t="shared" si="40"/>
        <v>0</v>
      </c>
      <c r="CI45" s="33"/>
      <c r="CJ45" s="84"/>
      <c r="CK45" s="81">
        <f t="shared" si="41"/>
        <v>0</v>
      </c>
      <c r="CL45" s="79">
        <f t="shared" si="42"/>
        <v>0</v>
      </c>
      <c r="CM45" s="34"/>
      <c r="CN45" s="34"/>
      <c r="CO45" s="34"/>
      <c r="CP45" s="34"/>
      <c r="CQ45" s="50">
        <f t="shared" si="43"/>
        <v>1</v>
      </c>
      <c r="CR45" s="77">
        <f t="shared" si="44"/>
        <v>0</v>
      </c>
      <c r="CS45" s="28"/>
    </row>
    <row r="46" spans="1:97" s="1" customFormat="1">
      <c r="A46" s="30" t="s">
        <v>148</v>
      </c>
      <c r="B46" s="47"/>
      <c r="C46" s="31" t="s">
        <v>121</v>
      </c>
      <c r="D46" s="32"/>
      <c r="E46" s="32"/>
      <c r="F46" s="87"/>
      <c r="G46" s="48"/>
      <c r="H46" s="84"/>
      <c r="I46" s="80">
        <f t="shared" si="20"/>
        <v>0</v>
      </c>
      <c r="J46" s="79">
        <f t="shared" si="21"/>
        <v>0</v>
      </c>
      <c r="K46" s="49"/>
      <c r="L46" s="84"/>
      <c r="M46" s="81">
        <f t="shared" si="24"/>
        <v>0</v>
      </c>
      <c r="N46" s="79">
        <f t="shared" si="25"/>
        <v>0</v>
      </c>
      <c r="O46" s="48">
        <v>3840</v>
      </c>
      <c r="P46" s="84"/>
      <c r="Q46" s="81">
        <f t="shared" si="26"/>
        <v>0</v>
      </c>
      <c r="R46" s="79">
        <f t="shared" si="27"/>
        <v>0</v>
      </c>
      <c r="S46" s="49"/>
      <c r="T46" s="84"/>
      <c r="U46" s="81">
        <v>0</v>
      </c>
      <c r="V46" s="79">
        <v>0</v>
      </c>
      <c r="W46" s="49"/>
      <c r="X46" s="84"/>
      <c r="Y46" s="81">
        <v>0</v>
      </c>
      <c r="Z46" s="79">
        <v>0</v>
      </c>
      <c r="AA46" s="49"/>
      <c r="AB46" s="84"/>
      <c r="AC46" s="81">
        <v>0</v>
      </c>
      <c r="AD46" s="79">
        <v>0</v>
      </c>
      <c r="AE46" s="49"/>
      <c r="AF46" s="84"/>
      <c r="AG46" s="81">
        <f t="shared" si="22"/>
        <v>0</v>
      </c>
      <c r="AH46" s="79">
        <f t="shared" si="28"/>
        <v>0</v>
      </c>
      <c r="AI46" s="48"/>
      <c r="AJ46" s="84"/>
      <c r="AK46" s="81">
        <f t="shared" si="29"/>
        <v>0</v>
      </c>
      <c r="AL46" s="79">
        <f t="shared" si="30"/>
        <v>0</v>
      </c>
      <c r="AM46" s="48"/>
      <c r="AN46" s="84"/>
      <c r="AO46" s="81">
        <f t="shared" si="31"/>
        <v>0</v>
      </c>
      <c r="AP46" s="79">
        <f t="shared" si="32"/>
        <v>0</v>
      </c>
      <c r="AQ46" s="48">
        <v>49920</v>
      </c>
      <c r="AR46" s="84"/>
      <c r="AS46" s="81">
        <f t="shared" si="33"/>
        <v>0</v>
      </c>
      <c r="AT46" s="79">
        <f t="shared" si="34"/>
        <v>0</v>
      </c>
      <c r="AU46" s="49"/>
      <c r="AV46" s="84"/>
      <c r="AW46" s="81">
        <v>0</v>
      </c>
      <c r="AX46" s="79">
        <v>0</v>
      </c>
      <c r="AY46" s="49"/>
      <c r="AZ46" s="84"/>
      <c r="BA46" s="81">
        <v>0</v>
      </c>
      <c r="BB46" s="79">
        <v>0</v>
      </c>
      <c r="BC46" s="49"/>
      <c r="BD46" s="84"/>
      <c r="BE46" s="81">
        <v>0</v>
      </c>
      <c r="BF46" s="79">
        <v>0</v>
      </c>
      <c r="BG46" s="49"/>
      <c r="BH46" s="84"/>
      <c r="BI46" s="81">
        <v>0</v>
      </c>
      <c r="BJ46" s="79">
        <v>0</v>
      </c>
      <c r="BK46" s="49"/>
      <c r="BL46" s="84"/>
      <c r="BM46" s="81">
        <v>0</v>
      </c>
      <c r="BN46" s="79">
        <v>0</v>
      </c>
      <c r="BO46" s="49"/>
      <c r="BP46" s="84"/>
      <c r="BQ46" s="81">
        <v>0</v>
      </c>
      <c r="BR46" s="79">
        <v>0</v>
      </c>
      <c r="BS46" s="49"/>
      <c r="BT46" s="84"/>
      <c r="BU46" s="81">
        <f t="shared" si="35"/>
        <v>0</v>
      </c>
      <c r="BV46" s="79">
        <f t="shared" si="36"/>
        <v>0</v>
      </c>
      <c r="BW46" s="48">
        <v>1920</v>
      </c>
      <c r="BX46" s="84"/>
      <c r="BY46" s="81">
        <f t="shared" si="37"/>
        <v>0</v>
      </c>
      <c r="BZ46" s="79">
        <f t="shared" si="38"/>
        <v>0</v>
      </c>
      <c r="CA46" s="48"/>
      <c r="CB46" s="84"/>
      <c r="CC46" s="81">
        <v>0</v>
      </c>
      <c r="CD46" s="79">
        <v>0</v>
      </c>
      <c r="CE46" s="49">
        <v>1920</v>
      </c>
      <c r="CF46" s="84"/>
      <c r="CG46" s="81">
        <f t="shared" si="39"/>
        <v>0</v>
      </c>
      <c r="CH46" s="79">
        <f t="shared" si="40"/>
        <v>0</v>
      </c>
      <c r="CI46" s="33"/>
      <c r="CJ46" s="84"/>
      <c r="CK46" s="81">
        <f t="shared" si="41"/>
        <v>0</v>
      </c>
      <c r="CL46" s="79">
        <f t="shared" si="42"/>
        <v>0</v>
      </c>
      <c r="CM46" s="34"/>
      <c r="CN46" s="34"/>
      <c r="CO46" s="34"/>
      <c r="CP46" s="34"/>
      <c r="CQ46" s="50">
        <f t="shared" si="43"/>
        <v>1</v>
      </c>
      <c r="CR46" s="77">
        <f t="shared" si="44"/>
        <v>0</v>
      </c>
      <c r="CS46" s="28"/>
    </row>
    <row r="47" spans="1:97" s="1" customFormat="1">
      <c r="A47" s="30" t="s">
        <v>148</v>
      </c>
      <c r="B47" s="47"/>
      <c r="C47" s="31" t="s">
        <v>123</v>
      </c>
      <c r="D47" s="32"/>
      <c r="E47" s="32"/>
      <c r="F47" s="87"/>
      <c r="G47" s="48">
        <v>9600</v>
      </c>
      <c r="H47" s="84"/>
      <c r="I47" s="80">
        <f t="shared" si="20"/>
        <v>0</v>
      </c>
      <c r="J47" s="79">
        <f t="shared" si="21"/>
        <v>0</v>
      </c>
      <c r="K47" s="49"/>
      <c r="L47" s="84"/>
      <c r="M47" s="81">
        <f t="shared" si="24"/>
        <v>0</v>
      </c>
      <c r="N47" s="79">
        <f t="shared" si="25"/>
        <v>0</v>
      </c>
      <c r="O47" s="48"/>
      <c r="P47" s="84"/>
      <c r="Q47" s="81">
        <f t="shared" si="26"/>
        <v>0</v>
      </c>
      <c r="R47" s="79">
        <f t="shared" si="27"/>
        <v>0</v>
      </c>
      <c r="S47" s="49"/>
      <c r="T47" s="84"/>
      <c r="U47" s="81">
        <v>0</v>
      </c>
      <c r="V47" s="79">
        <v>0</v>
      </c>
      <c r="W47" s="49"/>
      <c r="X47" s="84"/>
      <c r="Y47" s="81">
        <v>0</v>
      </c>
      <c r="Z47" s="79">
        <v>0</v>
      </c>
      <c r="AA47" s="49"/>
      <c r="AB47" s="84"/>
      <c r="AC47" s="81">
        <v>0</v>
      </c>
      <c r="AD47" s="79">
        <v>0</v>
      </c>
      <c r="AE47" s="49"/>
      <c r="AF47" s="84"/>
      <c r="AG47" s="81">
        <f t="shared" si="22"/>
        <v>0</v>
      </c>
      <c r="AH47" s="79">
        <f t="shared" si="28"/>
        <v>0</v>
      </c>
      <c r="AI47" s="48"/>
      <c r="AJ47" s="84"/>
      <c r="AK47" s="81">
        <f t="shared" si="29"/>
        <v>0</v>
      </c>
      <c r="AL47" s="79">
        <f t="shared" si="30"/>
        <v>0</v>
      </c>
      <c r="AM47" s="48"/>
      <c r="AN47" s="84"/>
      <c r="AO47" s="81">
        <f t="shared" si="31"/>
        <v>0</v>
      </c>
      <c r="AP47" s="79">
        <f t="shared" si="32"/>
        <v>0</v>
      </c>
      <c r="AQ47" s="48"/>
      <c r="AR47" s="84"/>
      <c r="AS47" s="81">
        <f t="shared" si="33"/>
        <v>0</v>
      </c>
      <c r="AT47" s="79">
        <f t="shared" si="34"/>
        <v>0</v>
      </c>
      <c r="AU47" s="49"/>
      <c r="AV47" s="84"/>
      <c r="AW47" s="81">
        <v>0</v>
      </c>
      <c r="AX47" s="79">
        <v>0</v>
      </c>
      <c r="AY47" s="49"/>
      <c r="AZ47" s="84"/>
      <c r="BA47" s="81">
        <v>0</v>
      </c>
      <c r="BB47" s="79">
        <v>0</v>
      </c>
      <c r="BC47" s="49"/>
      <c r="BD47" s="84"/>
      <c r="BE47" s="81">
        <v>0</v>
      </c>
      <c r="BF47" s="79">
        <v>0</v>
      </c>
      <c r="BG47" s="49"/>
      <c r="BH47" s="84"/>
      <c r="BI47" s="81">
        <v>0</v>
      </c>
      <c r="BJ47" s="79">
        <v>0</v>
      </c>
      <c r="BK47" s="49"/>
      <c r="BL47" s="84"/>
      <c r="BM47" s="81">
        <v>0</v>
      </c>
      <c r="BN47" s="79">
        <v>0</v>
      </c>
      <c r="BO47" s="49"/>
      <c r="BP47" s="84"/>
      <c r="BQ47" s="81">
        <v>0</v>
      </c>
      <c r="BR47" s="79">
        <v>0</v>
      </c>
      <c r="BS47" s="49"/>
      <c r="BT47" s="84"/>
      <c r="BU47" s="81">
        <f t="shared" si="35"/>
        <v>0</v>
      </c>
      <c r="BV47" s="79">
        <f t="shared" si="36"/>
        <v>0</v>
      </c>
      <c r="BW47" s="48"/>
      <c r="BX47" s="84"/>
      <c r="BY47" s="81">
        <f t="shared" si="37"/>
        <v>0</v>
      </c>
      <c r="BZ47" s="79">
        <f t="shared" si="38"/>
        <v>0</v>
      </c>
      <c r="CA47" s="48"/>
      <c r="CB47" s="84"/>
      <c r="CC47" s="81">
        <v>0</v>
      </c>
      <c r="CD47" s="79">
        <v>0</v>
      </c>
      <c r="CE47" s="49"/>
      <c r="CF47" s="84"/>
      <c r="CG47" s="81">
        <f t="shared" si="39"/>
        <v>0</v>
      </c>
      <c r="CH47" s="79">
        <f t="shared" si="40"/>
        <v>0</v>
      </c>
      <c r="CI47" s="33"/>
      <c r="CJ47" s="84"/>
      <c r="CK47" s="81">
        <f t="shared" si="41"/>
        <v>0</v>
      </c>
      <c r="CL47" s="79">
        <f t="shared" si="42"/>
        <v>0</v>
      </c>
      <c r="CM47" s="34"/>
      <c r="CN47" s="34"/>
      <c r="CO47" s="34"/>
      <c r="CP47" s="34"/>
      <c r="CQ47" s="50">
        <f t="shared" si="43"/>
        <v>1</v>
      </c>
      <c r="CR47" s="77">
        <f t="shared" si="44"/>
        <v>0</v>
      </c>
      <c r="CS47" s="28"/>
    </row>
    <row r="48" spans="1:97" s="1" customFormat="1">
      <c r="A48" s="30" t="s">
        <v>149</v>
      </c>
      <c r="B48" s="47"/>
      <c r="C48" s="63" t="s">
        <v>120</v>
      </c>
      <c r="D48" s="32"/>
      <c r="E48" s="32"/>
      <c r="F48" s="87"/>
      <c r="G48" s="48"/>
      <c r="H48" s="84"/>
      <c r="I48" s="80">
        <f t="shared" si="20"/>
        <v>0</v>
      </c>
      <c r="J48" s="79">
        <f t="shared" si="21"/>
        <v>0</v>
      </c>
      <c r="K48" s="49"/>
      <c r="L48" s="84"/>
      <c r="M48" s="81">
        <f t="shared" si="24"/>
        <v>0</v>
      </c>
      <c r="N48" s="79">
        <f t="shared" si="25"/>
        <v>0</v>
      </c>
      <c r="O48" s="48"/>
      <c r="P48" s="84"/>
      <c r="Q48" s="81">
        <f t="shared" si="26"/>
        <v>0</v>
      </c>
      <c r="R48" s="79">
        <f t="shared" si="27"/>
        <v>0</v>
      </c>
      <c r="S48" s="49"/>
      <c r="T48" s="84"/>
      <c r="U48" s="81">
        <f t="shared" ref="U48:U59" si="45">T48*CQ48</f>
        <v>0</v>
      </c>
      <c r="V48" s="79">
        <f t="shared" ref="V48:V59" si="46">S48*U48</f>
        <v>0</v>
      </c>
      <c r="W48" s="49"/>
      <c r="X48" s="84"/>
      <c r="Y48" s="81">
        <f t="shared" ref="Y48:Y59" si="47">X48*CT48</f>
        <v>0</v>
      </c>
      <c r="Z48" s="79">
        <f t="shared" ref="Z48:Z59" si="48">W48*Y48</f>
        <v>0</v>
      </c>
      <c r="AA48" s="49"/>
      <c r="AB48" s="84"/>
      <c r="AC48" s="81">
        <f t="shared" ref="AC48:AC59" si="49">AB48*CW48</f>
        <v>0</v>
      </c>
      <c r="AD48" s="79">
        <f t="shared" ref="AD48:AD59" si="50">AA48*AC48</f>
        <v>0</v>
      </c>
      <c r="AE48" s="49"/>
      <c r="AF48" s="84"/>
      <c r="AG48" s="81">
        <f t="shared" si="22"/>
        <v>0</v>
      </c>
      <c r="AH48" s="79">
        <f t="shared" si="28"/>
        <v>0</v>
      </c>
      <c r="AI48" s="48"/>
      <c r="AJ48" s="84"/>
      <c r="AK48" s="81">
        <f t="shared" si="29"/>
        <v>0</v>
      </c>
      <c r="AL48" s="79">
        <f t="shared" si="30"/>
        <v>0</v>
      </c>
      <c r="AM48" s="48"/>
      <c r="AN48" s="84"/>
      <c r="AO48" s="81">
        <f t="shared" si="31"/>
        <v>0</v>
      </c>
      <c r="AP48" s="79">
        <f t="shared" si="32"/>
        <v>0</v>
      </c>
      <c r="AQ48" s="48"/>
      <c r="AR48" s="84"/>
      <c r="AS48" s="81">
        <f t="shared" si="33"/>
        <v>0</v>
      </c>
      <c r="AT48" s="79">
        <f t="shared" si="34"/>
        <v>0</v>
      </c>
      <c r="AU48" s="49"/>
      <c r="AV48" s="84"/>
      <c r="AW48" s="81">
        <v>0</v>
      </c>
      <c r="AX48" s="79">
        <v>0</v>
      </c>
      <c r="AY48" s="49"/>
      <c r="AZ48" s="84"/>
      <c r="BA48" s="81">
        <v>0</v>
      </c>
      <c r="BB48" s="79">
        <v>0</v>
      </c>
      <c r="BC48" s="49"/>
      <c r="BD48" s="84"/>
      <c r="BE48" s="81">
        <v>0</v>
      </c>
      <c r="BF48" s="79">
        <v>0</v>
      </c>
      <c r="BG48" s="49"/>
      <c r="BH48" s="84"/>
      <c r="BI48" s="81">
        <v>0</v>
      </c>
      <c r="BJ48" s="79">
        <v>0</v>
      </c>
      <c r="BK48" s="49"/>
      <c r="BL48" s="84"/>
      <c r="BM48" s="81">
        <v>0</v>
      </c>
      <c r="BN48" s="79">
        <v>0</v>
      </c>
      <c r="BO48" s="49"/>
      <c r="BP48" s="84"/>
      <c r="BQ48" s="81">
        <v>0</v>
      </c>
      <c r="BR48" s="79">
        <v>0</v>
      </c>
      <c r="BS48" s="49"/>
      <c r="BT48" s="84"/>
      <c r="BU48" s="81">
        <f t="shared" si="35"/>
        <v>0</v>
      </c>
      <c r="BV48" s="79">
        <f t="shared" si="36"/>
        <v>0</v>
      </c>
      <c r="BW48" s="48"/>
      <c r="BX48" s="84"/>
      <c r="BY48" s="81">
        <f t="shared" si="37"/>
        <v>0</v>
      </c>
      <c r="BZ48" s="79">
        <f t="shared" si="38"/>
        <v>0</v>
      </c>
      <c r="CA48" s="48"/>
      <c r="CB48" s="84"/>
      <c r="CC48" s="81">
        <v>0</v>
      </c>
      <c r="CD48" s="79">
        <v>0</v>
      </c>
      <c r="CE48" s="49"/>
      <c r="CF48" s="84"/>
      <c r="CG48" s="81">
        <f t="shared" si="39"/>
        <v>0</v>
      </c>
      <c r="CH48" s="79">
        <f t="shared" si="40"/>
        <v>0</v>
      </c>
      <c r="CI48" s="33"/>
      <c r="CJ48" s="84"/>
      <c r="CK48" s="81">
        <f t="shared" si="41"/>
        <v>0</v>
      </c>
      <c r="CL48" s="79">
        <f t="shared" si="42"/>
        <v>0</v>
      </c>
      <c r="CM48" s="34"/>
      <c r="CN48" s="34"/>
      <c r="CO48" s="34"/>
      <c r="CP48" s="34"/>
      <c r="CQ48" s="50">
        <f t="shared" si="43"/>
        <v>1</v>
      </c>
      <c r="CR48" s="77">
        <f t="shared" si="44"/>
        <v>0</v>
      </c>
      <c r="CS48" s="28"/>
    </row>
    <row r="49" spans="1:97" s="1" customFormat="1">
      <c r="A49" s="30" t="s">
        <v>150</v>
      </c>
      <c r="B49" s="47"/>
      <c r="C49" s="31" t="s">
        <v>121</v>
      </c>
      <c r="D49" s="32"/>
      <c r="E49" s="32"/>
      <c r="F49" s="87"/>
      <c r="G49" s="48"/>
      <c r="H49" s="84"/>
      <c r="I49" s="80">
        <f t="shared" si="20"/>
        <v>0</v>
      </c>
      <c r="J49" s="79">
        <f t="shared" si="21"/>
        <v>0</v>
      </c>
      <c r="K49" s="49"/>
      <c r="L49" s="84"/>
      <c r="M49" s="81">
        <f t="shared" si="24"/>
        <v>0</v>
      </c>
      <c r="N49" s="79">
        <f t="shared" si="25"/>
        <v>0</v>
      </c>
      <c r="O49" s="48"/>
      <c r="P49" s="84"/>
      <c r="Q49" s="81">
        <f t="shared" si="26"/>
        <v>0</v>
      </c>
      <c r="R49" s="79">
        <f t="shared" si="27"/>
        <v>0</v>
      </c>
      <c r="S49" s="49"/>
      <c r="T49" s="84"/>
      <c r="U49" s="81">
        <f t="shared" si="45"/>
        <v>0</v>
      </c>
      <c r="V49" s="79">
        <f t="shared" si="46"/>
        <v>0</v>
      </c>
      <c r="W49" s="49"/>
      <c r="X49" s="84"/>
      <c r="Y49" s="81">
        <f t="shared" si="47"/>
        <v>0</v>
      </c>
      <c r="Z49" s="79">
        <f t="shared" si="48"/>
        <v>0</v>
      </c>
      <c r="AA49" s="49"/>
      <c r="AB49" s="84"/>
      <c r="AC49" s="81">
        <f t="shared" si="49"/>
        <v>0</v>
      </c>
      <c r="AD49" s="79">
        <f t="shared" si="50"/>
        <v>0</v>
      </c>
      <c r="AE49" s="49"/>
      <c r="AF49" s="84"/>
      <c r="AG49" s="81">
        <f t="shared" si="22"/>
        <v>0</v>
      </c>
      <c r="AH49" s="79">
        <f t="shared" si="28"/>
        <v>0</v>
      </c>
      <c r="AI49" s="48"/>
      <c r="AJ49" s="84"/>
      <c r="AK49" s="81">
        <f t="shared" si="29"/>
        <v>0</v>
      </c>
      <c r="AL49" s="79">
        <f t="shared" si="30"/>
        <v>0</v>
      </c>
      <c r="AM49" s="48"/>
      <c r="AN49" s="84"/>
      <c r="AO49" s="81">
        <f t="shared" si="31"/>
        <v>0</v>
      </c>
      <c r="AP49" s="79">
        <f t="shared" si="32"/>
        <v>0</v>
      </c>
      <c r="AQ49" s="48"/>
      <c r="AR49" s="84"/>
      <c r="AS49" s="81">
        <f t="shared" si="33"/>
        <v>0</v>
      </c>
      <c r="AT49" s="79">
        <f t="shared" si="34"/>
        <v>0</v>
      </c>
      <c r="AU49" s="49"/>
      <c r="AV49" s="84"/>
      <c r="AW49" s="81">
        <v>0</v>
      </c>
      <c r="AX49" s="79">
        <v>0</v>
      </c>
      <c r="AY49" s="49"/>
      <c r="AZ49" s="84"/>
      <c r="BA49" s="81">
        <v>0</v>
      </c>
      <c r="BB49" s="79">
        <v>0</v>
      </c>
      <c r="BC49" s="49"/>
      <c r="BD49" s="84"/>
      <c r="BE49" s="81">
        <v>0</v>
      </c>
      <c r="BF49" s="79">
        <v>0</v>
      </c>
      <c r="BG49" s="49"/>
      <c r="BH49" s="84"/>
      <c r="BI49" s="81">
        <v>0</v>
      </c>
      <c r="BJ49" s="79">
        <v>0</v>
      </c>
      <c r="BK49" s="49"/>
      <c r="BL49" s="84"/>
      <c r="BM49" s="81">
        <v>0</v>
      </c>
      <c r="BN49" s="79">
        <v>0</v>
      </c>
      <c r="BO49" s="49"/>
      <c r="BP49" s="84"/>
      <c r="BQ49" s="81">
        <v>0</v>
      </c>
      <c r="BR49" s="79">
        <v>0</v>
      </c>
      <c r="BS49" s="49"/>
      <c r="BT49" s="84"/>
      <c r="BU49" s="81">
        <f t="shared" si="35"/>
        <v>0</v>
      </c>
      <c r="BV49" s="79">
        <f t="shared" si="36"/>
        <v>0</v>
      </c>
      <c r="BW49" s="48">
        <v>1920</v>
      </c>
      <c r="BX49" s="84"/>
      <c r="BY49" s="81">
        <f t="shared" si="37"/>
        <v>0</v>
      </c>
      <c r="BZ49" s="79">
        <f t="shared" si="38"/>
        <v>0</v>
      </c>
      <c r="CA49" s="48"/>
      <c r="CB49" s="84"/>
      <c r="CC49" s="81">
        <v>0</v>
      </c>
      <c r="CD49" s="79">
        <v>0</v>
      </c>
      <c r="CE49" s="49"/>
      <c r="CF49" s="84"/>
      <c r="CG49" s="81">
        <f t="shared" si="39"/>
        <v>0</v>
      </c>
      <c r="CH49" s="79">
        <f t="shared" si="40"/>
        <v>0</v>
      </c>
      <c r="CI49" s="33"/>
      <c r="CJ49" s="84"/>
      <c r="CK49" s="81">
        <f t="shared" si="41"/>
        <v>0</v>
      </c>
      <c r="CL49" s="79">
        <f t="shared" si="42"/>
        <v>0</v>
      </c>
      <c r="CM49" s="34"/>
      <c r="CN49" s="34"/>
      <c r="CO49" s="34"/>
      <c r="CP49" s="34"/>
      <c r="CQ49" s="50">
        <f t="shared" si="43"/>
        <v>1</v>
      </c>
      <c r="CR49" s="77">
        <f t="shared" si="44"/>
        <v>0</v>
      </c>
      <c r="CS49" s="28"/>
    </row>
    <row r="50" spans="1:97" s="1" customFormat="1">
      <c r="A50" s="30" t="s">
        <v>151</v>
      </c>
      <c r="B50" s="47"/>
      <c r="C50" s="31" t="s">
        <v>123</v>
      </c>
      <c r="D50" s="32"/>
      <c r="E50" s="32"/>
      <c r="F50" s="87"/>
      <c r="G50" s="48"/>
      <c r="H50" s="84"/>
      <c r="I50" s="80">
        <f t="shared" si="20"/>
        <v>0</v>
      </c>
      <c r="J50" s="79">
        <f t="shared" si="21"/>
        <v>0</v>
      </c>
      <c r="K50" s="49"/>
      <c r="L50" s="84"/>
      <c r="M50" s="81">
        <f t="shared" si="24"/>
        <v>0</v>
      </c>
      <c r="N50" s="79">
        <f t="shared" si="25"/>
        <v>0</v>
      </c>
      <c r="O50" s="48"/>
      <c r="P50" s="84"/>
      <c r="Q50" s="81">
        <f t="shared" si="26"/>
        <v>0</v>
      </c>
      <c r="R50" s="79">
        <f t="shared" si="27"/>
        <v>0</v>
      </c>
      <c r="S50" s="49"/>
      <c r="T50" s="84"/>
      <c r="U50" s="81">
        <f t="shared" si="45"/>
        <v>0</v>
      </c>
      <c r="V50" s="79">
        <f t="shared" si="46"/>
        <v>0</v>
      </c>
      <c r="W50" s="49"/>
      <c r="X50" s="84"/>
      <c r="Y50" s="81">
        <f t="shared" si="47"/>
        <v>0</v>
      </c>
      <c r="Z50" s="79">
        <f t="shared" si="48"/>
        <v>0</v>
      </c>
      <c r="AA50" s="49"/>
      <c r="AB50" s="84"/>
      <c r="AC50" s="81">
        <f t="shared" si="49"/>
        <v>0</v>
      </c>
      <c r="AD50" s="79">
        <f t="shared" si="50"/>
        <v>0</v>
      </c>
      <c r="AE50" s="49"/>
      <c r="AF50" s="84"/>
      <c r="AG50" s="81">
        <f t="shared" si="22"/>
        <v>0</v>
      </c>
      <c r="AH50" s="79">
        <f t="shared" si="28"/>
        <v>0</v>
      </c>
      <c r="AI50" s="48"/>
      <c r="AJ50" s="84"/>
      <c r="AK50" s="81">
        <f t="shared" si="29"/>
        <v>0</v>
      </c>
      <c r="AL50" s="79">
        <f t="shared" si="30"/>
        <v>0</v>
      </c>
      <c r="AM50" s="48"/>
      <c r="AN50" s="84"/>
      <c r="AO50" s="81">
        <f t="shared" si="31"/>
        <v>0</v>
      </c>
      <c r="AP50" s="79">
        <f t="shared" si="32"/>
        <v>0</v>
      </c>
      <c r="AQ50" s="48"/>
      <c r="AR50" s="84"/>
      <c r="AS50" s="81">
        <f t="shared" si="33"/>
        <v>0</v>
      </c>
      <c r="AT50" s="79">
        <f t="shared" si="34"/>
        <v>0</v>
      </c>
      <c r="AU50" s="49"/>
      <c r="AV50" s="84"/>
      <c r="AW50" s="81">
        <v>0</v>
      </c>
      <c r="AX50" s="79">
        <v>0</v>
      </c>
      <c r="AY50" s="49"/>
      <c r="AZ50" s="84"/>
      <c r="BA50" s="81">
        <v>0</v>
      </c>
      <c r="BB50" s="79">
        <v>0</v>
      </c>
      <c r="BC50" s="49"/>
      <c r="BD50" s="84"/>
      <c r="BE50" s="81">
        <v>0</v>
      </c>
      <c r="BF50" s="79">
        <v>0</v>
      </c>
      <c r="BG50" s="49"/>
      <c r="BH50" s="84"/>
      <c r="BI50" s="81">
        <v>0</v>
      </c>
      <c r="BJ50" s="79">
        <v>0</v>
      </c>
      <c r="BK50" s="49"/>
      <c r="BL50" s="84"/>
      <c r="BM50" s="81">
        <v>0</v>
      </c>
      <c r="BN50" s="79">
        <v>0</v>
      </c>
      <c r="BO50" s="49"/>
      <c r="BP50" s="84"/>
      <c r="BQ50" s="81">
        <v>0</v>
      </c>
      <c r="BR50" s="79">
        <v>0</v>
      </c>
      <c r="BS50" s="49"/>
      <c r="BT50" s="84"/>
      <c r="BU50" s="81">
        <f t="shared" si="35"/>
        <v>0</v>
      </c>
      <c r="BV50" s="79">
        <f t="shared" si="36"/>
        <v>0</v>
      </c>
      <c r="BW50" s="48"/>
      <c r="BX50" s="84"/>
      <c r="BY50" s="81">
        <f t="shared" si="37"/>
        <v>0</v>
      </c>
      <c r="BZ50" s="79">
        <f t="shared" si="38"/>
        <v>0</v>
      </c>
      <c r="CA50" s="48"/>
      <c r="CB50" s="84"/>
      <c r="CC50" s="81">
        <v>0</v>
      </c>
      <c r="CD50" s="79">
        <v>0</v>
      </c>
      <c r="CE50" s="49"/>
      <c r="CF50" s="84"/>
      <c r="CG50" s="81">
        <f t="shared" si="39"/>
        <v>0</v>
      </c>
      <c r="CH50" s="79">
        <f t="shared" si="40"/>
        <v>0</v>
      </c>
      <c r="CI50" s="33"/>
      <c r="CJ50" s="84"/>
      <c r="CK50" s="81">
        <f t="shared" si="41"/>
        <v>0</v>
      </c>
      <c r="CL50" s="79">
        <f t="shared" si="42"/>
        <v>0</v>
      </c>
      <c r="CM50" s="34"/>
      <c r="CN50" s="34"/>
      <c r="CO50" s="34"/>
      <c r="CP50" s="34"/>
      <c r="CQ50" s="50">
        <f t="shared" si="43"/>
        <v>1</v>
      </c>
      <c r="CR50" s="77">
        <f t="shared" si="44"/>
        <v>0</v>
      </c>
      <c r="CS50" s="28"/>
    </row>
    <row r="51" spans="1:97" s="1" customFormat="1">
      <c r="A51" s="30" t="s">
        <v>152</v>
      </c>
      <c r="B51" s="47"/>
      <c r="C51" s="63" t="s">
        <v>120</v>
      </c>
      <c r="D51" s="32"/>
      <c r="E51" s="32"/>
      <c r="F51" s="87"/>
      <c r="G51" s="48"/>
      <c r="H51" s="84"/>
      <c r="I51" s="80">
        <f t="shared" si="20"/>
        <v>0</v>
      </c>
      <c r="J51" s="79">
        <f t="shared" si="21"/>
        <v>0</v>
      </c>
      <c r="K51" s="49"/>
      <c r="L51" s="84"/>
      <c r="M51" s="81">
        <f t="shared" si="24"/>
        <v>0</v>
      </c>
      <c r="N51" s="79">
        <f t="shared" si="25"/>
        <v>0</v>
      </c>
      <c r="O51" s="48"/>
      <c r="P51" s="84"/>
      <c r="Q51" s="81">
        <f t="shared" si="26"/>
        <v>0</v>
      </c>
      <c r="R51" s="79">
        <f t="shared" si="27"/>
        <v>0</v>
      </c>
      <c r="S51" s="49"/>
      <c r="T51" s="84"/>
      <c r="U51" s="81">
        <f t="shared" si="45"/>
        <v>0</v>
      </c>
      <c r="V51" s="79">
        <f t="shared" si="46"/>
        <v>0</v>
      </c>
      <c r="W51" s="49"/>
      <c r="X51" s="84"/>
      <c r="Y51" s="81">
        <f t="shared" si="47"/>
        <v>0</v>
      </c>
      <c r="Z51" s="79">
        <f t="shared" si="48"/>
        <v>0</v>
      </c>
      <c r="AA51" s="49"/>
      <c r="AB51" s="84"/>
      <c r="AC51" s="81">
        <f t="shared" si="49"/>
        <v>0</v>
      </c>
      <c r="AD51" s="79">
        <f t="shared" si="50"/>
        <v>0</v>
      </c>
      <c r="AE51" s="49"/>
      <c r="AF51" s="84"/>
      <c r="AG51" s="81">
        <f t="shared" si="22"/>
        <v>0</v>
      </c>
      <c r="AH51" s="79">
        <f t="shared" si="28"/>
        <v>0</v>
      </c>
      <c r="AI51" s="48"/>
      <c r="AJ51" s="84"/>
      <c r="AK51" s="81">
        <f t="shared" si="29"/>
        <v>0</v>
      </c>
      <c r="AL51" s="79">
        <f t="shared" si="30"/>
        <v>0</v>
      </c>
      <c r="AM51" s="48"/>
      <c r="AN51" s="84"/>
      <c r="AO51" s="81">
        <f t="shared" si="31"/>
        <v>0</v>
      </c>
      <c r="AP51" s="79">
        <f t="shared" si="32"/>
        <v>0</v>
      </c>
      <c r="AQ51" s="48"/>
      <c r="AR51" s="84"/>
      <c r="AS51" s="81">
        <f t="shared" si="33"/>
        <v>0</v>
      </c>
      <c r="AT51" s="79">
        <f t="shared" si="34"/>
        <v>0</v>
      </c>
      <c r="AU51" s="49"/>
      <c r="AV51" s="84"/>
      <c r="AW51" s="81">
        <v>0</v>
      </c>
      <c r="AX51" s="79">
        <v>0</v>
      </c>
      <c r="AY51" s="49"/>
      <c r="AZ51" s="84"/>
      <c r="BA51" s="81">
        <v>0</v>
      </c>
      <c r="BB51" s="79">
        <v>0</v>
      </c>
      <c r="BC51" s="49"/>
      <c r="BD51" s="84"/>
      <c r="BE51" s="81">
        <v>0</v>
      </c>
      <c r="BF51" s="79">
        <v>0</v>
      </c>
      <c r="BG51" s="49"/>
      <c r="BH51" s="84"/>
      <c r="BI51" s="81">
        <v>0</v>
      </c>
      <c r="BJ51" s="79">
        <v>0</v>
      </c>
      <c r="BK51" s="49"/>
      <c r="BL51" s="84"/>
      <c r="BM51" s="81">
        <v>0</v>
      </c>
      <c r="BN51" s="79">
        <v>0</v>
      </c>
      <c r="BO51" s="49"/>
      <c r="BP51" s="84"/>
      <c r="BQ51" s="81">
        <v>0</v>
      </c>
      <c r="BR51" s="79">
        <v>0</v>
      </c>
      <c r="BS51" s="49"/>
      <c r="BT51" s="84"/>
      <c r="BU51" s="81">
        <f t="shared" si="35"/>
        <v>0</v>
      </c>
      <c r="BV51" s="79">
        <f t="shared" si="36"/>
        <v>0</v>
      </c>
      <c r="BW51" s="48">
        <v>1920</v>
      </c>
      <c r="BX51" s="84"/>
      <c r="BY51" s="81">
        <f t="shared" si="37"/>
        <v>0</v>
      </c>
      <c r="BZ51" s="79">
        <f t="shared" si="38"/>
        <v>0</v>
      </c>
      <c r="CA51" s="48"/>
      <c r="CB51" s="84"/>
      <c r="CC51" s="81">
        <v>0</v>
      </c>
      <c r="CD51" s="79">
        <v>0</v>
      </c>
      <c r="CE51" s="49"/>
      <c r="CF51" s="84"/>
      <c r="CG51" s="81">
        <f t="shared" si="39"/>
        <v>0</v>
      </c>
      <c r="CH51" s="79">
        <f t="shared" si="40"/>
        <v>0</v>
      </c>
      <c r="CI51" s="33"/>
      <c r="CJ51" s="84"/>
      <c r="CK51" s="81">
        <f t="shared" si="41"/>
        <v>0</v>
      </c>
      <c r="CL51" s="79">
        <f t="shared" si="42"/>
        <v>0</v>
      </c>
      <c r="CM51" s="34"/>
      <c r="CN51" s="34"/>
      <c r="CO51" s="34"/>
      <c r="CP51" s="34"/>
      <c r="CQ51" s="50">
        <f t="shared" si="43"/>
        <v>1</v>
      </c>
      <c r="CR51" s="77">
        <f t="shared" si="44"/>
        <v>0</v>
      </c>
      <c r="CS51" s="28"/>
    </row>
    <row r="52" spans="1:97" s="1" customFormat="1">
      <c r="A52" s="30" t="s">
        <v>152</v>
      </c>
      <c r="B52" s="47"/>
      <c r="C52" s="31" t="s">
        <v>123</v>
      </c>
      <c r="D52" s="32"/>
      <c r="E52" s="32"/>
      <c r="F52" s="87"/>
      <c r="G52" s="48">
        <v>960</v>
      </c>
      <c r="H52" s="84"/>
      <c r="I52" s="80">
        <f t="shared" si="20"/>
        <v>0</v>
      </c>
      <c r="J52" s="79">
        <f t="shared" si="21"/>
        <v>0</v>
      </c>
      <c r="K52" s="49"/>
      <c r="L52" s="84"/>
      <c r="M52" s="81">
        <f t="shared" si="24"/>
        <v>0</v>
      </c>
      <c r="N52" s="79">
        <f t="shared" si="25"/>
        <v>0</v>
      </c>
      <c r="O52" s="48"/>
      <c r="P52" s="84"/>
      <c r="Q52" s="81">
        <f t="shared" si="26"/>
        <v>0</v>
      </c>
      <c r="R52" s="79">
        <f t="shared" si="27"/>
        <v>0</v>
      </c>
      <c r="S52" s="49"/>
      <c r="T52" s="84"/>
      <c r="U52" s="81">
        <f t="shared" si="45"/>
        <v>0</v>
      </c>
      <c r="V52" s="79">
        <f t="shared" si="46"/>
        <v>0</v>
      </c>
      <c r="W52" s="49"/>
      <c r="X52" s="84"/>
      <c r="Y52" s="81">
        <f t="shared" si="47"/>
        <v>0</v>
      </c>
      <c r="Z52" s="79">
        <f t="shared" si="48"/>
        <v>0</v>
      </c>
      <c r="AA52" s="49"/>
      <c r="AB52" s="84"/>
      <c r="AC52" s="81">
        <f t="shared" si="49"/>
        <v>0</v>
      </c>
      <c r="AD52" s="79">
        <f t="shared" si="50"/>
        <v>0</v>
      </c>
      <c r="AE52" s="49"/>
      <c r="AF52" s="84"/>
      <c r="AG52" s="81">
        <f t="shared" si="22"/>
        <v>0</v>
      </c>
      <c r="AH52" s="79">
        <f t="shared" si="28"/>
        <v>0</v>
      </c>
      <c r="AI52" s="48"/>
      <c r="AJ52" s="84"/>
      <c r="AK52" s="81">
        <f t="shared" si="29"/>
        <v>0</v>
      </c>
      <c r="AL52" s="79">
        <f t="shared" si="30"/>
        <v>0</v>
      </c>
      <c r="AM52" s="48"/>
      <c r="AN52" s="84"/>
      <c r="AO52" s="81">
        <f t="shared" si="31"/>
        <v>0</v>
      </c>
      <c r="AP52" s="79">
        <f t="shared" si="32"/>
        <v>0</v>
      </c>
      <c r="AQ52" s="48"/>
      <c r="AR52" s="84"/>
      <c r="AS52" s="81">
        <f t="shared" si="33"/>
        <v>0</v>
      </c>
      <c r="AT52" s="79">
        <f t="shared" si="34"/>
        <v>0</v>
      </c>
      <c r="AU52" s="49"/>
      <c r="AV52" s="84"/>
      <c r="AW52" s="81">
        <v>0</v>
      </c>
      <c r="AX52" s="79">
        <v>0</v>
      </c>
      <c r="AY52" s="49"/>
      <c r="AZ52" s="84"/>
      <c r="BA52" s="81">
        <v>0</v>
      </c>
      <c r="BB52" s="79">
        <v>0</v>
      </c>
      <c r="BC52" s="49"/>
      <c r="BD52" s="84"/>
      <c r="BE52" s="81">
        <v>0</v>
      </c>
      <c r="BF52" s="79">
        <v>0</v>
      </c>
      <c r="BG52" s="49"/>
      <c r="BH52" s="84"/>
      <c r="BI52" s="81">
        <v>0</v>
      </c>
      <c r="BJ52" s="79">
        <v>0</v>
      </c>
      <c r="BK52" s="49"/>
      <c r="BL52" s="84"/>
      <c r="BM52" s="81">
        <v>0</v>
      </c>
      <c r="BN52" s="79">
        <v>0</v>
      </c>
      <c r="BO52" s="49"/>
      <c r="BP52" s="84"/>
      <c r="BQ52" s="81">
        <v>0</v>
      </c>
      <c r="BR52" s="79">
        <v>0</v>
      </c>
      <c r="BS52" s="49"/>
      <c r="BT52" s="84"/>
      <c r="BU52" s="81">
        <f t="shared" si="35"/>
        <v>0</v>
      </c>
      <c r="BV52" s="79">
        <f t="shared" si="36"/>
        <v>0</v>
      </c>
      <c r="BW52" s="48">
        <v>1920</v>
      </c>
      <c r="BX52" s="84"/>
      <c r="BY52" s="81">
        <f t="shared" si="37"/>
        <v>0</v>
      </c>
      <c r="BZ52" s="79">
        <f t="shared" si="38"/>
        <v>0</v>
      </c>
      <c r="CA52" s="48"/>
      <c r="CB52" s="84"/>
      <c r="CC52" s="81">
        <v>0</v>
      </c>
      <c r="CD52" s="79">
        <v>0</v>
      </c>
      <c r="CE52" s="49"/>
      <c r="CF52" s="84"/>
      <c r="CG52" s="81">
        <f t="shared" si="39"/>
        <v>0</v>
      </c>
      <c r="CH52" s="79">
        <f t="shared" si="40"/>
        <v>0</v>
      </c>
      <c r="CI52" s="33"/>
      <c r="CJ52" s="84"/>
      <c r="CK52" s="81">
        <f t="shared" si="41"/>
        <v>0</v>
      </c>
      <c r="CL52" s="79">
        <f t="shared" si="42"/>
        <v>0</v>
      </c>
      <c r="CM52" s="34"/>
      <c r="CN52" s="34"/>
      <c r="CO52" s="34"/>
      <c r="CP52" s="34"/>
      <c r="CQ52" s="50">
        <f t="shared" si="43"/>
        <v>1</v>
      </c>
      <c r="CR52" s="77">
        <f t="shared" si="44"/>
        <v>0</v>
      </c>
      <c r="CS52" s="28"/>
    </row>
    <row r="53" spans="1:97">
      <c r="A53" s="37" t="s">
        <v>153</v>
      </c>
      <c r="B53" s="55"/>
      <c r="C53" s="63" t="s">
        <v>120</v>
      </c>
      <c r="D53" s="32"/>
      <c r="E53" s="32"/>
      <c r="F53" s="87"/>
      <c r="G53" s="48"/>
      <c r="H53" s="84"/>
      <c r="I53" s="80">
        <f t="shared" si="20"/>
        <v>0</v>
      </c>
      <c r="J53" s="79">
        <f t="shared" si="21"/>
        <v>0</v>
      </c>
      <c r="K53" s="49"/>
      <c r="L53" s="84"/>
      <c r="M53" s="81">
        <f t="shared" si="24"/>
        <v>0</v>
      </c>
      <c r="N53" s="79">
        <f t="shared" si="25"/>
        <v>0</v>
      </c>
      <c r="O53" s="48"/>
      <c r="P53" s="84"/>
      <c r="Q53" s="81">
        <f t="shared" si="26"/>
        <v>0</v>
      </c>
      <c r="R53" s="79">
        <f t="shared" si="27"/>
        <v>0</v>
      </c>
      <c r="S53" s="49"/>
      <c r="T53" s="84"/>
      <c r="U53" s="81">
        <f t="shared" si="45"/>
        <v>0</v>
      </c>
      <c r="V53" s="79">
        <f t="shared" si="46"/>
        <v>0</v>
      </c>
      <c r="W53" s="49"/>
      <c r="X53" s="84"/>
      <c r="Y53" s="81">
        <f t="shared" si="47"/>
        <v>0</v>
      </c>
      <c r="Z53" s="79">
        <f t="shared" si="48"/>
        <v>0</v>
      </c>
      <c r="AA53" s="49"/>
      <c r="AB53" s="84"/>
      <c r="AC53" s="81">
        <f t="shared" si="49"/>
        <v>0</v>
      </c>
      <c r="AD53" s="79">
        <f t="shared" si="50"/>
        <v>0</v>
      </c>
      <c r="AE53" s="49"/>
      <c r="AF53" s="84"/>
      <c r="AG53" s="81">
        <f t="shared" si="22"/>
        <v>0</v>
      </c>
      <c r="AH53" s="79">
        <f t="shared" si="28"/>
        <v>0</v>
      </c>
      <c r="AI53" s="48"/>
      <c r="AJ53" s="84"/>
      <c r="AK53" s="81">
        <f t="shared" si="29"/>
        <v>0</v>
      </c>
      <c r="AL53" s="79">
        <f t="shared" si="30"/>
        <v>0</v>
      </c>
      <c r="AM53" s="48"/>
      <c r="AN53" s="84"/>
      <c r="AO53" s="81">
        <f t="shared" si="31"/>
        <v>0</v>
      </c>
      <c r="AP53" s="79">
        <f t="shared" si="32"/>
        <v>0</v>
      </c>
      <c r="AQ53" s="48"/>
      <c r="AR53" s="84"/>
      <c r="AS53" s="81">
        <f t="shared" si="33"/>
        <v>0</v>
      </c>
      <c r="AT53" s="79">
        <f t="shared" si="34"/>
        <v>0</v>
      </c>
      <c r="AU53" s="49"/>
      <c r="AV53" s="84"/>
      <c r="AW53" s="81">
        <v>0</v>
      </c>
      <c r="AX53" s="79">
        <v>0</v>
      </c>
      <c r="AY53" s="49"/>
      <c r="AZ53" s="84"/>
      <c r="BA53" s="81">
        <v>0</v>
      </c>
      <c r="BB53" s="79">
        <v>0</v>
      </c>
      <c r="BC53" s="49"/>
      <c r="BD53" s="84"/>
      <c r="BE53" s="81">
        <v>0</v>
      </c>
      <c r="BF53" s="79">
        <v>0</v>
      </c>
      <c r="BG53" s="49"/>
      <c r="BH53" s="84"/>
      <c r="BI53" s="81">
        <v>0</v>
      </c>
      <c r="BJ53" s="79">
        <v>0</v>
      </c>
      <c r="BK53" s="49"/>
      <c r="BL53" s="84"/>
      <c r="BM53" s="81">
        <v>0</v>
      </c>
      <c r="BN53" s="79">
        <v>0</v>
      </c>
      <c r="BO53" s="49"/>
      <c r="BP53" s="84"/>
      <c r="BQ53" s="81">
        <v>0</v>
      </c>
      <c r="BR53" s="79">
        <v>0</v>
      </c>
      <c r="BS53" s="49"/>
      <c r="BT53" s="84"/>
      <c r="BU53" s="81">
        <f t="shared" si="35"/>
        <v>0</v>
      </c>
      <c r="BV53" s="79">
        <f t="shared" si="36"/>
        <v>0</v>
      </c>
      <c r="BW53" s="48">
        <v>480</v>
      </c>
      <c r="BX53" s="84"/>
      <c r="BY53" s="81">
        <f t="shared" si="37"/>
        <v>0</v>
      </c>
      <c r="BZ53" s="79">
        <f t="shared" si="38"/>
        <v>0</v>
      </c>
      <c r="CA53" s="48"/>
      <c r="CB53" s="84"/>
      <c r="CC53" s="81">
        <v>0</v>
      </c>
      <c r="CD53" s="79">
        <v>0</v>
      </c>
      <c r="CE53" s="49"/>
      <c r="CF53" s="84"/>
      <c r="CG53" s="81">
        <f t="shared" si="39"/>
        <v>0</v>
      </c>
      <c r="CH53" s="79">
        <f t="shared" si="40"/>
        <v>0</v>
      </c>
      <c r="CI53" s="33"/>
      <c r="CJ53" s="84"/>
      <c r="CK53" s="81">
        <f t="shared" si="41"/>
        <v>0</v>
      </c>
      <c r="CL53" s="79">
        <f t="shared" si="42"/>
        <v>0</v>
      </c>
      <c r="CM53" s="34"/>
      <c r="CN53" s="34"/>
      <c r="CO53" s="34"/>
      <c r="CP53" s="34"/>
      <c r="CQ53" s="50">
        <f t="shared" si="43"/>
        <v>1</v>
      </c>
      <c r="CR53" s="77">
        <f t="shared" si="44"/>
        <v>0</v>
      </c>
      <c r="CS53" s="28"/>
    </row>
    <row r="54" spans="1:97">
      <c r="A54" s="37" t="s">
        <v>153</v>
      </c>
      <c r="B54" s="55"/>
      <c r="C54" s="31" t="s">
        <v>121</v>
      </c>
      <c r="D54" s="32"/>
      <c r="E54" s="32"/>
      <c r="F54" s="87"/>
      <c r="G54" s="48"/>
      <c r="H54" s="84"/>
      <c r="I54" s="80">
        <f t="shared" si="20"/>
        <v>0</v>
      </c>
      <c r="J54" s="79">
        <f t="shared" si="21"/>
        <v>0</v>
      </c>
      <c r="K54" s="49"/>
      <c r="L54" s="84"/>
      <c r="M54" s="81">
        <f t="shared" si="24"/>
        <v>0</v>
      </c>
      <c r="N54" s="79">
        <f t="shared" si="25"/>
        <v>0</v>
      </c>
      <c r="O54" s="48"/>
      <c r="P54" s="84"/>
      <c r="Q54" s="81">
        <f t="shared" si="26"/>
        <v>0</v>
      </c>
      <c r="R54" s="79">
        <f t="shared" si="27"/>
        <v>0</v>
      </c>
      <c r="S54" s="49"/>
      <c r="T54" s="84"/>
      <c r="U54" s="81">
        <f t="shared" si="45"/>
        <v>0</v>
      </c>
      <c r="V54" s="79">
        <f t="shared" si="46"/>
        <v>0</v>
      </c>
      <c r="W54" s="49"/>
      <c r="X54" s="84"/>
      <c r="Y54" s="81">
        <f t="shared" si="47"/>
        <v>0</v>
      </c>
      <c r="Z54" s="79">
        <f t="shared" si="48"/>
        <v>0</v>
      </c>
      <c r="AA54" s="49"/>
      <c r="AB54" s="84"/>
      <c r="AC54" s="81">
        <f t="shared" si="49"/>
        <v>0</v>
      </c>
      <c r="AD54" s="79">
        <f t="shared" si="50"/>
        <v>0</v>
      </c>
      <c r="AE54" s="49"/>
      <c r="AF54" s="84"/>
      <c r="AG54" s="81">
        <f t="shared" si="22"/>
        <v>0</v>
      </c>
      <c r="AH54" s="79">
        <f t="shared" si="28"/>
        <v>0</v>
      </c>
      <c r="AI54" s="48"/>
      <c r="AJ54" s="84"/>
      <c r="AK54" s="81">
        <f t="shared" si="29"/>
        <v>0</v>
      </c>
      <c r="AL54" s="79">
        <f t="shared" si="30"/>
        <v>0</v>
      </c>
      <c r="AM54" s="48"/>
      <c r="AN54" s="84"/>
      <c r="AO54" s="81">
        <f t="shared" si="31"/>
        <v>0</v>
      </c>
      <c r="AP54" s="79">
        <f t="shared" si="32"/>
        <v>0</v>
      </c>
      <c r="AQ54" s="48"/>
      <c r="AR54" s="84"/>
      <c r="AS54" s="81">
        <f t="shared" si="33"/>
        <v>0</v>
      </c>
      <c r="AT54" s="79">
        <f t="shared" si="34"/>
        <v>0</v>
      </c>
      <c r="AU54" s="49"/>
      <c r="AV54" s="84"/>
      <c r="AW54" s="81">
        <v>0</v>
      </c>
      <c r="AX54" s="79">
        <v>0</v>
      </c>
      <c r="AY54" s="49"/>
      <c r="AZ54" s="84"/>
      <c r="BA54" s="81">
        <v>0</v>
      </c>
      <c r="BB54" s="79">
        <v>0</v>
      </c>
      <c r="BC54" s="49"/>
      <c r="BD54" s="84"/>
      <c r="BE54" s="81">
        <v>0</v>
      </c>
      <c r="BF54" s="79">
        <v>0</v>
      </c>
      <c r="BG54" s="49"/>
      <c r="BH54" s="84"/>
      <c r="BI54" s="81">
        <v>0</v>
      </c>
      <c r="BJ54" s="79">
        <v>0</v>
      </c>
      <c r="BK54" s="49"/>
      <c r="BL54" s="84"/>
      <c r="BM54" s="81">
        <v>0</v>
      </c>
      <c r="BN54" s="79">
        <v>0</v>
      </c>
      <c r="BO54" s="49"/>
      <c r="BP54" s="84"/>
      <c r="BQ54" s="81">
        <v>0</v>
      </c>
      <c r="BR54" s="79">
        <v>0</v>
      </c>
      <c r="BS54" s="49"/>
      <c r="BT54" s="84"/>
      <c r="BU54" s="81">
        <f t="shared" si="35"/>
        <v>0</v>
      </c>
      <c r="BV54" s="79">
        <f t="shared" si="36"/>
        <v>0</v>
      </c>
      <c r="BW54" s="48">
        <v>480</v>
      </c>
      <c r="BX54" s="84"/>
      <c r="BY54" s="81">
        <f t="shared" si="37"/>
        <v>0</v>
      </c>
      <c r="BZ54" s="79">
        <f t="shared" si="38"/>
        <v>0</v>
      </c>
      <c r="CA54" s="48"/>
      <c r="CB54" s="84"/>
      <c r="CC54" s="81">
        <v>0</v>
      </c>
      <c r="CD54" s="79">
        <v>0</v>
      </c>
      <c r="CE54" s="49"/>
      <c r="CF54" s="84"/>
      <c r="CG54" s="81">
        <f t="shared" si="39"/>
        <v>0</v>
      </c>
      <c r="CH54" s="79">
        <f t="shared" si="40"/>
        <v>0</v>
      </c>
      <c r="CI54" s="33"/>
      <c r="CJ54" s="84"/>
      <c r="CK54" s="81">
        <f t="shared" si="41"/>
        <v>0</v>
      </c>
      <c r="CL54" s="79">
        <f t="shared" si="42"/>
        <v>0</v>
      </c>
      <c r="CM54" s="34"/>
      <c r="CN54" s="34"/>
      <c r="CO54" s="34"/>
      <c r="CP54" s="34"/>
      <c r="CQ54" s="50">
        <f t="shared" si="43"/>
        <v>1</v>
      </c>
      <c r="CR54" s="77">
        <f t="shared" si="44"/>
        <v>0</v>
      </c>
      <c r="CS54" s="28"/>
    </row>
    <row r="55" spans="1:97">
      <c r="A55" s="38" t="s">
        <v>154</v>
      </c>
      <c r="B55" s="56"/>
      <c r="C55" s="31" t="s">
        <v>123</v>
      </c>
      <c r="D55" s="32"/>
      <c r="E55" s="32"/>
      <c r="F55" s="87"/>
      <c r="G55" s="48"/>
      <c r="H55" s="84"/>
      <c r="I55" s="80">
        <f t="shared" si="20"/>
        <v>0</v>
      </c>
      <c r="J55" s="79">
        <f t="shared" si="21"/>
        <v>0</v>
      </c>
      <c r="K55" s="49"/>
      <c r="L55" s="84"/>
      <c r="M55" s="81">
        <f t="shared" si="24"/>
        <v>0</v>
      </c>
      <c r="N55" s="79">
        <f t="shared" si="25"/>
        <v>0</v>
      </c>
      <c r="O55" s="48"/>
      <c r="P55" s="84"/>
      <c r="Q55" s="81">
        <f t="shared" si="26"/>
        <v>0</v>
      </c>
      <c r="R55" s="79">
        <f t="shared" si="27"/>
        <v>0</v>
      </c>
      <c r="S55" s="49"/>
      <c r="T55" s="84"/>
      <c r="U55" s="81">
        <f t="shared" si="45"/>
        <v>0</v>
      </c>
      <c r="V55" s="79">
        <f t="shared" si="46"/>
        <v>0</v>
      </c>
      <c r="W55" s="49"/>
      <c r="X55" s="84"/>
      <c r="Y55" s="81">
        <f t="shared" si="47"/>
        <v>0</v>
      </c>
      <c r="Z55" s="79">
        <f t="shared" si="48"/>
        <v>0</v>
      </c>
      <c r="AA55" s="49"/>
      <c r="AB55" s="84"/>
      <c r="AC55" s="81">
        <f t="shared" si="49"/>
        <v>0</v>
      </c>
      <c r="AD55" s="79">
        <f t="shared" si="50"/>
        <v>0</v>
      </c>
      <c r="AE55" s="49"/>
      <c r="AF55" s="84"/>
      <c r="AG55" s="81">
        <f t="shared" si="22"/>
        <v>0</v>
      </c>
      <c r="AH55" s="79">
        <f t="shared" si="28"/>
        <v>0</v>
      </c>
      <c r="AI55" s="48"/>
      <c r="AJ55" s="84"/>
      <c r="AK55" s="81">
        <f t="shared" si="29"/>
        <v>0</v>
      </c>
      <c r="AL55" s="79">
        <f t="shared" si="30"/>
        <v>0</v>
      </c>
      <c r="AM55" s="48"/>
      <c r="AN55" s="84"/>
      <c r="AO55" s="81">
        <f t="shared" si="31"/>
        <v>0</v>
      </c>
      <c r="AP55" s="79">
        <f t="shared" si="32"/>
        <v>0</v>
      </c>
      <c r="AQ55" s="48"/>
      <c r="AR55" s="84"/>
      <c r="AS55" s="81">
        <f t="shared" si="33"/>
        <v>0</v>
      </c>
      <c r="AT55" s="79">
        <f t="shared" si="34"/>
        <v>0</v>
      </c>
      <c r="AU55" s="49"/>
      <c r="AV55" s="84"/>
      <c r="AW55" s="81">
        <v>0</v>
      </c>
      <c r="AX55" s="79">
        <v>0</v>
      </c>
      <c r="AY55" s="49"/>
      <c r="AZ55" s="84"/>
      <c r="BA55" s="81">
        <v>0</v>
      </c>
      <c r="BB55" s="79">
        <v>0</v>
      </c>
      <c r="BC55" s="49"/>
      <c r="BD55" s="84"/>
      <c r="BE55" s="81">
        <v>0</v>
      </c>
      <c r="BF55" s="79">
        <v>0</v>
      </c>
      <c r="BG55" s="49"/>
      <c r="BH55" s="84"/>
      <c r="BI55" s="81">
        <v>0</v>
      </c>
      <c r="BJ55" s="79">
        <v>0</v>
      </c>
      <c r="BK55" s="49"/>
      <c r="BL55" s="84"/>
      <c r="BM55" s="81">
        <v>0</v>
      </c>
      <c r="BN55" s="79">
        <v>0</v>
      </c>
      <c r="BO55" s="49"/>
      <c r="BP55" s="84"/>
      <c r="BQ55" s="81">
        <v>0</v>
      </c>
      <c r="BR55" s="79">
        <v>0</v>
      </c>
      <c r="BS55" s="49"/>
      <c r="BT55" s="84"/>
      <c r="BU55" s="81">
        <f t="shared" si="35"/>
        <v>0</v>
      </c>
      <c r="BV55" s="79">
        <f t="shared" si="36"/>
        <v>0</v>
      </c>
      <c r="BW55" s="48">
        <v>3840</v>
      </c>
      <c r="BX55" s="84"/>
      <c r="BY55" s="81">
        <f t="shared" si="37"/>
        <v>0</v>
      </c>
      <c r="BZ55" s="79">
        <f t="shared" si="38"/>
        <v>0</v>
      </c>
      <c r="CA55" s="48"/>
      <c r="CB55" s="84"/>
      <c r="CC55" s="81">
        <v>0</v>
      </c>
      <c r="CD55" s="79">
        <v>0</v>
      </c>
      <c r="CE55" s="49"/>
      <c r="CF55" s="84"/>
      <c r="CG55" s="81">
        <f t="shared" si="39"/>
        <v>0</v>
      </c>
      <c r="CH55" s="79">
        <f t="shared" si="40"/>
        <v>0</v>
      </c>
      <c r="CI55" s="33"/>
      <c r="CJ55" s="84"/>
      <c r="CK55" s="81">
        <f t="shared" si="41"/>
        <v>0</v>
      </c>
      <c r="CL55" s="79">
        <f t="shared" si="42"/>
        <v>0</v>
      </c>
      <c r="CM55" s="34"/>
      <c r="CN55" s="34"/>
      <c r="CO55" s="34"/>
      <c r="CP55" s="34"/>
      <c r="CQ55" s="50">
        <f t="shared" si="43"/>
        <v>1</v>
      </c>
      <c r="CR55" s="77">
        <f t="shared" si="44"/>
        <v>0</v>
      </c>
      <c r="CS55" s="28"/>
    </row>
    <row r="56" spans="1:97">
      <c r="A56" s="30" t="s">
        <v>155</v>
      </c>
      <c r="B56" s="47"/>
      <c r="C56" s="63" t="s">
        <v>120</v>
      </c>
      <c r="D56" s="32"/>
      <c r="E56" s="32"/>
      <c r="F56" s="87"/>
      <c r="G56" s="48"/>
      <c r="H56" s="84"/>
      <c r="I56" s="80">
        <f t="shared" si="20"/>
        <v>0</v>
      </c>
      <c r="J56" s="79">
        <f t="shared" si="21"/>
        <v>0</v>
      </c>
      <c r="K56" s="49"/>
      <c r="L56" s="84"/>
      <c r="M56" s="81">
        <f t="shared" si="24"/>
        <v>0</v>
      </c>
      <c r="N56" s="79">
        <f t="shared" si="25"/>
        <v>0</v>
      </c>
      <c r="O56" s="48"/>
      <c r="P56" s="84"/>
      <c r="Q56" s="81">
        <f t="shared" si="26"/>
        <v>0</v>
      </c>
      <c r="R56" s="79">
        <f t="shared" si="27"/>
        <v>0</v>
      </c>
      <c r="S56" s="49"/>
      <c r="T56" s="84"/>
      <c r="U56" s="81">
        <f t="shared" si="45"/>
        <v>0</v>
      </c>
      <c r="V56" s="79">
        <f t="shared" si="46"/>
        <v>0</v>
      </c>
      <c r="W56" s="49"/>
      <c r="X56" s="84"/>
      <c r="Y56" s="81">
        <f t="shared" si="47"/>
        <v>0</v>
      </c>
      <c r="Z56" s="79">
        <f t="shared" si="48"/>
        <v>0</v>
      </c>
      <c r="AA56" s="49"/>
      <c r="AB56" s="84"/>
      <c r="AC56" s="81">
        <f t="shared" si="49"/>
        <v>0</v>
      </c>
      <c r="AD56" s="79">
        <f t="shared" si="50"/>
        <v>0</v>
      </c>
      <c r="AE56" s="49"/>
      <c r="AF56" s="84"/>
      <c r="AG56" s="81">
        <f t="shared" si="22"/>
        <v>0</v>
      </c>
      <c r="AH56" s="79">
        <f t="shared" si="28"/>
        <v>0</v>
      </c>
      <c r="AI56" s="48"/>
      <c r="AJ56" s="84"/>
      <c r="AK56" s="81">
        <f t="shared" si="29"/>
        <v>0</v>
      </c>
      <c r="AL56" s="79">
        <f t="shared" si="30"/>
        <v>0</v>
      </c>
      <c r="AM56" s="48"/>
      <c r="AN56" s="84"/>
      <c r="AO56" s="81">
        <f t="shared" si="31"/>
        <v>0</v>
      </c>
      <c r="AP56" s="79">
        <f t="shared" si="32"/>
        <v>0</v>
      </c>
      <c r="AQ56" s="48"/>
      <c r="AR56" s="84"/>
      <c r="AS56" s="81">
        <f t="shared" si="33"/>
        <v>0</v>
      </c>
      <c r="AT56" s="79">
        <f t="shared" si="34"/>
        <v>0</v>
      </c>
      <c r="AU56" s="49"/>
      <c r="AV56" s="84"/>
      <c r="AW56" s="81">
        <f t="shared" ref="AW56:AW59" si="51">AV56*CQ56</f>
        <v>0</v>
      </c>
      <c r="AX56" s="79">
        <f t="shared" ref="AX56:AX59" si="52">AU56*AW56</f>
        <v>0</v>
      </c>
      <c r="AY56" s="49"/>
      <c r="AZ56" s="84"/>
      <c r="BA56" s="81">
        <f t="shared" ref="BA56:BA59" si="53">AZ56*CQ56</f>
        <v>0</v>
      </c>
      <c r="BB56" s="79">
        <f t="shared" ref="BB56:BB59" si="54">AY56*BA56</f>
        <v>0</v>
      </c>
      <c r="BC56" s="49"/>
      <c r="BD56" s="84"/>
      <c r="BE56" s="81">
        <f t="shared" ref="BE56:BE59" si="55">BD56*CQ56</f>
        <v>0</v>
      </c>
      <c r="BF56" s="79">
        <f t="shared" ref="BF56:BF59" si="56">BC56*BE56</f>
        <v>0</v>
      </c>
      <c r="BG56" s="49"/>
      <c r="BH56" s="84"/>
      <c r="BI56" s="81">
        <f t="shared" ref="BI56:BI59" si="57">BH56*CQ56</f>
        <v>0</v>
      </c>
      <c r="BJ56" s="79">
        <f t="shared" ref="BJ56:BJ59" si="58">BG56*BI56</f>
        <v>0</v>
      </c>
      <c r="BK56" s="49"/>
      <c r="BL56" s="84"/>
      <c r="BM56" s="81">
        <f t="shared" ref="BM56:BM59" si="59">BL56*CQ56</f>
        <v>0</v>
      </c>
      <c r="BN56" s="79">
        <f t="shared" ref="BN56:BN59" si="60">BK56*BM56</f>
        <v>0</v>
      </c>
      <c r="BO56" s="49"/>
      <c r="BP56" s="84"/>
      <c r="BQ56" s="81">
        <f t="shared" ref="BQ56:BQ59" si="61">BP56*CQ56</f>
        <v>0</v>
      </c>
      <c r="BR56" s="79">
        <f t="shared" ref="BR56:BR59" si="62">BO56*BQ56</f>
        <v>0</v>
      </c>
      <c r="BS56" s="49"/>
      <c r="BT56" s="84"/>
      <c r="BU56" s="81">
        <f t="shared" si="35"/>
        <v>0</v>
      </c>
      <c r="BV56" s="79">
        <f t="shared" si="36"/>
        <v>0</v>
      </c>
      <c r="BW56" s="48">
        <v>480</v>
      </c>
      <c r="BX56" s="84"/>
      <c r="BY56" s="81">
        <f t="shared" si="37"/>
        <v>0</v>
      </c>
      <c r="BZ56" s="79">
        <f t="shared" si="38"/>
        <v>0</v>
      </c>
      <c r="CA56" s="48"/>
      <c r="CB56" s="84"/>
      <c r="CC56" s="81">
        <v>0</v>
      </c>
      <c r="CD56" s="79">
        <v>0</v>
      </c>
      <c r="CE56" s="49"/>
      <c r="CF56" s="84"/>
      <c r="CG56" s="81">
        <f t="shared" si="39"/>
        <v>0</v>
      </c>
      <c r="CH56" s="79">
        <f t="shared" si="40"/>
        <v>0</v>
      </c>
      <c r="CI56" s="33"/>
      <c r="CJ56" s="84"/>
      <c r="CK56" s="81">
        <f t="shared" si="41"/>
        <v>0</v>
      </c>
      <c r="CL56" s="79">
        <f t="shared" si="42"/>
        <v>0</v>
      </c>
      <c r="CM56" s="34"/>
      <c r="CN56" s="34"/>
      <c r="CO56" s="34"/>
      <c r="CP56" s="34"/>
      <c r="CQ56" s="50">
        <f t="shared" si="43"/>
        <v>1</v>
      </c>
      <c r="CR56" s="77">
        <f t="shared" si="44"/>
        <v>0</v>
      </c>
      <c r="CS56" s="28"/>
    </row>
    <row r="57" spans="1:97">
      <c r="A57" s="30" t="s">
        <v>155</v>
      </c>
      <c r="B57" s="47"/>
      <c r="C57" s="31" t="s">
        <v>121</v>
      </c>
      <c r="D57" s="32"/>
      <c r="E57" s="32"/>
      <c r="F57" s="87"/>
      <c r="G57" s="48"/>
      <c r="H57" s="84"/>
      <c r="I57" s="80">
        <f t="shared" si="20"/>
        <v>0</v>
      </c>
      <c r="J57" s="79">
        <f t="shared" si="21"/>
        <v>0</v>
      </c>
      <c r="K57" s="49"/>
      <c r="L57" s="84"/>
      <c r="M57" s="81">
        <f t="shared" si="24"/>
        <v>0</v>
      </c>
      <c r="N57" s="79">
        <f t="shared" si="25"/>
        <v>0</v>
      </c>
      <c r="O57" s="48"/>
      <c r="P57" s="84"/>
      <c r="Q57" s="81">
        <f t="shared" si="26"/>
        <v>0</v>
      </c>
      <c r="R57" s="79">
        <f t="shared" si="27"/>
        <v>0</v>
      </c>
      <c r="S57" s="49"/>
      <c r="T57" s="84"/>
      <c r="U57" s="81">
        <f t="shared" si="45"/>
        <v>0</v>
      </c>
      <c r="V57" s="79">
        <f t="shared" si="46"/>
        <v>0</v>
      </c>
      <c r="W57" s="49"/>
      <c r="X57" s="84"/>
      <c r="Y57" s="81">
        <f t="shared" si="47"/>
        <v>0</v>
      </c>
      <c r="Z57" s="79">
        <f t="shared" si="48"/>
        <v>0</v>
      </c>
      <c r="AA57" s="49"/>
      <c r="AB57" s="84"/>
      <c r="AC57" s="81">
        <f t="shared" si="49"/>
        <v>0</v>
      </c>
      <c r="AD57" s="79">
        <f t="shared" si="50"/>
        <v>0</v>
      </c>
      <c r="AE57" s="49"/>
      <c r="AF57" s="84"/>
      <c r="AG57" s="81">
        <f t="shared" si="22"/>
        <v>0</v>
      </c>
      <c r="AH57" s="79">
        <f t="shared" si="28"/>
        <v>0</v>
      </c>
      <c r="AI57" s="48"/>
      <c r="AJ57" s="84"/>
      <c r="AK57" s="81">
        <f t="shared" si="29"/>
        <v>0</v>
      </c>
      <c r="AL57" s="79">
        <f t="shared" si="30"/>
        <v>0</v>
      </c>
      <c r="AM57" s="48"/>
      <c r="AN57" s="84"/>
      <c r="AO57" s="81">
        <f t="shared" si="31"/>
        <v>0</v>
      </c>
      <c r="AP57" s="79">
        <f t="shared" si="32"/>
        <v>0</v>
      </c>
      <c r="AQ57" s="48"/>
      <c r="AR57" s="84"/>
      <c r="AS57" s="81">
        <f t="shared" si="33"/>
        <v>0</v>
      </c>
      <c r="AT57" s="79">
        <f t="shared" si="34"/>
        <v>0</v>
      </c>
      <c r="AU57" s="49"/>
      <c r="AV57" s="84"/>
      <c r="AW57" s="81">
        <f t="shared" si="51"/>
        <v>0</v>
      </c>
      <c r="AX57" s="79">
        <f t="shared" si="52"/>
        <v>0</v>
      </c>
      <c r="AY57" s="49"/>
      <c r="AZ57" s="84"/>
      <c r="BA57" s="81">
        <f t="shared" si="53"/>
        <v>0</v>
      </c>
      <c r="BB57" s="79">
        <f t="shared" si="54"/>
        <v>0</v>
      </c>
      <c r="BC57" s="49"/>
      <c r="BD57" s="84"/>
      <c r="BE57" s="81">
        <f t="shared" si="55"/>
        <v>0</v>
      </c>
      <c r="BF57" s="79">
        <f t="shared" si="56"/>
        <v>0</v>
      </c>
      <c r="BG57" s="49"/>
      <c r="BH57" s="84"/>
      <c r="BI57" s="81">
        <f t="shared" si="57"/>
        <v>0</v>
      </c>
      <c r="BJ57" s="79">
        <f t="shared" si="58"/>
        <v>0</v>
      </c>
      <c r="BK57" s="49"/>
      <c r="BL57" s="84"/>
      <c r="BM57" s="81">
        <f t="shared" si="59"/>
        <v>0</v>
      </c>
      <c r="BN57" s="79">
        <f t="shared" si="60"/>
        <v>0</v>
      </c>
      <c r="BO57" s="49"/>
      <c r="BP57" s="84"/>
      <c r="BQ57" s="81">
        <f t="shared" si="61"/>
        <v>0</v>
      </c>
      <c r="BR57" s="79">
        <f t="shared" si="62"/>
        <v>0</v>
      </c>
      <c r="BS57" s="49"/>
      <c r="BT57" s="84"/>
      <c r="BU57" s="81">
        <f t="shared" si="35"/>
        <v>0</v>
      </c>
      <c r="BV57" s="79">
        <f t="shared" si="36"/>
        <v>0</v>
      </c>
      <c r="BW57" s="48">
        <v>480</v>
      </c>
      <c r="BX57" s="84"/>
      <c r="BY57" s="81">
        <f t="shared" si="37"/>
        <v>0</v>
      </c>
      <c r="BZ57" s="79">
        <f t="shared" si="38"/>
        <v>0</v>
      </c>
      <c r="CA57" s="48"/>
      <c r="CB57" s="84"/>
      <c r="CC57" s="81">
        <v>0</v>
      </c>
      <c r="CD57" s="79">
        <v>0</v>
      </c>
      <c r="CE57" s="49"/>
      <c r="CF57" s="84"/>
      <c r="CG57" s="81">
        <f t="shared" si="39"/>
        <v>0</v>
      </c>
      <c r="CH57" s="79">
        <f t="shared" si="40"/>
        <v>0</v>
      </c>
      <c r="CI57" s="33"/>
      <c r="CJ57" s="84"/>
      <c r="CK57" s="81">
        <f t="shared" si="41"/>
        <v>0</v>
      </c>
      <c r="CL57" s="79">
        <f t="shared" si="42"/>
        <v>0</v>
      </c>
      <c r="CM57" s="34"/>
      <c r="CN57" s="34"/>
      <c r="CO57" s="34"/>
      <c r="CP57" s="34"/>
      <c r="CQ57" s="50">
        <f t="shared" si="43"/>
        <v>1</v>
      </c>
      <c r="CR57" s="77">
        <f t="shared" si="44"/>
        <v>0</v>
      </c>
      <c r="CS57" s="28"/>
    </row>
    <row r="58" spans="1:97">
      <c r="A58" s="30" t="s">
        <v>156</v>
      </c>
      <c r="B58" s="47"/>
      <c r="C58" s="31" t="s">
        <v>121</v>
      </c>
      <c r="D58" s="32"/>
      <c r="E58" s="32"/>
      <c r="F58" s="87"/>
      <c r="G58" s="48"/>
      <c r="H58" s="84"/>
      <c r="I58" s="80">
        <f t="shared" si="20"/>
        <v>0</v>
      </c>
      <c r="J58" s="79">
        <f t="shared" si="21"/>
        <v>0</v>
      </c>
      <c r="K58" s="49"/>
      <c r="L58" s="84"/>
      <c r="M58" s="81">
        <f t="shared" si="24"/>
        <v>0</v>
      </c>
      <c r="N58" s="79">
        <f t="shared" si="25"/>
        <v>0</v>
      </c>
      <c r="O58" s="48"/>
      <c r="P58" s="84"/>
      <c r="Q58" s="81">
        <f t="shared" si="26"/>
        <v>0</v>
      </c>
      <c r="R58" s="79">
        <f t="shared" si="27"/>
        <v>0</v>
      </c>
      <c r="S58" s="49"/>
      <c r="T58" s="84"/>
      <c r="U58" s="81">
        <f t="shared" si="45"/>
        <v>0</v>
      </c>
      <c r="V58" s="79">
        <f t="shared" si="46"/>
        <v>0</v>
      </c>
      <c r="W58" s="49"/>
      <c r="X58" s="84"/>
      <c r="Y58" s="81">
        <f t="shared" si="47"/>
        <v>0</v>
      </c>
      <c r="Z58" s="79">
        <f t="shared" si="48"/>
        <v>0</v>
      </c>
      <c r="AA58" s="49"/>
      <c r="AB58" s="84"/>
      <c r="AC58" s="81">
        <f t="shared" si="49"/>
        <v>0</v>
      </c>
      <c r="AD58" s="79">
        <f t="shared" si="50"/>
        <v>0</v>
      </c>
      <c r="AE58" s="49"/>
      <c r="AF58" s="84"/>
      <c r="AG58" s="81">
        <f t="shared" si="22"/>
        <v>0</v>
      </c>
      <c r="AH58" s="79">
        <f t="shared" si="28"/>
        <v>0</v>
      </c>
      <c r="AI58" s="48"/>
      <c r="AJ58" s="84"/>
      <c r="AK58" s="81">
        <f t="shared" si="29"/>
        <v>0</v>
      </c>
      <c r="AL58" s="79">
        <f t="shared" si="30"/>
        <v>0</v>
      </c>
      <c r="AM58" s="48"/>
      <c r="AN58" s="84"/>
      <c r="AO58" s="81">
        <f t="shared" si="31"/>
        <v>0</v>
      </c>
      <c r="AP58" s="79">
        <f t="shared" si="32"/>
        <v>0</v>
      </c>
      <c r="AQ58" s="48"/>
      <c r="AR58" s="84"/>
      <c r="AS58" s="81">
        <f t="shared" si="33"/>
        <v>0</v>
      </c>
      <c r="AT58" s="79">
        <f t="shared" si="34"/>
        <v>0</v>
      </c>
      <c r="AU58" s="49"/>
      <c r="AV58" s="84"/>
      <c r="AW58" s="81">
        <f t="shared" si="51"/>
        <v>0</v>
      </c>
      <c r="AX58" s="79">
        <f t="shared" si="52"/>
        <v>0</v>
      </c>
      <c r="AY58" s="49"/>
      <c r="AZ58" s="84"/>
      <c r="BA58" s="81">
        <f t="shared" si="53"/>
        <v>0</v>
      </c>
      <c r="BB58" s="79">
        <f t="shared" si="54"/>
        <v>0</v>
      </c>
      <c r="BC58" s="49"/>
      <c r="BD58" s="84"/>
      <c r="BE58" s="81">
        <f t="shared" si="55"/>
        <v>0</v>
      </c>
      <c r="BF58" s="79">
        <f t="shared" si="56"/>
        <v>0</v>
      </c>
      <c r="BG58" s="49"/>
      <c r="BH58" s="84"/>
      <c r="BI58" s="81">
        <f t="shared" si="57"/>
        <v>0</v>
      </c>
      <c r="BJ58" s="79">
        <f t="shared" si="58"/>
        <v>0</v>
      </c>
      <c r="BK58" s="49"/>
      <c r="BL58" s="84"/>
      <c r="BM58" s="81">
        <f t="shared" si="59"/>
        <v>0</v>
      </c>
      <c r="BN58" s="79">
        <f t="shared" si="60"/>
        <v>0</v>
      </c>
      <c r="BO58" s="49"/>
      <c r="BP58" s="84"/>
      <c r="BQ58" s="81">
        <f t="shared" si="61"/>
        <v>0</v>
      </c>
      <c r="BR58" s="79">
        <f t="shared" si="62"/>
        <v>0</v>
      </c>
      <c r="BS58" s="49"/>
      <c r="BT58" s="84"/>
      <c r="BU58" s="81">
        <f t="shared" si="35"/>
        <v>0</v>
      </c>
      <c r="BV58" s="79">
        <f t="shared" si="36"/>
        <v>0</v>
      </c>
      <c r="BW58" s="48">
        <v>5760</v>
      </c>
      <c r="BX58" s="84"/>
      <c r="BY58" s="81">
        <f t="shared" si="37"/>
        <v>0</v>
      </c>
      <c r="BZ58" s="79">
        <f t="shared" si="38"/>
        <v>0</v>
      </c>
      <c r="CA58" s="48"/>
      <c r="CB58" s="84"/>
      <c r="CC58" s="81">
        <v>0</v>
      </c>
      <c r="CD58" s="79">
        <v>0</v>
      </c>
      <c r="CE58" s="49">
        <v>24960</v>
      </c>
      <c r="CF58" s="84"/>
      <c r="CG58" s="81">
        <f t="shared" si="39"/>
        <v>0</v>
      </c>
      <c r="CH58" s="79">
        <f t="shared" si="40"/>
        <v>0</v>
      </c>
      <c r="CI58" s="33"/>
      <c r="CJ58" s="84"/>
      <c r="CK58" s="81">
        <f t="shared" si="41"/>
        <v>0</v>
      </c>
      <c r="CL58" s="79">
        <f t="shared" si="42"/>
        <v>0</v>
      </c>
      <c r="CM58" s="34"/>
      <c r="CN58" s="34"/>
      <c r="CO58" s="34"/>
      <c r="CP58" s="34"/>
      <c r="CQ58" s="50">
        <f t="shared" si="43"/>
        <v>1</v>
      </c>
      <c r="CR58" s="77">
        <f t="shared" si="44"/>
        <v>0</v>
      </c>
      <c r="CS58" s="28"/>
    </row>
    <row r="59" spans="1:97" ht="15.75" thickBot="1">
      <c r="A59" s="40" t="s">
        <v>157</v>
      </c>
      <c r="B59" s="57"/>
      <c r="C59" s="41" t="s">
        <v>121</v>
      </c>
      <c r="D59" s="42"/>
      <c r="E59" s="42"/>
      <c r="F59" s="88"/>
      <c r="G59" s="58"/>
      <c r="H59" s="85"/>
      <c r="I59" s="80">
        <f t="shared" si="20"/>
        <v>0</v>
      </c>
      <c r="J59" s="79">
        <f t="shared" si="21"/>
        <v>0</v>
      </c>
      <c r="K59" s="59"/>
      <c r="L59" s="85"/>
      <c r="M59" s="82">
        <f t="shared" si="24"/>
        <v>0</v>
      </c>
      <c r="N59" s="79">
        <f t="shared" si="25"/>
        <v>0</v>
      </c>
      <c r="O59" s="58"/>
      <c r="P59" s="85"/>
      <c r="Q59" s="82">
        <f t="shared" si="26"/>
        <v>0</v>
      </c>
      <c r="R59" s="79">
        <f t="shared" si="27"/>
        <v>0</v>
      </c>
      <c r="S59" s="59"/>
      <c r="T59" s="85"/>
      <c r="U59" s="82">
        <f t="shared" si="45"/>
        <v>0</v>
      </c>
      <c r="V59" s="79">
        <f t="shared" si="46"/>
        <v>0</v>
      </c>
      <c r="W59" s="59"/>
      <c r="X59" s="85"/>
      <c r="Y59" s="82">
        <f t="shared" si="47"/>
        <v>0</v>
      </c>
      <c r="Z59" s="79">
        <f t="shared" si="48"/>
        <v>0</v>
      </c>
      <c r="AA59" s="59"/>
      <c r="AB59" s="85"/>
      <c r="AC59" s="82">
        <f t="shared" si="49"/>
        <v>0</v>
      </c>
      <c r="AD59" s="79">
        <f t="shared" si="50"/>
        <v>0</v>
      </c>
      <c r="AE59" s="59"/>
      <c r="AF59" s="85"/>
      <c r="AG59" s="82">
        <f t="shared" si="22"/>
        <v>0</v>
      </c>
      <c r="AH59" s="79">
        <f t="shared" si="28"/>
        <v>0</v>
      </c>
      <c r="AI59" s="58"/>
      <c r="AJ59" s="85"/>
      <c r="AK59" s="82">
        <f t="shared" si="29"/>
        <v>0</v>
      </c>
      <c r="AL59" s="79">
        <f t="shared" si="30"/>
        <v>0</v>
      </c>
      <c r="AM59" s="58"/>
      <c r="AN59" s="85"/>
      <c r="AO59" s="82">
        <f t="shared" si="31"/>
        <v>0</v>
      </c>
      <c r="AP59" s="79">
        <f t="shared" si="32"/>
        <v>0</v>
      </c>
      <c r="AQ59" s="58"/>
      <c r="AR59" s="85"/>
      <c r="AS59" s="82">
        <f t="shared" si="33"/>
        <v>0</v>
      </c>
      <c r="AT59" s="79">
        <f t="shared" si="34"/>
        <v>0</v>
      </c>
      <c r="AU59" s="59"/>
      <c r="AV59" s="85"/>
      <c r="AW59" s="82">
        <f t="shared" si="51"/>
        <v>0</v>
      </c>
      <c r="AX59" s="79">
        <f t="shared" si="52"/>
        <v>0</v>
      </c>
      <c r="AY59" s="59"/>
      <c r="AZ59" s="85"/>
      <c r="BA59" s="82">
        <f t="shared" si="53"/>
        <v>0</v>
      </c>
      <c r="BB59" s="79">
        <f t="shared" si="54"/>
        <v>0</v>
      </c>
      <c r="BC59" s="59"/>
      <c r="BD59" s="85"/>
      <c r="BE59" s="82">
        <f t="shared" si="55"/>
        <v>0</v>
      </c>
      <c r="BF59" s="79">
        <f t="shared" si="56"/>
        <v>0</v>
      </c>
      <c r="BG59" s="59"/>
      <c r="BH59" s="85"/>
      <c r="BI59" s="82">
        <f t="shared" si="57"/>
        <v>0</v>
      </c>
      <c r="BJ59" s="79">
        <f t="shared" si="58"/>
        <v>0</v>
      </c>
      <c r="BK59" s="59"/>
      <c r="BL59" s="85"/>
      <c r="BM59" s="82">
        <f t="shared" si="59"/>
        <v>0</v>
      </c>
      <c r="BN59" s="79">
        <f t="shared" si="60"/>
        <v>0</v>
      </c>
      <c r="BO59" s="59"/>
      <c r="BP59" s="85"/>
      <c r="BQ59" s="82">
        <f t="shared" si="61"/>
        <v>0</v>
      </c>
      <c r="BR59" s="79">
        <f t="shared" si="62"/>
        <v>0</v>
      </c>
      <c r="BS59" s="59"/>
      <c r="BT59" s="85"/>
      <c r="BU59" s="82">
        <f t="shared" si="35"/>
        <v>0</v>
      </c>
      <c r="BV59" s="79">
        <f t="shared" si="36"/>
        <v>0</v>
      </c>
      <c r="BW59" s="58">
        <v>1920</v>
      </c>
      <c r="BX59" s="85"/>
      <c r="BY59" s="82">
        <f t="shared" si="37"/>
        <v>0</v>
      </c>
      <c r="BZ59" s="79">
        <f t="shared" si="38"/>
        <v>0</v>
      </c>
      <c r="CA59" s="58"/>
      <c r="CB59" s="85"/>
      <c r="CC59" s="82">
        <v>0</v>
      </c>
      <c r="CD59" s="79">
        <v>0</v>
      </c>
      <c r="CE59" s="59"/>
      <c r="CF59" s="85"/>
      <c r="CG59" s="82">
        <f t="shared" si="39"/>
        <v>0</v>
      </c>
      <c r="CH59" s="79">
        <f t="shared" si="40"/>
        <v>0</v>
      </c>
      <c r="CI59" s="39"/>
      <c r="CJ59" s="85"/>
      <c r="CK59" s="82">
        <f t="shared" si="41"/>
        <v>0</v>
      </c>
      <c r="CL59" s="79">
        <f t="shared" si="42"/>
        <v>0</v>
      </c>
      <c r="CM59" s="44"/>
      <c r="CN59" s="44"/>
      <c r="CO59" s="44"/>
      <c r="CP59" s="44"/>
      <c r="CQ59" s="60">
        <f t="shared" si="43"/>
        <v>1</v>
      </c>
      <c r="CR59" s="77">
        <f t="shared" si="44"/>
        <v>0</v>
      </c>
      <c r="CS59" s="28"/>
    </row>
    <row r="60" spans="1:97" ht="15.75" thickBot="1">
      <c r="A60" s="45"/>
      <c r="B60" s="45"/>
      <c r="C60" s="45"/>
      <c r="D60" s="45"/>
      <c r="E60" s="45"/>
      <c r="F60" s="45"/>
      <c r="G60" s="45"/>
      <c r="H60" s="45"/>
      <c r="I60" s="45"/>
      <c r="J60" s="78">
        <f>SUM(J11:J59)</f>
        <v>0</v>
      </c>
      <c r="K60" s="45"/>
      <c r="L60" s="45"/>
      <c r="M60" s="45"/>
      <c r="N60" s="78">
        <f>SUM(N11:N59)</f>
        <v>0</v>
      </c>
      <c r="O60" s="45"/>
      <c r="P60" s="45"/>
      <c r="Q60" s="45"/>
      <c r="R60" s="78">
        <f>SUM(R11:R59)</f>
        <v>0</v>
      </c>
      <c r="S60" s="45"/>
      <c r="T60" s="45"/>
      <c r="U60" s="45"/>
      <c r="V60" s="78">
        <f>SUM(V11:V59)</f>
        <v>0</v>
      </c>
      <c r="W60" s="45"/>
      <c r="X60" s="45"/>
      <c r="Y60" s="45"/>
      <c r="Z60" s="78">
        <f>SUM(Z11:Z59)</f>
        <v>0</v>
      </c>
      <c r="AA60" s="45"/>
      <c r="AB60" s="45"/>
      <c r="AC60" s="45"/>
      <c r="AD60" s="78">
        <f>SUM(AD11:AD59)</f>
        <v>0</v>
      </c>
      <c r="AE60" s="45"/>
      <c r="AF60" s="45"/>
      <c r="AG60" s="45"/>
      <c r="AH60" s="78">
        <f>SUM(AH11:AH59)</f>
        <v>0</v>
      </c>
      <c r="AI60" s="45"/>
      <c r="AJ60" s="45"/>
      <c r="AK60" s="45"/>
      <c r="AL60" s="78">
        <f>SUM(AL11:AL59)</f>
        <v>0</v>
      </c>
      <c r="AM60" s="45"/>
      <c r="AN60" s="45"/>
      <c r="AO60" s="45"/>
      <c r="AP60" s="78">
        <f>SUM(AP11:AP59)</f>
        <v>0</v>
      </c>
      <c r="AQ60" s="45"/>
      <c r="AR60" s="45"/>
      <c r="AS60" s="45"/>
      <c r="AT60" s="78">
        <f>SUM(AT11:AT59)</f>
        <v>0</v>
      </c>
      <c r="AU60" s="45"/>
      <c r="AV60" s="45"/>
      <c r="AW60" s="45"/>
      <c r="AX60" s="78">
        <f>SUM(AX11:AX59)</f>
        <v>0</v>
      </c>
      <c r="AY60" s="45"/>
      <c r="AZ60" s="45"/>
      <c r="BA60" s="45"/>
      <c r="BB60" s="78">
        <f>SUM(BB11:BB59)</f>
        <v>0</v>
      </c>
      <c r="BC60" s="45"/>
      <c r="BD60" s="45"/>
      <c r="BE60" s="45"/>
      <c r="BF60" s="78">
        <f>SUM(BF11:BF59)</f>
        <v>0</v>
      </c>
      <c r="BG60" s="45"/>
      <c r="BH60" s="45"/>
      <c r="BI60" s="45"/>
      <c r="BJ60" s="78">
        <f>SUM(BJ11:BJ59)</f>
        <v>0</v>
      </c>
      <c r="BK60" s="45"/>
      <c r="BL60" s="45"/>
      <c r="BM60" s="45"/>
      <c r="BN60" s="78">
        <f>SUM(BN11:BN59)</f>
        <v>0</v>
      </c>
      <c r="BO60" s="45"/>
      <c r="BP60" s="45"/>
      <c r="BQ60" s="45"/>
      <c r="BR60" s="78">
        <f>SUM(BR11:BR59)</f>
        <v>0</v>
      </c>
      <c r="BS60" s="45"/>
      <c r="BT60" s="45"/>
      <c r="BU60" s="45"/>
      <c r="BV60" s="78">
        <f>SUM(BV11:BV59)</f>
        <v>0</v>
      </c>
      <c r="BW60" s="45"/>
      <c r="BX60" s="45"/>
      <c r="BY60" s="45"/>
      <c r="BZ60" s="78">
        <f>SUM(BZ11:BZ59)</f>
        <v>0</v>
      </c>
      <c r="CA60" s="45"/>
      <c r="CB60" s="45"/>
      <c r="CC60" s="45"/>
      <c r="CD60" s="78">
        <f>SUM(CD11:CD59)</f>
        <v>0</v>
      </c>
      <c r="CE60" s="45"/>
      <c r="CF60" s="45"/>
      <c r="CG60" s="45"/>
      <c r="CH60" s="78">
        <f>SUM(CH11:CH59)</f>
        <v>0</v>
      </c>
      <c r="CI60" s="45"/>
      <c r="CJ60" s="45"/>
      <c r="CK60" s="45"/>
      <c r="CL60" s="78">
        <f>SUM(CL11:CL59)</f>
        <v>0</v>
      </c>
      <c r="CM60" s="45"/>
      <c r="CN60" s="45"/>
      <c r="CO60" s="131" t="s">
        <v>158</v>
      </c>
      <c r="CP60" s="132"/>
      <c r="CQ60" s="133"/>
      <c r="CR60" s="106">
        <f>SUM(CR11:CR59)</f>
        <v>0</v>
      </c>
    </row>
    <row r="61" spans="1:97" ht="24" thickBot="1">
      <c r="A61" s="93" t="s">
        <v>159</v>
      </c>
      <c r="B61" s="96" t="s">
        <v>160</v>
      </c>
      <c r="C61" s="95" t="s">
        <v>204</v>
      </c>
    </row>
    <row r="62" spans="1:97">
      <c r="A62" s="94" t="s">
        <v>200</v>
      </c>
      <c r="B62" s="97">
        <f>J60</f>
        <v>0</v>
      </c>
      <c r="C62" s="105" t="e">
        <f>(B62/'Proposal Summary'!$D$13)</f>
        <v>#DIV/0!</v>
      </c>
    </row>
    <row r="63" spans="1:97">
      <c r="A63" s="91" t="s">
        <v>163</v>
      </c>
      <c r="B63" s="99">
        <f>N60</f>
        <v>0</v>
      </c>
      <c r="C63" s="105" t="e">
        <f>(B63/'Proposal Summary'!$D$13)</f>
        <v>#DIV/0!</v>
      </c>
    </row>
    <row r="64" spans="1:97">
      <c r="A64" s="91" t="s">
        <v>164</v>
      </c>
      <c r="B64" s="99">
        <f>R60</f>
        <v>0</v>
      </c>
      <c r="C64" s="105" t="e">
        <f>(B64/'Proposal Summary'!$D$13)</f>
        <v>#DIV/0!</v>
      </c>
    </row>
    <row r="65" spans="1:3">
      <c r="A65" s="91" t="s">
        <v>165</v>
      </c>
      <c r="B65" s="99">
        <f>V60</f>
        <v>0</v>
      </c>
      <c r="C65" s="105" t="e">
        <f>(B65/'Proposal Summary'!$D$13)</f>
        <v>#DIV/0!</v>
      </c>
    </row>
    <row r="66" spans="1:3">
      <c r="A66" s="91" t="s">
        <v>166</v>
      </c>
      <c r="B66" s="99">
        <f>Z60</f>
        <v>0</v>
      </c>
      <c r="C66" s="105" t="e">
        <f>(B66/'Proposal Summary'!$D$13)</f>
        <v>#DIV/0!</v>
      </c>
    </row>
    <row r="67" spans="1:3">
      <c r="A67" s="91" t="s">
        <v>167</v>
      </c>
      <c r="B67" s="99">
        <f>AD60</f>
        <v>0</v>
      </c>
      <c r="C67" s="105" t="e">
        <f>(B67/'Proposal Summary'!$D$13)</f>
        <v>#DIV/0!</v>
      </c>
    </row>
    <row r="68" spans="1:3">
      <c r="A68" s="91" t="s">
        <v>168</v>
      </c>
      <c r="B68" s="99">
        <f>AH60</f>
        <v>0</v>
      </c>
      <c r="C68" s="105" t="e">
        <f>(B68/'Proposal Summary'!$D$13)</f>
        <v>#DIV/0!</v>
      </c>
    </row>
    <row r="69" spans="1:3">
      <c r="A69" s="91" t="s">
        <v>169</v>
      </c>
      <c r="B69" s="99">
        <f>AL60</f>
        <v>0</v>
      </c>
      <c r="C69" s="105" t="e">
        <f>(B69/'Proposal Summary'!$D$13)</f>
        <v>#DIV/0!</v>
      </c>
    </row>
    <row r="70" spans="1:3">
      <c r="A70" s="91" t="s">
        <v>170</v>
      </c>
      <c r="B70" s="99">
        <f>AP60</f>
        <v>0</v>
      </c>
      <c r="C70" s="105" t="e">
        <f>(B70/'Proposal Summary'!$D$13)</f>
        <v>#DIV/0!</v>
      </c>
    </row>
    <row r="71" spans="1:3">
      <c r="A71" s="91" t="s">
        <v>171</v>
      </c>
      <c r="B71" s="99">
        <f>AT60</f>
        <v>0</v>
      </c>
      <c r="C71" s="105" t="e">
        <f>(B71/'Proposal Summary'!$D$13)</f>
        <v>#DIV/0!</v>
      </c>
    </row>
    <row r="72" spans="1:3">
      <c r="A72" s="91" t="s">
        <v>172</v>
      </c>
      <c r="B72" s="99">
        <f>AX60</f>
        <v>0</v>
      </c>
      <c r="C72" s="105" t="e">
        <f>(B72/'Proposal Summary'!$D$13)</f>
        <v>#DIV/0!</v>
      </c>
    </row>
    <row r="73" spans="1:3">
      <c r="A73" s="91" t="s">
        <v>173</v>
      </c>
      <c r="B73" s="99">
        <f>BB60</f>
        <v>0</v>
      </c>
      <c r="C73" s="105" t="e">
        <f>(B73/'Proposal Summary'!$D$13)</f>
        <v>#DIV/0!</v>
      </c>
    </row>
    <row r="74" spans="1:3">
      <c r="A74" s="91" t="s">
        <v>174</v>
      </c>
      <c r="B74" s="99">
        <f>BF60</f>
        <v>0</v>
      </c>
      <c r="C74" s="105" t="e">
        <f>(B74/'Proposal Summary'!$D$13)</f>
        <v>#DIV/0!</v>
      </c>
    </row>
    <row r="75" spans="1:3">
      <c r="A75" s="91" t="s">
        <v>175</v>
      </c>
      <c r="B75" s="99">
        <f>BJ60</f>
        <v>0</v>
      </c>
      <c r="C75" s="105" t="e">
        <f>(B75/'Proposal Summary'!$D$13)</f>
        <v>#DIV/0!</v>
      </c>
    </row>
    <row r="76" spans="1:3">
      <c r="A76" s="91" t="s">
        <v>176</v>
      </c>
      <c r="B76" s="99">
        <f>BN60</f>
        <v>0</v>
      </c>
      <c r="C76" s="105" t="e">
        <f>(B76/'Proposal Summary'!$D$13)</f>
        <v>#DIV/0!</v>
      </c>
    </row>
    <row r="77" spans="1:3">
      <c r="A77" s="91" t="s">
        <v>177</v>
      </c>
      <c r="B77" s="99">
        <f>BR60</f>
        <v>0</v>
      </c>
      <c r="C77" s="105" t="e">
        <f>(B77/'Proposal Summary'!$D$13)</f>
        <v>#DIV/0!</v>
      </c>
    </row>
    <row r="78" spans="1:3">
      <c r="A78" s="91" t="s">
        <v>178</v>
      </c>
      <c r="B78" s="99">
        <f>BV60</f>
        <v>0</v>
      </c>
      <c r="C78" s="105" t="e">
        <f>(B78/'Proposal Summary'!$D$13)</f>
        <v>#DIV/0!</v>
      </c>
    </row>
    <row r="79" spans="1:3">
      <c r="A79" s="91" t="s">
        <v>179</v>
      </c>
      <c r="B79" s="99">
        <f>BZ60</f>
        <v>0</v>
      </c>
      <c r="C79" s="105" t="e">
        <f>(B79/'Proposal Summary'!$D$13)</f>
        <v>#DIV/0!</v>
      </c>
    </row>
    <row r="80" spans="1:3">
      <c r="A80" s="91" t="s">
        <v>180</v>
      </c>
      <c r="B80" s="99">
        <f>CD60</f>
        <v>0</v>
      </c>
      <c r="C80" s="105" t="e">
        <f>(B80/'Proposal Summary'!$D$13)</f>
        <v>#DIV/0!</v>
      </c>
    </row>
    <row r="81" spans="1:3">
      <c r="A81" s="91" t="s">
        <v>181</v>
      </c>
      <c r="B81" s="99">
        <f>CH60</f>
        <v>0</v>
      </c>
      <c r="C81" s="105" t="e">
        <f>(B81/'Proposal Summary'!$D$13)</f>
        <v>#DIV/0!</v>
      </c>
    </row>
    <row r="82" spans="1:3">
      <c r="A82" s="91" t="s">
        <v>182</v>
      </c>
      <c r="B82" s="99">
        <f>CL60</f>
        <v>0</v>
      </c>
      <c r="C82" s="105" t="e">
        <f>(B82/'Proposal Summary'!$D$13)</f>
        <v>#DIV/0!</v>
      </c>
    </row>
  </sheetData>
  <mergeCells count="2">
    <mergeCell ref="A1:B1"/>
    <mergeCell ref="CO60:CQ60"/>
  </mergeCells>
  <dataValidations count="1">
    <dataValidation type="list" allowBlank="1" showInputMessage="1" showErrorMessage="1" sqref="D11:E59" xr:uid="{B7B6DDF4-8740-4AB8-BCE8-CF6C97351231}">
      <formula1>"Yes, No"</formula1>
    </dataValidation>
  </dataValidations>
  <pageMargins left="0.25" right="0.25" top="0.75" bottom="0.75" header="0.3" footer="0.3"/>
  <pageSetup paperSize="5" scale="10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F817-FFFB-478C-9F1A-2BA134F0E569}">
  <sheetPr codeName="Sheet6">
    <pageSetUpPr fitToPage="1"/>
  </sheetPr>
  <dimension ref="A1:CS82"/>
  <sheetViews>
    <sheetView zoomScale="70" zoomScaleNormal="70" workbookViewId="0">
      <selection activeCell="C3" sqref="C3"/>
    </sheetView>
  </sheetViews>
  <sheetFormatPr defaultColWidth="9.140625" defaultRowHeight="15"/>
  <cols>
    <col min="1" max="1" width="63.85546875" style="17" bestFit="1" customWidth="1"/>
    <col min="2" max="2" width="40.140625" style="17" bestFit="1" customWidth="1"/>
    <col min="3" max="3" width="38.85546875" style="17" bestFit="1" customWidth="1"/>
    <col min="4" max="4" width="29.7109375" style="17" bestFit="1" customWidth="1"/>
    <col min="5" max="5" width="22.85546875" style="17" bestFit="1" customWidth="1"/>
    <col min="6" max="6" width="19.140625" style="17" bestFit="1" customWidth="1"/>
    <col min="7" max="7" width="21.140625" style="17" customWidth="1"/>
    <col min="8" max="10" width="20" style="17" customWidth="1"/>
    <col min="11" max="11" width="24.5703125" style="17" customWidth="1"/>
    <col min="12" max="12" width="25.42578125" style="17" customWidth="1"/>
    <col min="13" max="13" width="20" style="17" customWidth="1"/>
    <col min="14" max="27" width="20.28515625" style="17" customWidth="1"/>
    <col min="28" max="28" width="22.140625" style="17" customWidth="1"/>
    <col min="29" max="30" width="20" style="17" customWidth="1"/>
    <col min="31" max="31" width="22.140625" style="17" customWidth="1"/>
    <col min="32" max="32" width="24.5703125" style="17" customWidth="1"/>
    <col min="33" max="33" width="25.42578125" style="17" customWidth="1"/>
    <col min="34" max="57" width="20" style="17" customWidth="1"/>
    <col min="58" max="58" width="21.5703125" style="17" customWidth="1"/>
    <col min="59" max="60" width="23.28515625" style="17" customWidth="1"/>
    <col min="61" max="63" width="20" style="17" customWidth="1"/>
    <col min="64" max="65" width="26.85546875" style="17" bestFit="1" customWidth="1"/>
    <col min="66" max="66" width="20" style="17" customWidth="1"/>
    <col min="67" max="67" width="24.28515625" style="17" bestFit="1" customWidth="1"/>
    <col min="68" max="68" width="21.7109375" style="17" bestFit="1" customWidth="1"/>
    <col min="69" max="69" width="21.7109375" style="17" customWidth="1"/>
    <col min="70" max="70" width="22.7109375" style="17" bestFit="1" customWidth="1"/>
    <col min="71" max="72" width="20" style="17" customWidth="1"/>
    <col min="73" max="73" width="24.42578125" style="17" bestFit="1" customWidth="1"/>
    <col min="74" max="74" width="34.140625" style="17" bestFit="1" customWidth="1"/>
    <col min="75" max="75" width="35.42578125" style="17" bestFit="1" customWidth="1"/>
    <col min="76" max="76" width="30.5703125" style="17" bestFit="1" customWidth="1"/>
    <col min="77" max="77" width="20" style="17" customWidth="1"/>
    <col min="78" max="78" width="22.85546875" style="17" customWidth="1"/>
    <col min="79" max="79" width="14" style="17" bestFit="1" customWidth="1"/>
    <col min="80" max="80" width="14.42578125" style="17" bestFit="1" customWidth="1"/>
    <col min="81" max="81" width="12.85546875" style="17" bestFit="1" customWidth="1"/>
    <col min="82" max="82" width="18.85546875" style="17" bestFit="1" customWidth="1"/>
    <col min="83" max="83" width="17.42578125" style="17" bestFit="1" customWidth="1"/>
    <col min="84" max="84" width="18.28515625" style="17" bestFit="1" customWidth="1"/>
    <col min="85" max="85" width="20.5703125" style="17" bestFit="1" customWidth="1"/>
    <col min="86" max="86" width="17.42578125" style="17" bestFit="1" customWidth="1"/>
    <col min="87" max="87" width="14.5703125" style="17" bestFit="1" customWidth="1"/>
    <col min="88" max="88" width="15" style="17" bestFit="1" customWidth="1"/>
    <col min="89" max="89" width="14.5703125" style="17" bestFit="1" customWidth="1"/>
    <col min="90" max="90" width="15" style="17" customWidth="1"/>
    <col min="91" max="92" width="10" style="17" bestFit="1" customWidth="1"/>
    <col min="93" max="93" width="9.140625" style="17"/>
    <col min="94" max="94" width="10" style="17" bestFit="1" customWidth="1"/>
    <col min="95" max="16384" width="9.140625" style="17"/>
  </cols>
  <sheetData>
    <row r="1" spans="1:97" ht="36">
      <c r="A1" s="138" t="s">
        <v>12</v>
      </c>
      <c r="B1" s="139"/>
    </row>
    <row r="2" spans="1:97">
      <c r="A2" s="18" t="s">
        <v>4</v>
      </c>
      <c r="B2" s="18" t="s">
        <v>5</v>
      </c>
      <c r="C2" s="18" t="s">
        <v>6</v>
      </c>
      <c r="D2" s="18" t="s">
        <v>21</v>
      </c>
      <c r="E2" s="19"/>
      <c r="F2" s="19"/>
      <c r="G2" s="18" t="s">
        <v>7</v>
      </c>
    </row>
    <row r="3" spans="1:97" s="1" customFormat="1">
      <c r="A3" s="101" t="s">
        <v>12</v>
      </c>
      <c r="B3" s="102">
        <v>47710</v>
      </c>
      <c r="C3" s="102">
        <v>48074</v>
      </c>
      <c r="D3" s="103">
        <v>0.03</v>
      </c>
      <c r="E3" s="21"/>
      <c r="F3" s="21"/>
      <c r="G3" s="23">
        <f>Q59</f>
        <v>0</v>
      </c>
    </row>
    <row r="6" spans="1:97">
      <c r="A6" s="24" t="s">
        <v>22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1:9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9" spans="1:97" ht="15.75" thickBot="1"/>
    <row r="10" spans="1:97" s="29" customFormat="1" ht="63.75" customHeight="1" thickBot="1">
      <c r="A10" s="69" t="s">
        <v>23</v>
      </c>
      <c r="B10" s="70" t="s">
        <v>24</v>
      </c>
      <c r="C10" s="70" t="s">
        <v>25</v>
      </c>
      <c r="D10" s="70" t="s">
        <v>26</v>
      </c>
      <c r="E10" s="70" t="s">
        <v>27</v>
      </c>
      <c r="F10" s="70" t="s">
        <v>28</v>
      </c>
      <c r="G10" s="116" t="s">
        <v>29</v>
      </c>
      <c r="H10" s="70" t="s">
        <v>183</v>
      </c>
      <c r="I10" s="72" t="s">
        <v>184</v>
      </c>
      <c r="J10" s="73" t="s">
        <v>185</v>
      </c>
      <c r="K10" s="72" t="s">
        <v>33</v>
      </c>
      <c r="L10" s="72" t="s">
        <v>34</v>
      </c>
      <c r="M10" s="72" t="s">
        <v>35</v>
      </c>
      <c r="N10" s="73" t="s">
        <v>36</v>
      </c>
      <c r="O10" s="116" t="s">
        <v>202</v>
      </c>
      <c r="P10" s="74" t="s">
        <v>186</v>
      </c>
      <c r="Q10" s="75" t="s">
        <v>187</v>
      </c>
      <c r="R10" s="73" t="s">
        <v>188</v>
      </c>
      <c r="S10" s="75" t="s">
        <v>41</v>
      </c>
      <c r="T10" s="75" t="s">
        <v>42</v>
      </c>
      <c r="U10" s="75" t="s">
        <v>43</v>
      </c>
      <c r="V10" s="73" t="s">
        <v>44</v>
      </c>
      <c r="W10" s="75" t="s">
        <v>45</v>
      </c>
      <c r="X10" s="75" t="s">
        <v>46</v>
      </c>
      <c r="Y10" s="75" t="s">
        <v>47</v>
      </c>
      <c r="Z10" s="73" t="s">
        <v>48</v>
      </c>
      <c r="AA10" s="75" t="s">
        <v>49</v>
      </c>
      <c r="AB10" s="75" t="s">
        <v>50</v>
      </c>
      <c r="AC10" s="75" t="s">
        <v>51</v>
      </c>
      <c r="AD10" s="73" t="s">
        <v>52</v>
      </c>
      <c r="AE10" s="75" t="s">
        <v>53</v>
      </c>
      <c r="AF10" s="75" t="s">
        <v>54</v>
      </c>
      <c r="AG10" s="75" t="s">
        <v>55</v>
      </c>
      <c r="AH10" s="73" t="s">
        <v>56</v>
      </c>
      <c r="AI10" s="116" t="s">
        <v>189</v>
      </c>
      <c r="AJ10" s="70" t="s">
        <v>190</v>
      </c>
      <c r="AK10" s="72" t="s">
        <v>191</v>
      </c>
      <c r="AL10" s="73" t="s">
        <v>192</v>
      </c>
      <c r="AM10" s="116" t="s">
        <v>61</v>
      </c>
      <c r="AN10" s="72" t="s">
        <v>62</v>
      </c>
      <c r="AO10" s="72" t="s">
        <v>63</v>
      </c>
      <c r="AP10" s="73" t="s">
        <v>64</v>
      </c>
      <c r="AQ10" s="116" t="s">
        <v>193</v>
      </c>
      <c r="AR10" s="70" t="s">
        <v>66</v>
      </c>
      <c r="AS10" s="72" t="s">
        <v>67</v>
      </c>
      <c r="AT10" s="73" t="s">
        <v>68</v>
      </c>
      <c r="AU10" s="72" t="s">
        <v>69</v>
      </c>
      <c r="AV10" s="72" t="s">
        <v>70</v>
      </c>
      <c r="AW10" s="72" t="s">
        <v>71</v>
      </c>
      <c r="AX10" s="73" t="s">
        <v>72</v>
      </c>
      <c r="AY10" s="72" t="s">
        <v>73</v>
      </c>
      <c r="AZ10" s="72" t="s">
        <v>74</v>
      </c>
      <c r="BA10" s="72" t="s">
        <v>75</v>
      </c>
      <c r="BB10" s="73" t="s">
        <v>76</v>
      </c>
      <c r="BC10" s="72" t="s">
        <v>77</v>
      </c>
      <c r="BD10" s="72" t="s">
        <v>78</v>
      </c>
      <c r="BE10" s="72" t="s">
        <v>79</v>
      </c>
      <c r="BF10" s="73" t="s">
        <v>80</v>
      </c>
      <c r="BG10" s="72" t="s">
        <v>81</v>
      </c>
      <c r="BH10" s="72" t="s">
        <v>82</v>
      </c>
      <c r="BI10" s="72" t="s">
        <v>83</v>
      </c>
      <c r="BJ10" s="73" t="s">
        <v>84</v>
      </c>
      <c r="BK10" s="72" t="s">
        <v>85</v>
      </c>
      <c r="BL10" s="72" t="s">
        <v>86</v>
      </c>
      <c r="BM10" s="72" t="s">
        <v>87</v>
      </c>
      <c r="BN10" s="73" t="s">
        <v>88</v>
      </c>
      <c r="BO10" s="72" t="s">
        <v>89</v>
      </c>
      <c r="BP10" s="72" t="s">
        <v>90</v>
      </c>
      <c r="BQ10" s="72" t="s">
        <v>91</v>
      </c>
      <c r="BR10" s="73" t="s">
        <v>92</v>
      </c>
      <c r="BS10" s="72" t="s">
        <v>93</v>
      </c>
      <c r="BT10" s="72" t="s">
        <v>94</v>
      </c>
      <c r="BU10" s="72" t="s">
        <v>95</v>
      </c>
      <c r="BV10" s="73" t="s">
        <v>96</v>
      </c>
      <c r="BW10" s="72" t="s">
        <v>97</v>
      </c>
      <c r="BX10" s="70" t="s">
        <v>98</v>
      </c>
      <c r="BY10" s="72" t="s">
        <v>99</v>
      </c>
      <c r="BZ10" s="73" t="s">
        <v>100</v>
      </c>
      <c r="CA10" s="116" t="s">
        <v>194</v>
      </c>
      <c r="CB10" s="70" t="s">
        <v>102</v>
      </c>
      <c r="CC10" s="72" t="s">
        <v>103</v>
      </c>
      <c r="CD10" s="73" t="s">
        <v>104</v>
      </c>
      <c r="CE10" s="72" t="s">
        <v>105</v>
      </c>
      <c r="CF10" s="72" t="s">
        <v>106</v>
      </c>
      <c r="CG10" s="107" t="s">
        <v>107</v>
      </c>
      <c r="CH10" s="73" t="s">
        <v>108</v>
      </c>
      <c r="CI10" s="71" t="s">
        <v>195</v>
      </c>
      <c r="CJ10" s="70" t="s">
        <v>196</v>
      </c>
      <c r="CK10" s="72" t="s">
        <v>197</v>
      </c>
      <c r="CL10" s="73" t="s">
        <v>198</v>
      </c>
      <c r="CM10" s="72" t="s">
        <v>113</v>
      </c>
      <c r="CN10" s="72" t="s">
        <v>114</v>
      </c>
      <c r="CO10" s="72" t="s">
        <v>115</v>
      </c>
      <c r="CP10" s="72" t="s">
        <v>116</v>
      </c>
      <c r="CQ10" s="70" t="s">
        <v>117</v>
      </c>
      <c r="CR10" s="76" t="s">
        <v>118</v>
      </c>
      <c r="CS10" s="28"/>
    </row>
    <row r="11" spans="1:97" s="1" customFormat="1">
      <c r="A11" s="61" t="s">
        <v>119</v>
      </c>
      <c r="B11" s="62"/>
      <c r="C11" s="63" t="s">
        <v>120</v>
      </c>
      <c r="D11" s="64"/>
      <c r="E11" s="64"/>
      <c r="F11" s="86"/>
      <c r="G11" s="65"/>
      <c r="H11" s="83"/>
      <c r="I11" s="80">
        <f>H11*CQ11</f>
        <v>0</v>
      </c>
      <c r="J11" s="79">
        <f>G11*I11</f>
        <v>0</v>
      </c>
      <c r="K11" s="66"/>
      <c r="L11" s="83"/>
      <c r="M11" s="80">
        <f t="shared" ref="M11:M26" si="0">L11*CQ11</f>
        <v>0</v>
      </c>
      <c r="N11" s="79">
        <f t="shared" ref="N11:N42" si="1">K11*M11</f>
        <v>0</v>
      </c>
      <c r="O11" s="65"/>
      <c r="P11" s="83"/>
      <c r="Q11" s="80">
        <f t="shared" ref="Q11:Q42" si="2">P11*CQ11</f>
        <v>0</v>
      </c>
      <c r="R11" s="79">
        <f t="shared" ref="R11:R42" si="3">O11*Q11</f>
        <v>0</v>
      </c>
      <c r="S11" s="66"/>
      <c r="T11" s="83"/>
      <c r="U11" s="80">
        <v>0</v>
      </c>
      <c r="V11" s="79">
        <v>0</v>
      </c>
      <c r="W11" s="66"/>
      <c r="X11" s="83"/>
      <c r="Y11" s="80">
        <v>0</v>
      </c>
      <c r="Z11" s="79">
        <v>0</v>
      </c>
      <c r="AA11" s="66"/>
      <c r="AB11" s="83"/>
      <c r="AC11" s="80">
        <v>0</v>
      </c>
      <c r="AD11" s="79">
        <v>0</v>
      </c>
      <c r="AE11" s="66"/>
      <c r="AF11" s="83"/>
      <c r="AG11" s="80">
        <f>AF11*CQ11</f>
        <v>0</v>
      </c>
      <c r="AH11" s="79">
        <f t="shared" ref="AH11:AH42" si="4">AE11*AG11</f>
        <v>0</v>
      </c>
      <c r="AI11" s="65"/>
      <c r="AJ11" s="83"/>
      <c r="AK11" s="80">
        <f t="shared" ref="AK11:AK42" si="5">AJ11*CQ11</f>
        <v>0</v>
      </c>
      <c r="AL11" s="79">
        <f t="shared" ref="AL11:AL42" si="6">AI11*AK11</f>
        <v>0</v>
      </c>
      <c r="AM11" s="65"/>
      <c r="AN11" s="83"/>
      <c r="AO11" s="80">
        <f t="shared" ref="AO11:AO42" si="7">AN11*CQ11</f>
        <v>0</v>
      </c>
      <c r="AP11" s="79">
        <f t="shared" ref="AP11:AP42" si="8">AM11*AO11</f>
        <v>0</v>
      </c>
      <c r="AQ11" s="65"/>
      <c r="AR11" s="83"/>
      <c r="AS11" s="80">
        <f t="shared" ref="AS11:AS42" si="9">AR11*CQ11</f>
        <v>0</v>
      </c>
      <c r="AT11" s="79">
        <f t="shared" ref="AT11:AT42" si="10">AQ11*AS11</f>
        <v>0</v>
      </c>
      <c r="AU11" s="66"/>
      <c r="AV11" s="83"/>
      <c r="AW11" s="80">
        <v>0</v>
      </c>
      <c r="AX11" s="79">
        <v>0</v>
      </c>
      <c r="AY11" s="66"/>
      <c r="AZ11" s="83"/>
      <c r="BA11" s="80">
        <v>0</v>
      </c>
      <c r="BB11" s="79">
        <v>0</v>
      </c>
      <c r="BC11" s="66"/>
      <c r="BD11" s="83"/>
      <c r="BE11" s="80">
        <v>0</v>
      </c>
      <c r="BF11" s="79">
        <v>0</v>
      </c>
      <c r="BG11" s="66"/>
      <c r="BH11" s="83"/>
      <c r="BI11" s="80">
        <v>0</v>
      </c>
      <c r="BJ11" s="79">
        <v>0</v>
      </c>
      <c r="BK11" s="66"/>
      <c r="BL11" s="83"/>
      <c r="BM11" s="80">
        <v>0</v>
      </c>
      <c r="BN11" s="79">
        <v>0</v>
      </c>
      <c r="BO11" s="66"/>
      <c r="BP11" s="83"/>
      <c r="BQ11" s="80">
        <v>0</v>
      </c>
      <c r="BR11" s="79">
        <v>0</v>
      </c>
      <c r="BS11" s="66"/>
      <c r="BT11" s="83"/>
      <c r="BU11" s="80">
        <f t="shared" ref="BU11:BU42" si="11">BT11*CQ11</f>
        <v>0</v>
      </c>
      <c r="BV11" s="79">
        <f t="shared" ref="BV11:BV42" si="12">BS11*BU11</f>
        <v>0</v>
      </c>
      <c r="BW11" s="65">
        <v>480</v>
      </c>
      <c r="BX11" s="83"/>
      <c r="BY11" s="80">
        <f t="shared" ref="BY11:BY42" si="13">BX11*CQ11</f>
        <v>0</v>
      </c>
      <c r="BZ11" s="79">
        <f t="shared" ref="BZ11:BZ42" si="14">BW11*BY11</f>
        <v>0</v>
      </c>
      <c r="CA11" s="65"/>
      <c r="CB11" s="83"/>
      <c r="CC11" s="80">
        <v>0</v>
      </c>
      <c r="CD11" s="79">
        <v>0</v>
      </c>
      <c r="CE11" s="66"/>
      <c r="CF11" s="83"/>
      <c r="CG11" s="80">
        <f t="shared" ref="CG11:CG42" si="15">CF11*CQ11</f>
        <v>0</v>
      </c>
      <c r="CH11" s="79">
        <f t="shared" ref="CH11:CH42" si="16">CE11*CG11</f>
        <v>0</v>
      </c>
      <c r="CI11" s="43"/>
      <c r="CJ11" s="83"/>
      <c r="CK11" s="80">
        <f t="shared" ref="CK11:CK42" si="17">CJ11*CQ11</f>
        <v>0</v>
      </c>
      <c r="CL11" s="79">
        <f t="shared" ref="CL11:CL42" si="18">CI11*CK11</f>
        <v>0</v>
      </c>
      <c r="CM11" s="67">
        <v>0.1</v>
      </c>
      <c r="CN11" s="67">
        <v>0.15</v>
      </c>
      <c r="CO11" s="67">
        <v>0.05</v>
      </c>
      <c r="CP11" s="67">
        <v>0.1</v>
      </c>
      <c r="CQ11" s="68">
        <f t="shared" ref="CQ11:CQ42" si="19">(1+CM11)*(1+CN11)*(1+CO11)*(1+CP11)</f>
        <v>1.4610750000000001</v>
      </c>
      <c r="CR11" s="77">
        <f t="shared" ref="CR11:CR42" si="20">J11+N11+R11+V11+Z11+AD11+AH11+AL11+AP11+AT11+AX11+BB11+BF11+BJ11+BN11+BR11+BV11+BZ11+CD11+CH11+CL11</f>
        <v>0</v>
      </c>
      <c r="CS11" s="35"/>
    </row>
    <row r="12" spans="1:97" s="1" customFormat="1">
      <c r="A12" s="30" t="s">
        <v>119</v>
      </c>
      <c r="B12" s="47"/>
      <c r="C12" s="31" t="s">
        <v>121</v>
      </c>
      <c r="D12" s="32"/>
      <c r="E12" s="32"/>
      <c r="F12" s="87"/>
      <c r="G12" s="48"/>
      <c r="H12" s="84"/>
      <c r="I12" s="80">
        <f t="shared" ref="I12:I59" si="21">H12*CQ12</f>
        <v>0</v>
      </c>
      <c r="J12" s="79">
        <f t="shared" ref="J12:J59" si="22">G12*I12</f>
        <v>0</v>
      </c>
      <c r="K12" s="49"/>
      <c r="L12" s="84"/>
      <c r="M12" s="81">
        <f t="shared" si="0"/>
        <v>0</v>
      </c>
      <c r="N12" s="79">
        <f t="shared" si="1"/>
        <v>0</v>
      </c>
      <c r="O12" s="48"/>
      <c r="P12" s="84"/>
      <c r="Q12" s="81">
        <f t="shared" si="2"/>
        <v>0</v>
      </c>
      <c r="R12" s="79">
        <f t="shared" si="3"/>
        <v>0</v>
      </c>
      <c r="S12" s="49"/>
      <c r="T12" s="84"/>
      <c r="U12" s="81">
        <v>0</v>
      </c>
      <c r="V12" s="79">
        <v>0</v>
      </c>
      <c r="W12" s="49"/>
      <c r="X12" s="84"/>
      <c r="Y12" s="81">
        <v>0</v>
      </c>
      <c r="Z12" s="79">
        <v>0</v>
      </c>
      <c r="AA12" s="49"/>
      <c r="AB12" s="84"/>
      <c r="AC12" s="81">
        <v>0</v>
      </c>
      <c r="AD12" s="79">
        <v>0</v>
      </c>
      <c r="AE12" s="49"/>
      <c r="AF12" s="84"/>
      <c r="AG12" s="81">
        <f t="shared" ref="AG12:AG59" si="23">AF12*CZ12</f>
        <v>0</v>
      </c>
      <c r="AH12" s="79">
        <f t="shared" si="4"/>
        <v>0</v>
      </c>
      <c r="AI12" s="48"/>
      <c r="AJ12" s="84"/>
      <c r="AK12" s="81">
        <f t="shared" si="5"/>
        <v>0</v>
      </c>
      <c r="AL12" s="79">
        <f t="shared" si="6"/>
        <v>0</v>
      </c>
      <c r="AM12" s="48"/>
      <c r="AN12" s="84"/>
      <c r="AO12" s="81">
        <f t="shared" si="7"/>
        <v>0</v>
      </c>
      <c r="AP12" s="79">
        <f t="shared" si="8"/>
        <v>0</v>
      </c>
      <c r="AQ12" s="48"/>
      <c r="AR12" s="84"/>
      <c r="AS12" s="81">
        <f t="shared" si="9"/>
        <v>0</v>
      </c>
      <c r="AT12" s="79">
        <f t="shared" si="10"/>
        <v>0</v>
      </c>
      <c r="AU12" s="49"/>
      <c r="AV12" s="84"/>
      <c r="AW12" s="81">
        <v>0</v>
      </c>
      <c r="AX12" s="79">
        <v>0</v>
      </c>
      <c r="AY12" s="49"/>
      <c r="AZ12" s="84"/>
      <c r="BA12" s="81">
        <v>0</v>
      </c>
      <c r="BB12" s="79">
        <v>0</v>
      </c>
      <c r="BC12" s="49"/>
      <c r="BD12" s="84"/>
      <c r="BE12" s="81">
        <v>0</v>
      </c>
      <c r="BF12" s="79">
        <v>0</v>
      </c>
      <c r="BG12" s="49"/>
      <c r="BH12" s="84"/>
      <c r="BI12" s="81">
        <v>0</v>
      </c>
      <c r="BJ12" s="79">
        <v>0</v>
      </c>
      <c r="BK12" s="49"/>
      <c r="BL12" s="84"/>
      <c r="BM12" s="81">
        <v>0</v>
      </c>
      <c r="BN12" s="79">
        <v>0</v>
      </c>
      <c r="BO12" s="51"/>
      <c r="BP12" s="84"/>
      <c r="BQ12" s="81">
        <v>0</v>
      </c>
      <c r="BR12" s="79">
        <v>0</v>
      </c>
      <c r="BS12" s="49"/>
      <c r="BT12" s="84"/>
      <c r="BU12" s="81">
        <f t="shared" si="11"/>
        <v>0</v>
      </c>
      <c r="BV12" s="79">
        <f t="shared" si="12"/>
        <v>0</v>
      </c>
      <c r="BW12" s="48">
        <v>480</v>
      </c>
      <c r="BX12" s="84"/>
      <c r="BY12" s="81">
        <f t="shared" si="13"/>
        <v>0</v>
      </c>
      <c r="BZ12" s="79">
        <f t="shared" si="14"/>
        <v>0</v>
      </c>
      <c r="CA12" s="48"/>
      <c r="CB12" s="84"/>
      <c r="CC12" s="81">
        <v>0</v>
      </c>
      <c r="CD12" s="79">
        <v>0</v>
      </c>
      <c r="CE12" s="49"/>
      <c r="CF12" s="84"/>
      <c r="CG12" s="81">
        <f t="shared" si="15"/>
        <v>0</v>
      </c>
      <c r="CH12" s="79">
        <f t="shared" si="16"/>
        <v>0</v>
      </c>
      <c r="CI12" s="33"/>
      <c r="CJ12" s="84"/>
      <c r="CK12" s="81">
        <f t="shared" si="17"/>
        <v>0</v>
      </c>
      <c r="CL12" s="79">
        <f t="shared" si="18"/>
        <v>0</v>
      </c>
      <c r="CM12" s="34"/>
      <c r="CN12" s="34"/>
      <c r="CO12" s="34"/>
      <c r="CP12" s="34"/>
      <c r="CQ12" s="50">
        <f t="shared" si="19"/>
        <v>1</v>
      </c>
      <c r="CR12" s="77">
        <f t="shared" si="20"/>
        <v>0</v>
      </c>
      <c r="CS12" s="35"/>
    </row>
    <row r="13" spans="1:97" s="1" customFormat="1">
      <c r="A13" s="30" t="s">
        <v>122</v>
      </c>
      <c r="B13" s="47"/>
      <c r="C13" s="31" t="s">
        <v>121</v>
      </c>
      <c r="D13" s="32"/>
      <c r="E13" s="32"/>
      <c r="F13" s="87"/>
      <c r="G13" s="48"/>
      <c r="H13" s="84"/>
      <c r="I13" s="80">
        <f t="shared" si="21"/>
        <v>0</v>
      </c>
      <c r="J13" s="79">
        <f t="shared" si="22"/>
        <v>0</v>
      </c>
      <c r="K13" s="49"/>
      <c r="L13" s="84"/>
      <c r="M13" s="81">
        <f t="shared" si="0"/>
        <v>0</v>
      </c>
      <c r="N13" s="79">
        <f t="shared" si="1"/>
        <v>0</v>
      </c>
      <c r="O13" s="48">
        <v>3840</v>
      </c>
      <c r="P13" s="84"/>
      <c r="Q13" s="81">
        <f t="shared" si="2"/>
        <v>0</v>
      </c>
      <c r="R13" s="79">
        <f t="shared" si="3"/>
        <v>0</v>
      </c>
      <c r="S13" s="49"/>
      <c r="T13" s="84"/>
      <c r="U13" s="81">
        <v>0</v>
      </c>
      <c r="V13" s="79">
        <v>0</v>
      </c>
      <c r="W13" s="49"/>
      <c r="X13" s="84"/>
      <c r="Y13" s="81">
        <v>0</v>
      </c>
      <c r="Z13" s="79">
        <v>0</v>
      </c>
      <c r="AA13" s="49"/>
      <c r="AB13" s="84"/>
      <c r="AC13" s="81">
        <v>0</v>
      </c>
      <c r="AD13" s="79">
        <v>0</v>
      </c>
      <c r="AE13" s="49"/>
      <c r="AF13" s="84"/>
      <c r="AG13" s="81">
        <f t="shared" si="23"/>
        <v>0</v>
      </c>
      <c r="AH13" s="79">
        <f t="shared" si="4"/>
        <v>0</v>
      </c>
      <c r="AI13" s="48"/>
      <c r="AJ13" s="84"/>
      <c r="AK13" s="81">
        <f t="shared" si="5"/>
        <v>0</v>
      </c>
      <c r="AL13" s="79">
        <f t="shared" si="6"/>
        <v>0</v>
      </c>
      <c r="AM13" s="48"/>
      <c r="AN13" s="84"/>
      <c r="AO13" s="81">
        <f t="shared" si="7"/>
        <v>0</v>
      </c>
      <c r="AP13" s="79">
        <f t="shared" si="8"/>
        <v>0</v>
      </c>
      <c r="AQ13" s="48"/>
      <c r="AR13" s="84"/>
      <c r="AS13" s="81">
        <f t="shared" si="9"/>
        <v>0</v>
      </c>
      <c r="AT13" s="79">
        <f t="shared" si="10"/>
        <v>0</v>
      </c>
      <c r="AU13" s="49"/>
      <c r="AV13" s="84"/>
      <c r="AW13" s="81">
        <v>0</v>
      </c>
      <c r="AX13" s="79">
        <v>0</v>
      </c>
      <c r="AY13" s="49"/>
      <c r="AZ13" s="84"/>
      <c r="BA13" s="81">
        <v>0</v>
      </c>
      <c r="BB13" s="79">
        <v>0</v>
      </c>
      <c r="BC13" s="49"/>
      <c r="BD13" s="84"/>
      <c r="BE13" s="81">
        <v>0</v>
      </c>
      <c r="BF13" s="79">
        <v>0</v>
      </c>
      <c r="BG13" s="49"/>
      <c r="BH13" s="84"/>
      <c r="BI13" s="81">
        <v>0</v>
      </c>
      <c r="BJ13" s="79">
        <v>0</v>
      </c>
      <c r="BK13" s="49"/>
      <c r="BL13" s="84"/>
      <c r="BM13" s="81">
        <v>0</v>
      </c>
      <c r="BN13" s="79">
        <v>0</v>
      </c>
      <c r="BO13" s="49"/>
      <c r="BP13" s="84"/>
      <c r="BQ13" s="81">
        <v>0</v>
      </c>
      <c r="BR13" s="79">
        <v>0</v>
      </c>
      <c r="BS13" s="49"/>
      <c r="BT13" s="84"/>
      <c r="BU13" s="81">
        <f t="shared" si="11"/>
        <v>0</v>
      </c>
      <c r="BV13" s="79">
        <f t="shared" si="12"/>
        <v>0</v>
      </c>
      <c r="BW13" s="48"/>
      <c r="BX13" s="84"/>
      <c r="BY13" s="81">
        <f t="shared" si="13"/>
        <v>0</v>
      </c>
      <c r="BZ13" s="79">
        <f t="shared" si="14"/>
        <v>0</v>
      </c>
      <c r="CA13" s="48"/>
      <c r="CB13" s="84"/>
      <c r="CC13" s="81">
        <v>0</v>
      </c>
      <c r="CD13" s="79">
        <v>0</v>
      </c>
      <c r="CE13" s="49"/>
      <c r="CF13" s="84"/>
      <c r="CG13" s="81">
        <f t="shared" si="15"/>
        <v>0</v>
      </c>
      <c r="CH13" s="79">
        <f t="shared" si="16"/>
        <v>0</v>
      </c>
      <c r="CI13" s="33"/>
      <c r="CJ13" s="84"/>
      <c r="CK13" s="81">
        <f t="shared" si="17"/>
        <v>0</v>
      </c>
      <c r="CL13" s="79">
        <f t="shared" si="18"/>
        <v>0</v>
      </c>
      <c r="CM13" s="34"/>
      <c r="CN13" s="34"/>
      <c r="CO13" s="34"/>
      <c r="CP13" s="34"/>
      <c r="CQ13" s="50">
        <f t="shared" si="19"/>
        <v>1</v>
      </c>
      <c r="CR13" s="77">
        <f t="shared" si="20"/>
        <v>0</v>
      </c>
      <c r="CS13" s="28"/>
    </row>
    <row r="14" spans="1:97" s="1" customFormat="1">
      <c r="A14" s="30" t="s">
        <v>122</v>
      </c>
      <c r="B14" s="47"/>
      <c r="C14" s="31" t="s">
        <v>123</v>
      </c>
      <c r="D14" s="32"/>
      <c r="E14" s="32"/>
      <c r="F14" s="87"/>
      <c r="G14" s="48"/>
      <c r="H14" s="84"/>
      <c r="I14" s="80">
        <f t="shared" si="21"/>
        <v>0</v>
      </c>
      <c r="J14" s="79">
        <f t="shared" si="22"/>
        <v>0</v>
      </c>
      <c r="K14" s="49"/>
      <c r="L14" s="84"/>
      <c r="M14" s="81">
        <f t="shared" si="0"/>
        <v>0</v>
      </c>
      <c r="N14" s="79">
        <f t="shared" si="1"/>
        <v>0</v>
      </c>
      <c r="O14" s="48">
        <v>1920</v>
      </c>
      <c r="P14" s="84"/>
      <c r="Q14" s="81">
        <f t="shared" si="2"/>
        <v>0</v>
      </c>
      <c r="R14" s="79">
        <f t="shared" si="3"/>
        <v>0</v>
      </c>
      <c r="S14" s="49"/>
      <c r="T14" s="84"/>
      <c r="U14" s="81">
        <v>0</v>
      </c>
      <c r="V14" s="79">
        <v>0</v>
      </c>
      <c r="W14" s="49"/>
      <c r="X14" s="84"/>
      <c r="Y14" s="81">
        <v>0</v>
      </c>
      <c r="Z14" s="79">
        <v>0</v>
      </c>
      <c r="AA14" s="49"/>
      <c r="AB14" s="84"/>
      <c r="AC14" s="81">
        <v>0</v>
      </c>
      <c r="AD14" s="79">
        <v>0</v>
      </c>
      <c r="AE14" s="49"/>
      <c r="AF14" s="84"/>
      <c r="AG14" s="81">
        <f t="shared" si="23"/>
        <v>0</v>
      </c>
      <c r="AH14" s="79">
        <f t="shared" si="4"/>
        <v>0</v>
      </c>
      <c r="AI14" s="48"/>
      <c r="AJ14" s="84"/>
      <c r="AK14" s="81">
        <f t="shared" si="5"/>
        <v>0</v>
      </c>
      <c r="AL14" s="79">
        <f t="shared" si="6"/>
        <v>0</v>
      </c>
      <c r="AM14" s="48"/>
      <c r="AN14" s="84"/>
      <c r="AO14" s="81">
        <f t="shared" si="7"/>
        <v>0</v>
      </c>
      <c r="AP14" s="79">
        <f t="shared" si="8"/>
        <v>0</v>
      </c>
      <c r="AQ14" s="48"/>
      <c r="AR14" s="84"/>
      <c r="AS14" s="81">
        <f t="shared" si="9"/>
        <v>0</v>
      </c>
      <c r="AT14" s="79">
        <f t="shared" si="10"/>
        <v>0</v>
      </c>
      <c r="AU14" s="49"/>
      <c r="AV14" s="84"/>
      <c r="AW14" s="81">
        <v>0</v>
      </c>
      <c r="AX14" s="79">
        <v>0</v>
      </c>
      <c r="AY14" s="49"/>
      <c r="AZ14" s="84"/>
      <c r="BA14" s="81">
        <v>0</v>
      </c>
      <c r="BB14" s="79">
        <v>0</v>
      </c>
      <c r="BC14" s="49"/>
      <c r="BD14" s="84"/>
      <c r="BE14" s="81">
        <v>0</v>
      </c>
      <c r="BF14" s="79">
        <v>0</v>
      </c>
      <c r="BG14" s="49"/>
      <c r="BH14" s="84"/>
      <c r="BI14" s="81">
        <v>0</v>
      </c>
      <c r="BJ14" s="79">
        <v>0</v>
      </c>
      <c r="BK14" s="49"/>
      <c r="BL14" s="84"/>
      <c r="BM14" s="81">
        <v>0</v>
      </c>
      <c r="BN14" s="79">
        <v>0</v>
      </c>
      <c r="BO14" s="49"/>
      <c r="BP14" s="84"/>
      <c r="BQ14" s="81">
        <v>0</v>
      </c>
      <c r="BR14" s="79">
        <v>0</v>
      </c>
      <c r="BS14" s="49"/>
      <c r="BT14" s="84"/>
      <c r="BU14" s="81">
        <f t="shared" si="11"/>
        <v>0</v>
      </c>
      <c r="BV14" s="79">
        <f t="shared" si="12"/>
        <v>0</v>
      </c>
      <c r="BW14" s="48"/>
      <c r="BX14" s="84"/>
      <c r="BY14" s="81">
        <f t="shared" si="13"/>
        <v>0</v>
      </c>
      <c r="BZ14" s="79">
        <f t="shared" si="14"/>
        <v>0</v>
      </c>
      <c r="CA14" s="48"/>
      <c r="CB14" s="84"/>
      <c r="CC14" s="81">
        <v>0</v>
      </c>
      <c r="CD14" s="79">
        <v>0</v>
      </c>
      <c r="CE14" s="49"/>
      <c r="CF14" s="84"/>
      <c r="CG14" s="81">
        <f t="shared" si="15"/>
        <v>0</v>
      </c>
      <c r="CH14" s="79">
        <f t="shared" si="16"/>
        <v>0</v>
      </c>
      <c r="CI14" s="33"/>
      <c r="CJ14" s="84"/>
      <c r="CK14" s="81">
        <f t="shared" si="17"/>
        <v>0</v>
      </c>
      <c r="CL14" s="79">
        <f t="shared" si="18"/>
        <v>0</v>
      </c>
      <c r="CM14" s="34"/>
      <c r="CN14" s="34"/>
      <c r="CO14" s="34"/>
      <c r="CP14" s="34"/>
      <c r="CQ14" s="50">
        <f t="shared" si="19"/>
        <v>1</v>
      </c>
      <c r="CR14" s="77">
        <f t="shared" si="20"/>
        <v>0</v>
      </c>
      <c r="CS14" s="28"/>
    </row>
    <row r="15" spans="1:97" s="1" customFormat="1">
      <c r="A15" s="30" t="s">
        <v>124</v>
      </c>
      <c r="B15" s="47"/>
      <c r="C15" s="31" t="s">
        <v>123</v>
      </c>
      <c r="D15" s="32"/>
      <c r="E15" s="32"/>
      <c r="F15" s="87"/>
      <c r="G15" s="48"/>
      <c r="H15" s="84"/>
      <c r="I15" s="80">
        <f t="shared" si="21"/>
        <v>0</v>
      </c>
      <c r="J15" s="79">
        <f t="shared" si="22"/>
        <v>0</v>
      </c>
      <c r="K15" s="49"/>
      <c r="L15" s="84"/>
      <c r="M15" s="81">
        <f t="shared" si="0"/>
        <v>0</v>
      </c>
      <c r="N15" s="79">
        <f t="shared" si="1"/>
        <v>0</v>
      </c>
      <c r="O15" s="48"/>
      <c r="P15" s="84"/>
      <c r="Q15" s="81">
        <f t="shared" si="2"/>
        <v>0</v>
      </c>
      <c r="R15" s="79">
        <f t="shared" si="3"/>
        <v>0</v>
      </c>
      <c r="S15" s="49"/>
      <c r="T15" s="84"/>
      <c r="U15" s="81">
        <v>0</v>
      </c>
      <c r="V15" s="79">
        <v>0</v>
      </c>
      <c r="W15" s="49"/>
      <c r="X15" s="84"/>
      <c r="Y15" s="81">
        <v>0</v>
      </c>
      <c r="Z15" s="79">
        <v>0</v>
      </c>
      <c r="AA15" s="49"/>
      <c r="AB15" s="84"/>
      <c r="AC15" s="81">
        <v>0</v>
      </c>
      <c r="AD15" s="79">
        <v>0</v>
      </c>
      <c r="AE15" s="49"/>
      <c r="AF15" s="84"/>
      <c r="AG15" s="81">
        <f t="shared" si="23"/>
        <v>0</v>
      </c>
      <c r="AH15" s="79">
        <f t="shared" si="4"/>
        <v>0</v>
      </c>
      <c r="AI15" s="48"/>
      <c r="AJ15" s="84"/>
      <c r="AK15" s="81">
        <f t="shared" si="5"/>
        <v>0</v>
      </c>
      <c r="AL15" s="79">
        <f t="shared" si="6"/>
        <v>0</v>
      </c>
      <c r="AM15" s="48"/>
      <c r="AN15" s="84"/>
      <c r="AO15" s="81">
        <f t="shared" si="7"/>
        <v>0</v>
      </c>
      <c r="AP15" s="79">
        <f t="shared" si="8"/>
        <v>0</v>
      </c>
      <c r="AQ15" s="48"/>
      <c r="AR15" s="84"/>
      <c r="AS15" s="81">
        <f t="shared" si="9"/>
        <v>0</v>
      </c>
      <c r="AT15" s="79">
        <f t="shared" si="10"/>
        <v>0</v>
      </c>
      <c r="AU15" s="49"/>
      <c r="AV15" s="84"/>
      <c r="AW15" s="81">
        <v>0</v>
      </c>
      <c r="AX15" s="79">
        <v>0</v>
      </c>
      <c r="AY15" s="49"/>
      <c r="AZ15" s="84"/>
      <c r="BA15" s="81">
        <v>0</v>
      </c>
      <c r="BB15" s="79">
        <v>0</v>
      </c>
      <c r="BC15" s="49"/>
      <c r="BD15" s="84"/>
      <c r="BE15" s="81">
        <v>0</v>
      </c>
      <c r="BF15" s="79">
        <v>0</v>
      </c>
      <c r="BG15" s="49"/>
      <c r="BH15" s="84"/>
      <c r="BI15" s="81">
        <v>0</v>
      </c>
      <c r="BJ15" s="79">
        <v>0</v>
      </c>
      <c r="BK15" s="49"/>
      <c r="BL15" s="84"/>
      <c r="BM15" s="81">
        <v>0</v>
      </c>
      <c r="BN15" s="79">
        <v>0</v>
      </c>
      <c r="BO15" s="49"/>
      <c r="BP15" s="84"/>
      <c r="BQ15" s="81">
        <v>0</v>
      </c>
      <c r="BR15" s="79">
        <v>0</v>
      </c>
      <c r="BS15" s="49"/>
      <c r="BT15" s="84"/>
      <c r="BU15" s="81">
        <f t="shared" si="11"/>
        <v>0</v>
      </c>
      <c r="BV15" s="79">
        <f t="shared" si="12"/>
        <v>0</v>
      </c>
      <c r="BW15" s="48"/>
      <c r="BX15" s="84"/>
      <c r="BY15" s="81">
        <f t="shared" si="13"/>
        <v>0</v>
      </c>
      <c r="BZ15" s="79">
        <f t="shared" si="14"/>
        <v>0</v>
      </c>
      <c r="CA15" s="48"/>
      <c r="CB15" s="84"/>
      <c r="CC15" s="81">
        <v>0</v>
      </c>
      <c r="CD15" s="79">
        <v>0</v>
      </c>
      <c r="CE15" s="49"/>
      <c r="CF15" s="84"/>
      <c r="CG15" s="81">
        <f t="shared" si="15"/>
        <v>0</v>
      </c>
      <c r="CH15" s="79">
        <f t="shared" si="16"/>
        <v>0</v>
      </c>
      <c r="CI15" s="33"/>
      <c r="CJ15" s="84"/>
      <c r="CK15" s="81">
        <f t="shared" si="17"/>
        <v>0</v>
      </c>
      <c r="CL15" s="79">
        <f t="shared" si="18"/>
        <v>0</v>
      </c>
      <c r="CM15" s="34"/>
      <c r="CN15" s="34"/>
      <c r="CO15" s="34"/>
      <c r="CP15" s="34"/>
      <c r="CQ15" s="50">
        <f t="shared" si="19"/>
        <v>1</v>
      </c>
      <c r="CR15" s="77">
        <f t="shared" si="20"/>
        <v>0</v>
      </c>
      <c r="CS15" s="28"/>
    </row>
    <row r="16" spans="1:97" s="1" customFormat="1">
      <c r="A16" s="30" t="s">
        <v>125</v>
      </c>
      <c r="B16" s="47"/>
      <c r="C16" s="31" t="s">
        <v>123</v>
      </c>
      <c r="D16" s="32"/>
      <c r="E16" s="32"/>
      <c r="F16" s="87"/>
      <c r="G16" s="48"/>
      <c r="H16" s="84"/>
      <c r="I16" s="80">
        <f t="shared" si="21"/>
        <v>0</v>
      </c>
      <c r="J16" s="79">
        <f t="shared" si="22"/>
        <v>0</v>
      </c>
      <c r="K16" s="49"/>
      <c r="L16" s="84"/>
      <c r="M16" s="81">
        <f t="shared" si="0"/>
        <v>0</v>
      </c>
      <c r="N16" s="79">
        <f t="shared" si="1"/>
        <v>0</v>
      </c>
      <c r="O16" s="48"/>
      <c r="P16" s="84"/>
      <c r="Q16" s="81">
        <f t="shared" si="2"/>
        <v>0</v>
      </c>
      <c r="R16" s="79">
        <f t="shared" si="3"/>
        <v>0</v>
      </c>
      <c r="S16" s="49"/>
      <c r="T16" s="84"/>
      <c r="U16" s="81">
        <v>0</v>
      </c>
      <c r="V16" s="79">
        <v>0</v>
      </c>
      <c r="W16" s="49"/>
      <c r="X16" s="84"/>
      <c r="Y16" s="81">
        <v>0</v>
      </c>
      <c r="Z16" s="79">
        <v>0</v>
      </c>
      <c r="AA16" s="49"/>
      <c r="AB16" s="84"/>
      <c r="AC16" s="81">
        <v>0</v>
      </c>
      <c r="AD16" s="79">
        <v>0</v>
      </c>
      <c r="AE16" s="49"/>
      <c r="AF16" s="84"/>
      <c r="AG16" s="81">
        <f t="shared" si="23"/>
        <v>0</v>
      </c>
      <c r="AH16" s="79">
        <f t="shared" si="4"/>
        <v>0</v>
      </c>
      <c r="AI16" s="48"/>
      <c r="AJ16" s="84"/>
      <c r="AK16" s="81">
        <f t="shared" si="5"/>
        <v>0</v>
      </c>
      <c r="AL16" s="79">
        <f t="shared" si="6"/>
        <v>0</v>
      </c>
      <c r="AM16" s="48"/>
      <c r="AN16" s="84"/>
      <c r="AO16" s="81">
        <f t="shared" si="7"/>
        <v>0</v>
      </c>
      <c r="AP16" s="79">
        <f t="shared" si="8"/>
        <v>0</v>
      </c>
      <c r="AQ16" s="48"/>
      <c r="AR16" s="84"/>
      <c r="AS16" s="81">
        <f t="shared" si="9"/>
        <v>0</v>
      </c>
      <c r="AT16" s="79">
        <f t="shared" si="10"/>
        <v>0</v>
      </c>
      <c r="AU16" s="49"/>
      <c r="AV16" s="84"/>
      <c r="AW16" s="81">
        <v>0</v>
      </c>
      <c r="AX16" s="79">
        <v>0</v>
      </c>
      <c r="AY16" s="49"/>
      <c r="AZ16" s="84"/>
      <c r="BA16" s="81">
        <v>0</v>
      </c>
      <c r="BB16" s="79">
        <v>0</v>
      </c>
      <c r="BC16" s="49"/>
      <c r="BD16" s="84"/>
      <c r="BE16" s="81">
        <v>0</v>
      </c>
      <c r="BF16" s="79">
        <v>0</v>
      </c>
      <c r="BG16" s="49"/>
      <c r="BH16" s="84"/>
      <c r="BI16" s="81">
        <v>0</v>
      </c>
      <c r="BJ16" s="79">
        <v>0</v>
      </c>
      <c r="BK16" s="49"/>
      <c r="BL16" s="84"/>
      <c r="BM16" s="81">
        <v>0</v>
      </c>
      <c r="BN16" s="79">
        <v>0</v>
      </c>
      <c r="BO16" s="49"/>
      <c r="BP16" s="84"/>
      <c r="BQ16" s="81">
        <v>0</v>
      </c>
      <c r="BR16" s="79">
        <v>0</v>
      </c>
      <c r="BS16" s="49"/>
      <c r="BT16" s="84"/>
      <c r="BU16" s="81">
        <f t="shared" si="11"/>
        <v>0</v>
      </c>
      <c r="BV16" s="79">
        <f t="shared" si="12"/>
        <v>0</v>
      </c>
      <c r="BW16" s="48"/>
      <c r="BX16" s="84"/>
      <c r="BY16" s="81">
        <f t="shared" si="13"/>
        <v>0</v>
      </c>
      <c r="BZ16" s="79">
        <f t="shared" si="14"/>
        <v>0</v>
      </c>
      <c r="CA16" s="48">
        <v>1920</v>
      </c>
      <c r="CB16" s="84"/>
      <c r="CC16" s="81">
        <v>0</v>
      </c>
      <c r="CD16" s="79">
        <v>0</v>
      </c>
      <c r="CE16" s="49"/>
      <c r="CF16" s="84"/>
      <c r="CG16" s="81">
        <f t="shared" si="15"/>
        <v>0</v>
      </c>
      <c r="CH16" s="79">
        <f t="shared" si="16"/>
        <v>0</v>
      </c>
      <c r="CI16" s="33"/>
      <c r="CJ16" s="84"/>
      <c r="CK16" s="81">
        <f t="shared" si="17"/>
        <v>0</v>
      </c>
      <c r="CL16" s="79">
        <f t="shared" si="18"/>
        <v>0</v>
      </c>
      <c r="CM16" s="34"/>
      <c r="CN16" s="34"/>
      <c r="CO16" s="34"/>
      <c r="CP16" s="34"/>
      <c r="CQ16" s="50">
        <f t="shared" si="19"/>
        <v>1</v>
      </c>
      <c r="CR16" s="77">
        <f t="shared" si="20"/>
        <v>0</v>
      </c>
      <c r="CS16" s="28"/>
    </row>
    <row r="17" spans="1:97" s="1" customFormat="1">
      <c r="A17" s="30" t="s">
        <v>126</v>
      </c>
      <c r="B17" s="47"/>
      <c r="C17" s="63" t="s">
        <v>120</v>
      </c>
      <c r="D17" s="32"/>
      <c r="E17" s="32"/>
      <c r="F17" s="87"/>
      <c r="G17" s="52">
        <v>1920</v>
      </c>
      <c r="H17" s="84"/>
      <c r="I17" s="80">
        <f t="shared" si="21"/>
        <v>0</v>
      </c>
      <c r="J17" s="79">
        <f t="shared" si="22"/>
        <v>0</v>
      </c>
      <c r="K17" s="49"/>
      <c r="L17" s="84"/>
      <c r="M17" s="81">
        <f t="shared" si="0"/>
        <v>0</v>
      </c>
      <c r="N17" s="79">
        <f t="shared" si="1"/>
        <v>0</v>
      </c>
      <c r="O17" s="48"/>
      <c r="P17" s="84"/>
      <c r="Q17" s="81">
        <f t="shared" si="2"/>
        <v>0</v>
      </c>
      <c r="R17" s="79">
        <f t="shared" si="3"/>
        <v>0</v>
      </c>
      <c r="S17" s="49"/>
      <c r="T17" s="84"/>
      <c r="U17" s="81">
        <v>0</v>
      </c>
      <c r="V17" s="79">
        <v>0</v>
      </c>
      <c r="W17" s="49"/>
      <c r="X17" s="84"/>
      <c r="Y17" s="81">
        <v>0</v>
      </c>
      <c r="Z17" s="79">
        <v>0</v>
      </c>
      <c r="AA17" s="49"/>
      <c r="AB17" s="84"/>
      <c r="AC17" s="81">
        <v>0</v>
      </c>
      <c r="AD17" s="79">
        <v>0</v>
      </c>
      <c r="AE17" s="49"/>
      <c r="AF17" s="84"/>
      <c r="AG17" s="81">
        <f t="shared" si="23"/>
        <v>0</v>
      </c>
      <c r="AH17" s="79">
        <f t="shared" si="4"/>
        <v>0</v>
      </c>
      <c r="AI17" s="48">
        <v>1920</v>
      </c>
      <c r="AJ17" s="84"/>
      <c r="AK17" s="81">
        <f t="shared" si="5"/>
        <v>0</v>
      </c>
      <c r="AL17" s="79">
        <f t="shared" si="6"/>
        <v>0</v>
      </c>
      <c r="AM17" s="48"/>
      <c r="AN17" s="84"/>
      <c r="AO17" s="81">
        <f t="shared" si="7"/>
        <v>0</v>
      </c>
      <c r="AP17" s="79">
        <f t="shared" si="8"/>
        <v>0</v>
      </c>
      <c r="AQ17" s="48"/>
      <c r="AR17" s="84"/>
      <c r="AS17" s="81">
        <f t="shared" si="9"/>
        <v>0</v>
      </c>
      <c r="AT17" s="79">
        <f t="shared" si="10"/>
        <v>0</v>
      </c>
      <c r="AU17" s="49"/>
      <c r="AV17" s="84"/>
      <c r="AW17" s="81">
        <v>0</v>
      </c>
      <c r="AX17" s="79">
        <v>0</v>
      </c>
      <c r="AY17" s="49"/>
      <c r="AZ17" s="84"/>
      <c r="BA17" s="81">
        <v>0</v>
      </c>
      <c r="BB17" s="79">
        <v>0</v>
      </c>
      <c r="BC17" s="49"/>
      <c r="BD17" s="84"/>
      <c r="BE17" s="81">
        <v>0</v>
      </c>
      <c r="BF17" s="79">
        <v>0</v>
      </c>
      <c r="BG17" s="49"/>
      <c r="BH17" s="84"/>
      <c r="BI17" s="81">
        <v>0</v>
      </c>
      <c r="BJ17" s="79">
        <v>0</v>
      </c>
      <c r="BK17" s="49"/>
      <c r="BL17" s="84"/>
      <c r="BM17" s="81">
        <v>0</v>
      </c>
      <c r="BN17" s="79">
        <v>0</v>
      </c>
      <c r="BO17" s="49"/>
      <c r="BP17" s="84"/>
      <c r="BQ17" s="81">
        <v>0</v>
      </c>
      <c r="BR17" s="79">
        <v>0</v>
      </c>
      <c r="BS17" s="49"/>
      <c r="BT17" s="84"/>
      <c r="BU17" s="81">
        <f t="shared" si="11"/>
        <v>0</v>
      </c>
      <c r="BV17" s="79">
        <f t="shared" si="12"/>
        <v>0</v>
      </c>
      <c r="BW17" s="48"/>
      <c r="BX17" s="84"/>
      <c r="BY17" s="81">
        <f t="shared" si="13"/>
        <v>0</v>
      </c>
      <c r="BZ17" s="79">
        <f t="shared" si="14"/>
        <v>0</v>
      </c>
      <c r="CA17" s="48"/>
      <c r="CB17" s="84"/>
      <c r="CC17" s="81">
        <v>0</v>
      </c>
      <c r="CD17" s="79">
        <v>0</v>
      </c>
      <c r="CE17" s="49"/>
      <c r="CF17" s="84"/>
      <c r="CG17" s="81">
        <f t="shared" si="15"/>
        <v>0</v>
      </c>
      <c r="CH17" s="79">
        <f t="shared" si="16"/>
        <v>0</v>
      </c>
      <c r="CI17" s="33"/>
      <c r="CJ17" s="84"/>
      <c r="CK17" s="81">
        <f t="shared" si="17"/>
        <v>0</v>
      </c>
      <c r="CL17" s="79">
        <f t="shared" si="18"/>
        <v>0</v>
      </c>
      <c r="CM17" s="34"/>
      <c r="CN17" s="34"/>
      <c r="CO17" s="34"/>
      <c r="CP17" s="34"/>
      <c r="CQ17" s="50">
        <f t="shared" si="19"/>
        <v>1</v>
      </c>
      <c r="CR17" s="77">
        <f t="shared" si="20"/>
        <v>0</v>
      </c>
      <c r="CS17" s="28"/>
    </row>
    <row r="18" spans="1:97" s="1" customFormat="1">
      <c r="A18" s="30" t="s">
        <v>126</v>
      </c>
      <c r="B18" s="47"/>
      <c r="C18" s="31" t="s">
        <v>121</v>
      </c>
      <c r="D18" s="32"/>
      <c r="E18" s="32"/>
      <c r="F18" s="87"/>
      <c r="G18" s="48">
        <v>5760</v>
      </c>
      <c r="H18" s="84"/>
      <c r="I18" s="80">
        <f t="shared" si="21"/>
        <v>0</v>
      </c>
      <c r="J18" s="79">
        <f t="shared" si="22"/>
        <v>0</v>
      </c>
      <c r="K18" s="49"/>
      <c r="L18" s="84"/>
      <c r="M18" s="81">
        <f t="shared" si="0"/>
        <v>0</v>
      </c>
      <c r="N18" s="79">
        <f t="shared" si="1"/>
        <v>0</v>
      </c>
      <c r="O18" s="48"/>
      <c r="P18" s="84"/>
      <c r="Q18" s="81">
        <f t="shared" si="2"/>
        <v>0</v>
      </c>
      <c r="R18" s="79">
        <f t="shared" si="3"/>
        <v>0</v>
      </c>
      <c r="S18" s="49"/>
      <c r="T18" s="84"/>
      <c r="U18" s="81">
        <v>0</v>
      </c>
      <c r="V18" s="79">
        <v>0</v>
      </c>
      <c r="W18" s="49"/>
      <c r="X18" s="84"/>
      <c r="Y18" s="81">
        <v>0</v>
      </c>
      <c r="Z18" s="79">
        <v>0</v>
      </c>
      <c r="AA18" s="49"/>
      <c r="AB18" s="84"/>
      <c r="AC18" s="81">
        <v>0</v>
      </c>
      <c r="AD18" s="79">
        <v>0</v>
      </c>
      <c r="AE18" s="49"/>
      <c r="AF18" s="84"/>
      <c r="AG18" s="81">
        <f t="shared" si="23"/>
        <v>0</v>
      </c>
      <c r="AH18" s="79">
        <f t="shared" si="4"/>
        <v>0</v>
      </c>
      <c r="AI18" s="48"/>
      <c r="AJ18" s="84"/>
      <c r="AK18" s="81">
        <f t="shared" si="5"/>
        <v>0</v>
      </c>
      <c r="AL18" s="79">
        <f t="shared" si="6"/>
        <v>0</v>
      </c>
      <c r="AM18" s="48"/>
      <c r="AN18" s="84"/>
      <c r="AO18" s="81">
        <f t="shared" si="7"/>
        <v>0</v>
      </c>
      <c r="AP18" s="79">
        <f t="shared" si="8"/>
        <v>0</v>
      </c>
      <c r="AQ18" s="48"/>
      <c r="AR18" s="84"/>
      <c r="AS18" s="81">
        <f t="shared" si="9"/>
        <v>0</v>
      </c>
      <c r="AT18" s="79">
        <f t="shared" si="10"/>
        <v>0</v>
      </c>
      <c r="AU18" s="49"/>
      <c r="AV18" s="84"/>
      <c r="AW18" s="81">
        <v>0</v>
      </c>
      <c r="AX18" s="79">
        <v>0</v>
      </c>
      <c r="AY18" s="49"/>
      <c r="AZ18" s="84"/>
      <c r="BA18" s="81">
        <v>0</v>
      </c>
      <c r="BB18" s="79">
        <v>0</v>
      </c>
      <c r="BC18" s="49"/>
      <c r="BD18" s="84"/>
      <c r="BE18" s="81">
        <v>0</v>
      </c>
      <c r="BF18" s="79">
        <v>0</v>
      </c>
      <c r="BG18" s="49"/>
      <c r="BH18" s="84"/>
      <c r="BI18" s="81">
        <v>0</v>
      </c>
      <c r="BJ18" s="79">
        <v>0</v>
      </c>
      <c r="BK18" s="49"/>
      <c r="BL18" s="84"/>
      <c r="BM18" s="81">
        <v>0</v>
      </c>
      <c r="BN18" s="79">
        <v>0</v>
      </c>
      <c r="BO18" s="49"/>
      <c r="BP18" s="84"/>
      <c r="BQ18" s="81">
        <v>0</v>
      </c>
      <c r="BR18" s="79">
        <v>0</v>
      </c>
      <c r="BS18" s="49"/>
      <c r="BT18" s="84"/>
      <c r="BU18" s="81">
        <f t="shared" si="11"/>
        <v>0</v>
      </c>
      <c r="BV18" s="79">
        <f t="shared" si="12"/>
        <v>0</v>
      </c>
      <c r="BW18" s="48"/>
      <c r="BX18" s="84"/>
      <c r="BY18" s="81">
        <f t="shared" si="13"/>
        <v>0</v>
      </c>
      <c r="BZ18" s="79">
        <f t="shared" si="14"/>
        <v>0</v>
      </c>
      <c r="CA18" s="48"/>
      <c r="CB18" s="84"/>
      <c r="CC18" s="81">
        <v>0</v>
      </c>
      <c r="CD18" s="79">
        <v>0</v>
      </c>
      <c r="CE18" s="49"/>
      <c r="CF18" s="84"/>
      <c r="CG18" s="81">
        <f t="shared" si="15"/>
        <v>0</v>
      </c>
      <c r="CH18" s="79">
        <f t="shared" si="16"/>
        <v>0</v>
      </c>
      <c r="CI18" s="33"/>
      <c r="CJ18" s="84"/>
      <c r="CK18" s="81">
        <f t="shared" si="17"/>
        <v>0</v>
      </c>
      <c r="CL18" s="79">
        <f t="shared" si="18"/>
        <v>0</v>
      </c>
      <c r="CM18" s="34"/>
      <c r="CN18" s="34"/>
      <c r="CO18" s="34"/>
      <c r="CP18" s="34"/>
      <c r="CQ18" s="50">
        <f t="shared" si="19"/>
        <v>1</v>
      </c>
      <c r="CR18" s="77">
        <f t="shared" si="20"/>
        <v>0</v>
      </c>
      <c r="CS18" s="28"/>
    </row>
    <row r="19" spans="1:97" s="1" customFormat="1">
      <c r="A19" s="30" t="s">
        <v>126</v>
      </c>
      <c r="B19" s="47"/>
      <c r="C19" s="31" t="s">
        <v>123</v>
      </c>
      <c r="D19" s="32"/>
      <c r="E19" s="32"/>
      <c r="F19" s="87"/>
      <c r="G19" s="48">
        <v>21120</v>
      </c>
      <c r="H19" s="84"/>
      <c r="I19" s="80">
        <f t="shared" si="21"/>
        <v>0</v>
      </c>
      <c r="J19" s="79">
        <f t="shared" si="22"/>
        <v>0</v>
      </c>
      <c r="K19" s="49"/>
      <c r="L19" s="84"/>
      <c r="M19" s="81">
        <f t="shared" si="0"/>
        <v>0</v>
      </c>
      <c r="N19" s="79">
        <f t="shared" si="1"/>
        <v>0</v>
      </c>
      <c r="O19" s="48"/>
      <c r="P19" s="84"/>
      <c r="Q19" s="81">
        <f t="shared" si="2"/>
        <v>0</v>
      </c>
      <c r="R19" s="79">
        <f t="shared" si="3"/>
        <v>0</v>
      </c>
      <c r="S19" s="49"/>
      <c r="T19" s="84"/>
      <c r="U19" s="81">
        <v>0</v>
      </c>
      <c r="V19" s="79">
        <v>0</v>
      </c>
      <c r="W19" s="49"/>
      <c r="X19" s="84"/>
      <c r="Y19" s="81">
        <v>0</v>
      </c>
      <c r="Z19" s="79">
        <v>0</v>
      </c>
      <c r="AA19" s="49"/>
      <c r="AB19" s="84"/>
      <c r="AC19" s="81">
        <v>0</v>
      </c>
      <c r="AD19" s="79">
        <v>0</v>
      </c>
      <c r="AE19" s="49"/>
      <c r="AF19" s="84"/>
      <c r="AG19" s="81">
        <f t="shared" si="23"/>
        <v>0</v>
      </c>
      <c r="AH19" s="79">
        <f t="shared" si="4"/>
        <v>0</v>
      </c>
      <c r="AI19" s="48"/>
      <c r="AJ19" s="84"/>
      <c r="AK19" s="81">
        <f t="shared" si="5"/>
        <v>0</v>
      </c>
      <c r="AL19" s="79">
        <f t="shared" si="6"/>
        <v>0</v>
      </c>
      <c r="AM19" s="48"/>
      <c r="AN19" s="84"/>
      <c r="AO19" s="81">
        <f t="shared" si="7"/>
        <v>0</v>
      </c>
      <c r="AP19" s="79">
        <f t="shared" si="8"/>
        <v>0</v>
      </c>
      <c r="AQ19" s="48"/>
      <c r="AR19" s="84"/>
      <c r="AS19" s="81">
        <f t="shared" si="9"/>
        <v>0</v>
      </c>
      <c r="AT19" s="79">
        <f t="shared" si="10"/>
        <v>0</v>
      </c>
      <c r="AU19" s="49"/>
      <c r="AV19" s="84"/>
      <c r="AW19" s="81">
        <v>0</v>
      </c>
      <c r="AX19" s="79">
        <v>0</v>
      </c>
      <c r="AY19" s="49"/>
      <c r="AZ19" s="84"/>
      <c r="BA19" s="81">
        <v>0</v>
      </c>
      <c r="BB19" s="79">
        <v>0</v>
      </c>
      <c r="BC19" s="49"/>
      <c r="BD19" s="84"/>
      <c r="BE19" s="81">
        <v>0</v>
      </c>
      <c r="BF19" s="79">
        <v>0</v>
      </c>
      <c r="BG19" s="49"/>
      <c r="BH19" s="84"/>
      <c r="BI19" s="81">
        <v>0</v>
      </c>
      <c r="BJ19" s="79">
        <v>0</v>
      </c>
      <c r="BK19" s="49"/>
      <c r="BL19" s="84"/>
      <c r="BM19" s="81">
        <v>0</v>
      </c>
      <c r="BN19" s="79">
        <v>0</v>
      </c>
      <c r="BO19" s="49"/>
      <c r="BP19" s="84"/>
      <c r="BQ19" s="81">
        <v>0</v>
      </c>
      <c r="BR19" s="79">
        <v>0</v>
      </c>
      <c r="BS19" s="49"/>
      <c r="BT19" s="84"/>
      <c r="BU19" s="81">
        <f t="shared" si="11"/>
        <v>0</v>
      </c>
      <c r="BV19" s="79">
        <f t="shared" si="12"/>
        <v>0</v>
      </c>
      <c r="BW19" s="48"/>
      <c r="BX19" s="84"/>
      <c r="BY19" s="81">
        <f t="shared" si="13"/>
        <v>0</v>
      </c>
      <c r="BZ19" s="79">
        <f t="shared" si="14"/>
        <v>0</v>
      </c>
      <c r="CA19" s="48"/>
      <c r="CB19" s="84"/>
      <c r="CC19" s="81">
        <v>0</v>
      </c>
      <c r="CD19" s="79">
        <v>0</v>
      </c>
      <c r="CE19" s="49"/>
      <c r="CF19" s="84"/>
      <c r="CG19" s="81">
        <f t="shared" si="15"/>
        <v>0</v>
      </c>
      <c r="CH19" s="79">
        <f t="shared" si="16"/>
        <v>0</v>
      </c>
      <c r="CI19" s="33"/>
      <c r="CJ19" s="84"/>
      <c r="CK19" s="81">
        <f t="shared" si="17"/>
        <v>0</v>
      </c>
      <c r="CL19" s="79">
        <f t="shared" si="18"/>
        <v>0</v>
      </c>
      <c r="CM19" s="34"/>
      <c r="CN19" s="34"/>
      <c r="CO19" s="34"/>
      <c r="CP19" s="53"/>
      <c r="CQ19" s="50">
        <f t="shared" si="19"/>
        <v>1</v>
      </c>
      <c r="CR19" s="77">
        <f t="shared" si="20"/>
        <v>0</v>
      </c>
      <c r="CS19" s="28"/>
    </row>
    <row r="20" spans="1:97" s="1" customFormat="1">
      <c r="A20" s="30" t="s">
        <v>127</v>
      </c>
      <c r="B20" s="47"/>
      <c r="C20" s="31" t="s">
        <v>128</v>
      </c>
      <c r="D20" s="32"/>
      <c r="E20" s="32"/>
      <c r="F20" s="87"/>
      <c r="G20" s="48"/>
      <c r="H20" s="84"/>
      <c r="I20" s="80">
        <f t="shared" si="21"/>
        <v>0</v>
      </c>
      <c r="J20" s="79">
        <f t="shared" si="22"/>
        <v>0</v>
      </c>
      <c r="K20" s="49"/>
      <c r="L20" s="84"/>
      <c r="M20" s="81">
        <f t="shared" si="0"/>
        <v>0</v>
      </c>
      <c r="N20" s="79">
        <f t="shared" si="1"/>
        <v>0</v>
      </c>
      <c r="O20" s="48">
        <v>11520</v>
      </c>
      <c r="P20" s="84"/>
      <c r="Q20" s="81">
        <f t="shared" si="2"/>
        <v>0</v>
      </c>
      <c r="R20" s="79">
        <f t="shared" si="3"/>
        <v>0</v>
      </c>
      <c r="S20" s="49"/>
      <c r="T20" s="84"/>
      <c r="U20" s="81">
        <v>0</v>
      </c>
      <c r="V20" s="79">
        <v>0</v>
      </c>
      <c r="W20" s="49"/>
      <c r="X20" s="84"/>
      <c r="Y20" s="81">
        <v>0</v>
      </c>
      <c r="Z20" s="79">
        <v>0</v>
      </c>
      <c r="AA20" s="49"/>
      <c r="AB20" s="84"/>
      <c r="AC20" s="81">
        <v>0</v>
      </c>
      <c r="AD20" s="79">
        <v>0</v>
      </c>
      <c r="AE20" s="49"/>
      <c r="AF20" s="84"/>
      <c r="AG20" s="81">
        <f t="shared" si="23"/>
        <v>0</v>
      </c>
      <c r="AH20" s="79">
        <f t="shared" si="4"/>
        <v>0</v>
      </c>
      <c r="AI20" s="48"/>
      <c r="AJ20" s="84"/>
      <c r="AK20" s="81">
        <f t="shared" si="5"/>
        <v>0</v>
      </c>
      <c r="AL20" s="79">
        <f t="shared" si="6"/>
        <v>0</v>
      </c>
      <c r="AM20" s="48"/>
      <c r="AN20" s="84"/>
      <c r="AO20" s="81">
        <f t="shared" si="7"/>
        <v>0</v>
      </c>
      <c r="AP20" s="79">
        <f t="shared" si="8"/>
        <v>0</v>
      </c>
      <c r="AQ20" s="48"/>
      <c r="AR20" s="84"/>
      <c r="AS20" s="81">
        <f t="shared" si="9"/>
        <v>0</v>
      </c>
      <c r="AT20" s="79">
        <f t="shared" si="10"/>
        <v>0</v>
      </c>
      <c r="AU20" s="49"/>
      <c r="AV20" s="84"/>
      <c r="AW20" s="81">
        <v>0</v>
      </c>
      <c r="AX20" s="79">
        <v>0</v>
      </c>
      <c r="AY20" s="49"/>
      <c r="AZ20" s="84"/>
      <c r="BA20" s="81">
        <v>0</v>
      </c>
      <c r="BB20" s="79">
        <v>0</v>
      </c>
      <c r="BC20" s="49"/>
      <c r="BD20" s="84"/>
      <c r="BE20" s="81">
        <v>0</v>
      </c>
      <c r="BF20" s="79">
        <v>0</v>
      </c>
      <c r="BG20" s="49"/>
      <c r="BH20" s="84"/>
      <c r="BI20" s="81">
        <v>0</v>
      </c>
      <c r="BJ20" s="79">
        <v>0</v>
      </c>
      <c r="BK20" s="49"/>
      <c r="BL20" s="84"/>
      <c r="BM20" s="81">
        <v>0</v>
      </c>
      <c r="BN20" s="79">
        <v>0</v>
      </c>
      <c r="BO20" s="49"/>
      <c r="BP20" s="84"/>
      <c r="BQ20" s="81">
        <v>0</v>
      </c>
      <c r="BR20" s="79">
        <v>0</v>
      </c>
      <c r="BS20" s="49"/>
      <c r="BT20" s="84"/>
      <c r="BU20" s="81">
        <f t="shared" si="11"/>
        <v>0</v>
      </c>
      <c r="BV20" s="79">
        <f t="shared" si="12"/>
        <v>0</v>
      </c>
      <c r="BW20" s="48"/>
      <c r="BX20" s="84"/>
      <c r="BY20" s="81">
        <f t="shared" si="13"/>
        <v>0</v>
      </c>
      <c r="BZ20" s="79">
        <f t="shared" si="14"/>
        <v>0</v>
      </c>
      <c r="CA20" s="48"/>
      <c r="CB20" s="84"/>
      <c r="CC20" s="81">
        <v>0</v>
      </c>
      <c r="CD20" s="79">
        <v>0</v>
      </c>
      <c r="CE20" s="49"/>
      <c r="CF20" s="84"/>
      <c r="CG20" s="81">
        <f t="shared" si="15"/>
        <v>0</v>
      </c>
      <c r="CH20" s="79">
        <f t="shared" si="16"/>
        <v>0</v>
      </c>
      <c r="CI20" s="33"/>
      <c r="CJ20" s="84"/>
      <c r="CK20" s="81">
        <f t="shared" si="17"/>
        <v>0</v>
      </c>
      <c r="CL20" s="79">
        <f t="shared" si="18"/>
        <v>0</v>
      </c>
      <c r="CM20" s="34"/>
      <c r="CN20" s="34"/>
      <c r="CO20" s="34"/>
      <c r="CP20" s="34"/>
      <c r="CQ20" s="50">
        <f t="shared" si="19"/>
        <v>1</v>
      </c>
      <c r="CR20" s="77">
        <f t="shared" si="20"/>
        <v>0</v>
      </c>
      <c r="CS20" s="28"/>
    </row>
    <row r="21" spans="1:97" s="1" customFormat="1">
      <c r="A21" s="30" t="s">
        <v>127</v>
      </c>
      <c r="B21" s="47"/>
      <c r="C21" s="31" t="s">
        <v>123</v>
      </c>
      <c r="D21" s="32"/>
      <c r="E21" s="32"/>
      <c r="F21" s="87"/>
      <c r="G21" s="48"/>
      <c r="H21" s="84"/>
      <c r="I21" s="80">
        <f t="shared" si="21"/>
        <v>0</v>
      </c>
      <c r="J21" s="79">
        <f t="shared" si="22"/>
        <v>0</v>
      </c>
      <c r="K21" s="49"/>
      <c r="L21" s="84"/>
      <c r="M21" s="81">
        <f t="shared" si="0"/>
        <v>0</v>
      </c>
      <c r="N21" s="79">
        <f t="shared" si="1"/>
        <v>0</v>
      </c>
      <c r="O21" s="48"/>
      <c r="P21" s="84"/>
      <c r="Q21" s="81">
        <f t="shared" si="2"/>
        <v>0</v>
      </c>
      <c r="R21" s="79">
        <f t="shared" si="3"/>
        <v>0</v>
      </c>
      <c r="S21" s="49"/>
      <c r="T21" s="84"/>
      <c r="U21" s="81">
        <v>0</v>
      </c>
      <c r="V21" s="79">
        <v>0</v>
      </c>
      <c r="W21" s="49"/>
      <c r="X21" s="84"/>
      <c r="Y21" s="81">
        <v>0</v>
      </c>
      <c r="Z21" s="79">
        <v>0</v>
      </c>
      <c r="AA21" s="49"/>
      <c r="AB21" s="84"/>
      <c r="AC21" s="81">
        <v>0</v>
      </c>
      <c r="AD21" s="79">
        <v>0</v>
      </c>
      <c r="AE21" s="49"/>
      <c r="AF21" s="84"/>
      <c r="AG21" s="81">
        <f t="shared" si="23"/>
        <v>0</v>
      </c>
      <c r="AH21" s="79">
        <f t="shared" si="4"/>
        <v>0</v>
      </c>
      <c r="AI21" s="48"/>
      <c r="AJ21" s="84"/>
      <c r="AK21" s="81">
        <f t="shared" si="5"/>
        <v>0</v>
      </c>
      <c r="AL21" s="79">
        <f t="shared" si="6"/>
        <v>0</v>
      </c>
      <c r="AM21" s="48"/>
      <c r="AN21" s="84"/>
      <c r="AO21" s="81">
        <f t="shared" si="7"/>
        <v>0</v>
      </c>
      <c r="AP21" s="79">
        <f t="shared" si="8"/>
        <v>0</v>
      </c>
      <c r="AQ21" s="48"/>
      <c r="AR21" s="84"/>
      <c r="AS21" s="81">
        <f t="shared" si="9"/>
        <v>0</v>
      </c>
      <c r="AT21" s="79">
        <f t="shared" si="10"/>
        <v>0</v>
      </c>
      <c r="AU21" s="49"/>
      <c r="AV21" s="84"/>
      <c r="AW21" s="81">
        <v>0</v>
      </c>
      <c r="AX21" s="79">
        <v>0</v>
      </c>
      <c r="AY21" s="49"/>
      <c r="AZ21" s="84"/>
      <c r="BA21" s="81">
        <v>0</v>
      </c>
      <c r="BB21" s="79">
        <v>0</v>
      </c>
      <c r="BC21" s="49"/>
      <c r="BD21" s="84"/>
      <c r="BE21" s="81">
        <v>0</v>
      </c>
      <c r="BF21" s="79">
        <v>0</v>
      </c>
      <c r="BG21" s="49"/>
      <c r="BH21" s="84"/>
      <c r="BI21" s="81">
        <v>0</v>
      </c>
      <c r="BJ21" s="79">
        <v>0</v>
      </c>
      <c r="BK21" s="49"/>
      <c r="BL21" s="84"/>
      <c r="BM21" s="81">
        <v>0</v>
      </c>
      <c r="BN21" s="79">
        <v>0</v>
      </c>
      <c r="BO21" s="49"/>
      <c r="BP21" s="84"/>
      <c r="BQ21" s="81">
        <v>0</v>
      </c>
      <c r="BR21" s="79">
        <v>0</v>
      </c>
      <c r="BS21" s="49"/>
      <c r="BT21" s="84"/>
      <c r="BU21" s="81">
        <f t="shared" si="11"/>
        <v>0</v>
      </c>
      <c r="BV21" s="79">
        <f t="shared" si="12"/>
        <v>0</v>
      </c>
      <c r="BW21" s="48"/>
      <c r="BX21" s="84"/>
      <c r="BY21" s="81">
        <f t="shared" si="13"/>
        <v>0</v>
      </c>
      <c r="BZ21" s="79">
        <f t="shared" si="14"/>
        <v>0</v>
      </c>
      <c r="CA21" s="48"/>
      <c r="CB21" s="84"/>
      <c r="CC21" s="81">
        <v>0</v>
      </c>
      <c r="CD21" s="79">
        <v>0</v>
      </c>
      <c r="CE21" s="49"/>
      <c r="CF21" s="84"/>
      <c r="CG21" s="81">
        <f t="shared" si="15"/>
        <v>0</v>
      </c>
      <c r="CH21" s="79">
        <f t="shared" si="16"/>
        <v>0</v>
      </c>
      <c r="CI21" s="33"/>
      <c r="CJ21" s="84"/>
      <c r="CK21" s="81">
        <f t="shared" si="17"/>
        <v>0</v>
      </c>
      <c r="CL21" s="79">
        <f t="shared" si="18"/>
        <v>0</v>
      </c>
      <c r="CM21" s="34"/>
      <c r="CN21" s="34"/>
      <c r="CO21" s="34"/>
      <c r="CP21" s="34"/>
      <c r="CQ21" s="50">
        <f t="shared" si="19"/>
        <v>1</v>
      </c>
      <c r="CR21" s="77">
        <f t="shared" si="20"/>
        <v>0</v>
      </c>
      <c r="CS21" s="28"/>
    </row>
    <row r="22" spans="1:97" s="1" customFormat="1">
      <c r="A22" s="30" t="s">
        <v>129</v>
      </c>
      <c r="B22" s="47"/>
      <c r="C22" s="31" t="s">
        <v>123</v>
      </c>
      <c r="D22" s="32"/>
      <c r="E22" s="32"/>
      <c r="F22" s="87"/>
      <c r="G22" s="48"/>
      <c r="H22" s="84"/>
      <c r="I22" s="80">
        <f t="shared" si="21"/>
        <v>0</v>
      </c>
      <c r="J22" s="79">
        <f t="shared" si="22"/>
        <v>0</v>
      </c>
      <c r="K22" s="49"/>
      <c r="L22" s="84"/>
      <c r="M22" s="81">
        <f t="shared" si="0"/>
        <v>0</v>
      </c>
      <c r="N22" s="79">
        <f t="shared" si="1"/>
        <v>0</v>
      </c>
      <c r="O22" s="48"/>
      <c r="P22" s="84"/>
      <c r="Q22" s="81">
        <f t="shared" si="2"/>
        <v>0</v>
      </c>
      <c r="R22" s="79">
        <f t="shared" si="3"/>
        <v>0</v>
      </c>
      <c r="S22" s="49"/>
      <c r="T22" s="84"/>
      <c r="U22" s="81">
        <v>0</v>
      </c>
      <c r="V22" s="79">
        <v>0</v>
      </c>
      <c r="W22" s="49"/>
      <c r="X22" s="84"/>
      <c r="Y22" s="81">
        <v>0</v>
      </c>
      <c r="Z22" s="79">
        <v>0</v>
      </c>
      <c r="AA22" s="49"/>
      <c r="AB22" s="84"/>
      <c r="AC22" s="81">
        <v>0</v>
      </c>
      <c r="AD22" s="79">
        <v>0</v>
      </c>
      <c r="AE22" s="49"/>
      <c r="AF22" s="84"/>
      <c r="AG22" s="81">
        <f t="shared" si="23"/>
        <v>0</v>
      </c>
      <c r="AH22" s="79">
        <f t="shared" si="4"/>
        <v>0</v>
      </c>
      <c r="AI22" s="48">
        <v>1920</v>
      </c>
      <c r="AJ22" s="84"/>
      <c r="AK22" s="81">
        <f t="shared" si="5"/>
        <v>0</v>
      </c>
      <c r="AL22" s="79">
        <f t="shared" si="6"/>
        <v>0</v>
      </c>
      <c r="AM22" s="48"/>
      <c r="AN22" s="84"/>
      <c r="AO22" s="81">
        <f t="shared" si="7"/>
        <v>0</v>
      </c>
      <c r="AP22" s="79">
        <f t="shared" si="8"/>
        <v>0</v>
      </c>
      <c r="AQ22" s="48"/>
      <c r="AR22" s="84"/>
      <c r="AS22" s="81">
        <f t="shared" si="9"/>
        <v>0</v>
      </c>
      <c r="AT22" s="79">
        <f t="shared" si="10"/>
        <v>0</v>
      </c>
      <c r="AU22" s="49"/>
      <c r="AV22" s="84"/>
      <c r="AW22" s="81">
        <v>0</v>
      </c>
      <c r="AX22" s="79">
        <v>0</v>
      </c>
      <c r="AY22" s="49"/>
      <c r="AZ22" s="84"/>
      <c r="BA22" s="81">
        <v>0</v>
      </c>
      <c r="BB22" s="79">
        <v>0</v>
      </c>
      <c r="BC22" s="49"/>
      <c r="BD22" s="84"/>
      <c r="BE22" s="81">
        <v>0</v>
      </c>
      <c r="BF22" s="79">
        <v>0</v>
      </c>
      <c r="BG22" s="49"/>
      <c r="BH22" s="84"/>
      <c r="BI22" s="81">
        <v>0</v>
      </c>
      <c r="BJ22" s="79">
        <v>0</v>
      </c>
      <c r="BK22" s="49"/>
      <c r="BL22" s="84"/>
      <c r="BM22" s="81">
        <v>0</v>
      </c>
      <c r="BN22" s="79">
        <v>0</v>
      </c>
      <c r="BO22" s="49"/>
      <c r="BP22" s="84"/>
      <c r="BQ22" s="81">
        <v>0</v>
      </c>
      <c r="BR22" s="79">
        <v>0</v>
      </c>
      <c r="BS22" s="49"/>
      <c r="BT22" s="84"/>
      <c r="BU22" s="81">
        <f t="shared" si="11"/>
        <v>0</v>
      </c>
      <c r="BV22" s="79">
        <f t="shared" si="12"/>
        <v>0</v>
      </c>
      <c r="BW22" s="48"/>
      <c r="BX22" s="84"/>
      <c r="BY22" s="81">
        <f t="shared" si="13"/>
        <v>0</v>
      </c>
      <c r="BZ22" s="79">
        <f t="shared" si="14"/>
        <v>0</v>
      </c>
      <c r="CA22" s="48"/>
      <c r="CB22" s="84"/>
      <c r="CC22" s="81">
        <v>0</v>
      </c>
      <c r="CD22" s="79">
        <v>0</v>
      </c>
      <c r="CE22" s="49"/>
      <c r="CF22" s="84"/>
      <c r="CG22" s="81">
        <f t="shared" si="15"/>
        <v>0</v>
      </c>
      <c r="CH22" s="79">
        <f t="shared" si="16"/>
        <v>0</v>
      </c>
      <c r="CI22" s="33"/>
      <c r="CJ22" s="84"/>
      <c r="CK22" s="81">
        <f t="shared" si="17"/>
        <v>0</v>
      </c>
      <c r="CL22" s="79">
        <f t="shared" si="18"/>
        <v>0</v>
      </c>
      <c r="CM22" s="34"/>
      <c r="CN22" s="34"/>
      <c r="CO22" s="34"/>
      <c r="CP22" s="34"/>
      <c r="CQ22" s="50">
        <f t="shared" si="19"/>
        <v>1</v>
      </c>
      <c r="CR22" s="77">
        <f t="shared" si="20"/>
        <v>0</v>
      </c>
      <c r="CS22" s="28"/>
    </row>
    <row r="23" spans="1:97" s="1" customFormat="1">
      <c r="A23" s="30" t="s">
        <v>130</v>
      </c>
      <c r="B23" s="47"/>
      <c r="C23" s="31" t="s">
        <v>123</v>
      </c>
      <c r="D23" s="32"/>
      <c r="E23" s="32"/>
      <c r="F23" s="87"/>
      <c r="G23" s="48"/>
      <c r="H23" s="84"/>
      <c r="I23" s="80">
        <f t="shared" si="21"/>
        <v>0</v>
      </c>
      <c r="J23" s="79">
        <f t="shared" si="22"/>
        <v>0</v>
      </c>
      <c r="K23" s="48">
        <v>1920</v>
      </c>
      <c r="L23" s="84"/>
      <c r="M23" s="81">
        <f t="shared" si="0"/>
        <v>0</v>
      </c>
      <c r="N23" s="79">
        <f t="shared" si="1"/>
        <v>0</v>
      </c>
      <c r="O23" s="48"/>
      <c r="P23" s="84"/>
      <c r="Q23" s="81">
        <f t="shared" si="2"/>
        <v>0</v>
      </c>
      <c r="R23" s="79">
        <f t="shared" si="3"/>
        <v>0</v>
      </c>
      <c r="S23" s="49"/>
      <c r="T23" s="84"/>
      <c r="U23" s="81">
        <v>0</v>
      </c>
      <c r="V23" s="79">
        <v>0</v>
      </c>
      <c r="W23" s="49"/>
      <c r="X23" s="84"/>
      <c r="Y23" s="81">
        <v>0</v>
      </c>
      <c r="Z23" s="79">
        <v>0</v>
      </c>
      <c r="AA23" s="49"/>
      <c r="AB23" s="84"/>
      <c r="AC23" s="81">
        <v>0</v>
      </c>
      <c r="AD23" s="79">
        <v>0</v>
      </c>
      <c r="AE23" s="49"/>
      <c r="AF23" s="84"/>
      <c r="AG23" s="81">
        <f t="shared" si="23"/>
        <v>0</v>
      </c>
      <c r="AH23" s="79">
        <f t="shared" si="4"/>
        <v>0</v>
      </c>
      <c r="AI23" s="48"/>
      <c r="AJ23" s="84"/>
      <c r="AK23" s="81">
        <f t="shared" si="5"/>
        <v>0</v>
      </c>
      <c r="AL23" s="79">
        <f t="shared" si="6"/>
        <v>0</v>
      </c>
      <c r="AM23" s="48"/>
      <c r="AN23" s="84"/>
      <c r="AO23" s="81">
        <f t="shared" si="7"/>
        <v>0</v>
      </c>
      <c r="AP23" s="79">
        <f t="shared" si="8"/>
        <v>0</v>
      </c>
      <c r="AQ23" s="48"/>
      <c r="AR23" s="84"/>
      <c r="AS23" s="81">
        <f t="shared" si="9"/>
        <v>0</v>
      </c>
      <c r="AT23" s="79">
        <f t="shared" si="10"/>
        <v>0</v>
      </c>
      <c r="AU23" s="49"/>
      <c r="AV23" s="84"/>
      <c r="AW23" s="81">
        <v>0</v>
      </c>
      <c r="AX23" s="79">
        <v>0</v>
      </c>
      <c r="AY23" s="49"/>
      <c r="AZ23" s="84"/>
      <c r="BA23" s="81">
        <v>0</v>
      </c>
      <c r="BB23" s="79">
        <v>0</v>
      </c>
      <c r="BC23" s="49"/>
      <c r="BD23" s="84"/>
      <c r="BE23" s="81">
        <v>0</v>
      </c>
      <c r="BF23" s="79">
        <v>0</v>
      </c>
      <c r="BG23" s="49"/>
      <c r="BH23" s="84"/>
      <c r="BI23" s="81">
        <v>0</v>
      </c>
      <c r="BJ23" s="79">
        <v>0</v>
      </c>
      <c r="BK23" s="49"/>
      <c r="BL23" s="84"/>
      <c r="BM23" s="81">
        <v>0</v>
      </c>
      <c r="BN23" s="79">
        <v>0</v>
      </c>
      <c r="BO23" s="49"/>
      <c r="BP23" s="84"/>
      <c r="BQ23" s="81">
        <v>0</v>
      </c>
      <c r="BR23" s="79">
        <v>0</v>
      </c>
      <c r="BS23" s="49"/>
      <c r="BT23" s="84"/>
      <c r="BU23" s="81">
        <f t="shared" si="11"/>
        <v>0</v>
      </c>
      <c r="BV23" s="79">
        <f t="shared" si="12"/>
        <v>0</v>
      </c>
      <c r="BW23" s="48"/>
      <c r="BX23" s="84"/>
      <c r="BY23" s="81">
        <f t="shared" si="13"/>
        <v>0</v>
      </c>
      <c r="BZ23" s="79">
        <f t="shared" si="14"/>
        <v>0</v>
      </c>
      <c r="CA23" s="48"/>
      <c r="CB23" s="84"/>
      <c r="CC23" s="81">
        <v>0</v>
      </c>
      <c r="CD23" s="79">
        <v>0</v>
      </c>
      <c r="CE23" s="49"/>
      <c r="CF23" s="84"/>
      <c r="CG23" s="81">
        <f t="shared" si="15"/>
        <v>0</v>
      </c>
      <c r="CH23" s="79">
        <f t="shared" si="16"/>
        <v>0</v>
      </c>
      <c r="CI23" s="33"/>
      <c r="CJ23" s="84"/>
      <c r="CK23" s="81">
        <f t="shared" si="17"/>
        <v>0</v>
      </c>
      <c r="CL23" s="79">
        <f t="shared" si="18"/>
        <v>0</v>
      </c>
      <c r="CM23" s="34"/>
      <c r="CN23" s="34"/>
      <c r="CO23" s="34"/>
      <c r="CP23" s="34"/>
      <c r="CQ23" s="50">
        <f t="shared" si="19"/>
        <v>1</v>
      </c>
      <c r="CR23" s="77">
        <f t="shared" si="20"/>
        <v>0</v>
      </c>
      <c r="CS23" s="28"/>
    </row>
    <row r="24" spans="1:97" s="1" customFormat="1">
      <c r="A24" s="30" t="s">
        <v>131</v>
      </c>
      <c r="B24" s="47"/>
      <c r="C24" s="31" t="s">
        <v>121</v>
      </c>
      <c r="D24" s="32"/>
      <c r="E24" s="32"/>
      <c r="F24" s="87"/>
      <c r="G24" s="48"/>
      <c r="H24" s="84"/>
      <c r="I24" s="80">
        <f t="shared" si="21"/>
        <v>0</v>
      </c>
      <c r="J24" s="79">
        <f t="shared" si="22"/>
        <v>0</v>
      </c>
      <c r="K24" s="49"/>
      <c r="L24" s="84"/>
      <c r="M24" s="81">
        <f t="shared" si="0"/>
        <v>0</v>
      </c>
      <c r="N24" s="79">
        <f t="shared" si="1"/>
        <v>0</v>
      </c>
      <c r="O24" s="48">
        <v>1920</v>
      </c>
      <c r="P24" s="84"/>
      <c r="Q24" s="81">
        <f t="shared" si="2"/>
        <v>0</v>
      </c>
      <c r="R24" s="79">
        <f t="shared" si="3"/>
        <v>0</v>
      </c>
      <c r="S24" s="49"/>
      <c r="T24" s="84"/>
      <c r="U24" s="81">
        <v>0</v>
      </c>
      <c r="V24" s="79">
        <v>0</v>
      </c>
      <c r="W24" s="49"/>
      <c r="X24" s="84"/>
      <c r="Y24" s="81">
        <v>0</v>
      </c>
      <c r="Z24" s="79">
        <v>0</v>
      </c>
      <c r="AA24" s="49"/>
      <c r="AB24" s="84"/>
      <c r="AC24" s="81">
        <v>0</v>
      </c>
      <c r="AD24" s="79">
        <v>0</v>
      </c>
      <c r="AE24" s="49"/>
      <c r="AF24" s="84"/>
      <c r="AG24" s="81">
        <f t="shared" si="23"/>
        <v>0</v>
      </c>
      <c r="AH24" s="79">
        <f t="shared" si="4"/>
        <v>0</v>
      </c>
      <c r="AI24" s="48"/>
      <c r="AJ24" s="84"/>
      <c r="AK24" s="81">
        <f t="shared" si="5"/>
        <v>0</v>
      </c>
      <c r="AL24" s="79">
        <f t="shared" si="6"/>
        <v>0</v>
      </c>
      <c r="AM24" s="48"/>
      <c r="AN24" s="84"/>
      <c r="AO24" s="81">
        <f t="shared" si="7"/>
        <v>0</v>
      </c>
      <c r="AP24" s="79">
        <f t="shared" si="8"/>
        <v>0</v>
      </c>
      <c r="AQ24" s="48"/>
      <c r="AR24" s="84"/>
      <c r="AS24" s="81">
        <f t="shared" si="9"/>
        <v>0</v>
      </c>
      <c r="AT24" s="79">
        <f t="shared" si="10"/>
        <v>0</v>
      </c>
      <c r="AU24" s="49"/>
      <c r="AV24" s="84"/>
      <c r="AW24" s="81">
        <v>0</v>
      </c>
      <c r="AX24" s="79">
        <v>0</v>
      </c>
      <c r="AY24" s="49"/>
      <c r="AZ24" s="84"/>
      <c r="BA24" s="81">
        <v>0</v>
      </c>
      <c r="BB24" s="79">
        <v>0</v>
      </c>
      <c r="BC24" s="49"/>
      <c r="BD24" s="84"/>
      <c r="BE24" s="81">
        <v>0</v>
      </c>
      <c r="BF24" s="79">
        <v>0</v>
      </c>
      <c r="BG24" s="49"/>
      <c r="BH24" s="84"/>
      <c r="BI24" s="81">
        <v>0</v>
      </c>
      <c r="BJ24" s="79">
        <v>0</v>
      </c>
      <c r="BK24" s="49"/>
      <c r="BL24" s="84"/>
      <c r="BM24" s="81">
        <v>0</v>
      </c>
      <c r="BN24" s="79">
        <v>0</v>
      </c>
      <c r="BO24" s="49"/>
      <c r="BP24" s="84"/>
      <c r="BQ24" s="81">
        <v>0</v>
      </c>
      <c r="BR24" s="79">
        <v>0</v>
      </c>
      <c r="BS24" s="49"/>
      <c r="BT24" s="84"/>
      <c r="BU24" s="81">
        <f t="shared" si="11"/>
        <v>0</v>
      </c>
      <c r="BV24" s="79">
        <f t="shared" si="12"/>
        <v>0</v>
      </c>
      <c r="BW24" s="48"/>
      <c r="BX24" s="84"/>
      <c r="BY24" s="81">
        <f t="shared" si="13"/>
        <v>0</v>
      </c>
      <c r="BZ24" s="79">
        <f t="shared" si="14"/>
        <v>0</v>
      </c>
      <c r="CA24" s="48"/>
      <c r="CB24" s="84"/>
      <c r="CC24" s="81">
        <v>0</v>
      </c>
      <c r="CD24" s="79">
        <v>0</v>
      </c>
      <c r="CE24" s="49"/>
      <c r="CF24" s="84"/>
      <c r="CG24" s="81">
        <f t="shared" si="15"/>
        <v>0</v>
      </c>
      <c r="CH24" s="79">
        <f t="shared" si="16"/>
        <v>0</v>
      </c>
      <c r="CI24" s="33"/>
      <c r="CJ24" s="84"/>
      <c r="CK24" s="81">
        <f t="shared" si="17"/>
        <v>0</v>
      </c>
      <c r="CL24" s="79">
        <f t="shared" si="18"/>
        <v>0</v>
      </c>
      <c r="CM24" s="34"/>
      <c r="CN24" s="34"/>
      <c r="CO24" s="34"/>
      <c r="CP24" s="34"/>
      <c r="CQ24" s="50">
        <f t="shared" si="19"/>
        <v>1</v>
      </c>
      <c r="CR24" s="77">
        <f t="shared" si="20"/>
        <v>0</v>
      </c>
      <c r="CS24" s="28"/>
    </row>
    <row r="25" spans="1:97" s="1" customFormat="1">
      <c r="A25" s="30" t="s">
        <v>131</v>
      </c>
      <c r="B25" s="47"/>
      <c r="C25" s="31" t="s">
        <v>123</v>
      </c>
      <c r="D25" s="32"/>
      <c r="E25" s="32"/>
      <c r="F25" s="87"/>
      <c r="G25" s="48"/>
      <c r="H25" s="84"/>
      <c r="I25" s="80">
        <f t="shared" si="21"/>
        <v>0</v>
      </c>
      <c r="J25" s="79">
        <f t="shared" si="22"/>
        <v>0</v>
      </c>
      <c r="K25" s="49"/>
      <c r="L25" s="84"/>
      <c r="M25" s="81">
        <f t="shared" si="0"/>
        <v>0</v>
      </c>
      <c r="N25" s="79">
        <f t="shared" si="1"/>
        <v>0</v>
      </c>
      <c r="O25" s="48">
        <v>3840</v>
      </c>
      <c r="P25" s="84"/>
      <c r="Q25" s="81">
        <f t="shared" si="2"/>
        <v>0</v>
      </c>
      <c r="R25" s="79">
        <f t="shared" si="3"/>
        <v>0</v>
      </c>
      <c r="S25" s="49"/>
      <c r="T25" s="84"/>
      <c r="U25" s="81">
        <v>0</v>
      </c>
      <c r="V25" s="79">
        <v>0</v>
      </c>
      <c r="W25" s="49"/>
      <c r="X25" s="84"/>
      <c r="Y25" s="81">
        <v>0</v>
      </c>
      <c r="Z25" s="79">
        <v>0</v>
      </c>
      <c r="AA25" s="49"/>
      <c r="AB25" s="84"/>
      <c r="AC25" s="81">
        <v>0</v>
      </c>
      <c r="AD25" s="79">
        <v>0</v>
      </c>
      <c r="AE25" s="49"/>
      <c r="AF25" s="84"/>
      <c r="AG25" s="81">
        <f t="shared" si="23"/>
        <v>0</v>
      </c>
      <c r="AH25" s="79">
        <f t="shared" si="4"/>
        <v>0</v>
      </c>
      <c r="AI25" s="48"/>
      <c r="AJ25" s="84"/>
      <c r="AK25" s="81">
        <f t="shared" si="5"/>
        <v>0</v>
      </c>
      <c r="AL25" s="79">
        <f t="shared" si="6"/>
        <v>0</v>
      </c>
      <c r="AM25" s="48"/>
      <c r="AN25" s="84"/>
      <c r="AO25" s="81">
        <f t="shared" si="7"/>
        <v>0</v>
      </c>
      <c r="AP25" s="79">
        <f t="shared" si="8"/>
        <v>0</v>
      </c>
      <c r="AQ25" s="48"/>
      <c r="AR25" s="84"/>
      <c r="AS25" s="81">
        <f t="shared" si="9"/>
        <v>0</v>
      </c>
      <c r="AT25" s="79">
        <f t="shared" si="10"/>
        <v>0</v>
      </c>
      <c r="AU25" s="49"/>
      <c r="AV25" s="84"/>
      <c r="AW25" s="81">
        <v>0</v>
      </c>
      <c r="AX25" s="79">
        <v>0</v>
      </c>
      <c r="AY25" s="49"/>
      <c r="AZ25" s="84"/>
      <c r="BA25" s="81">
        <v>0</v>
      </c>
      <c r="BB25" s="79">
        <v>0</v>
      </c>
      <c r="BC25" s="49"/>
      <c r="BD25" s="84"/>
      <c r="BE25" s="81">
        <v>0</v>
      </c>
      <c r="BF25" s="79">
        <v>0</v>
      </c>
      <c r="BG25" s="49"/>
      <c r="BH25" s="84"/>
      <c r="BI25" s="81">
        <v>0</v>
      </c>
      <c r="BJ25" s="79">
        <v>0</v>
      </c>
      <c r="BK25" s="49"/>
      <c r="BL25" s="84"/>
      <c r="BM25" s="81">
        <v>0</v>
      </c>
      <c r="BN25" s="79">
        <v>0</v>
      </c>
      <c r="BO25" s="49"/>
      <c r="BP25" s="84"/>
      <c r="BQ25" s="81">
        <v>0</v>
      </c>
      <c r="BR25" s="79">
        <v>0</v>
      </c>
      <c r="BS25" s="49"/>
      <c r="BT25" s="84"/>
      <c r="BU25" s="81">
        <f t="shared" si="11"/>
        <v>0</v>
      </c>
      <c r="BV25" s="79">
        <f t="shared" si="12"/>
        <v>0</v>
      </c>
      <c r="BW25" s="48"/>
      <c r="BX25" s="84"/>
      <c r="BY25" s="81">
        <f t="shared" si="13"/>
        <v>0</v>
      </c>
      <c r="BZ25" s="79">
        <f t="shared" si="14"/>
        <v>0</v>
      </c>
      <c r="CA25" s="48"/>
      <c r="CB25" s="84"/>
      <c r="CC25" s="81">
        <v>0</v>
      </c>
      <c r="CD25" s="79">
        <v>0</v>
      </c>
      <c r="CE25" s="49"/>
      <c r="CF25" s="84"/>
      <c r="CG25" s="81">
        <f t="shared" si="15"/>
        <v>0</v>
      </c>
      <c r="CH25" s="79">
        <f t="shared" si="16"/>
        <v>0</v>
      </c>
      <c r="CI25" s="33"/>
      <c r="CJ25" s="84"/>
      <c r="CK25" s="81">
        <f t="shared" si="17"/>
        <v>0</v>
      </c>
      <c r="CL25" s="79">
        <f t="shared" si="18"/>
        <v>0</v>
      </c>
      <c r="CM25" s="34"/>
      <c r="CN25" s="34"/>
      <c r="CO25" s="34"/>
      <c r="CP25" s="34"/>
      <c r="CQ25" s="50">
        <f t="shared" si="19"/>
        <v>1</v>
      </c>
      <c r="CR25" s="77">
        <f t="shared" si="20"/>
        <v>0</v>
      </c>
      <c r="CS25" s="28"/>
    </row>
    <row r="26" spans="1:97" s="1" customFormat="1">
      <c r="A26" s="30" t="s">
        <v>132</v>
      </c>
      <c r="B26" s="47"/>
      <c r="C26" s="31" t="s">
        <v>123</v>
      </c>
      <c r="D26" s="32"/>
      <c r="E26" s="32"/>
      <c r="F26" s="87"/>
      <c r="G26" s="48"/>
      <c r="H26" s="84"/>
      <c r="I26" s="80">
        <f t="shared" si="21"/>
        <v>0</v>
      </c>
      <c r="J26" s="79">
        <f t="shared" si="22"/>
        <v>0</v>
      </c>
      <c r="K26" s="49"/>
      <c r="L26" s="84"/>
      <c r="M26" s="81">
        <f t="shared" si="0"/>
        <v>0</v>
      </c>
      <c r="N26" s="79">
        <f t="shared" si="1"/>
        <v>0</v>
      </c>
      <c r="O26" s="48"/>
      <c r="P26" s="84"/>
      <c r="Q26" s="81">
        <f t="shared" si="2"/>
        <v>0</v>
      </c>
      <c r="R26" s="79">
        <f t="shared" si="3"/>
        <v>0</v>
      </c>
      <c r="S26" s="49"/>
      <c r="T26" s="84"/>
      <c r="U26" s="81">
        <v>0</v>
      </c>
      <c r="V26" s="79">
        <v>0</v>
      </c>
      <c r="W26" s="49"/>
      <c r="X26" s="84"/>
      <c r="Y26" s="81">
        <v>0</v>
      </c>
      <c r="Z26" s="79">
        <v>0</v>
      </c>
      <c r="AA26" s="49"/>
      <c r="AB26" s="84"/>
      <c r="AC26" s="81">
        <v>0</v>
      </c>
      <c r="AD26" s="79">
        <v>0</v>
      </c>
      <c r="AE26" s="49"/>
      <c r="AF26" s="84"/>
      <c r="AG26" s="81">
        <f t="shared" si="23"/>
        <v>0</v>
      </c>
      <c r="AH26" s="79">
        <f t="shared" si="4"/>
        <v>0</v>
      </c>
      <c r="AI26" s="48"/>
      <c r="AJ26" s="84"/>
      <c r="AK26" s="81">
        <f t="shared" si="5"/>
        <v>0</v>
      </c>
      <c r="AL26" s="79">
        <f t="shared" si="6"/>
        <v>0</v>
      </c>
      <c r="AM26" s="48"/>
      <c r="AN26" s="84"/>
      <c r="AO26" s="81">
        <f t="shared" si="7"/>
        <v>0</v>
      </c>
      <c r="AP26" s="79">
        <f t="shared" si="8"/>
        <v>0</v>
      </c>
      <c r="AQ26" s="48"/>
      <c r="AR26" s="84"/>
      <c r="AS26" s="81">
        <f t="shared" si="9"/>
        <v>0</v>
      </c>
      <c r="AT26" s="79">
        <f t="shared" si="10"/>
        <v>0</v>
      </c>
      <c r="AU26" s="49"/>
      <c r="AV26" s="84"/>
      <c r="AW26" s="81">
        <v>0</v>
      </c>
      <c r="AX26" s="79">
        <v>0</v>
      </c>
      <c r="AY26" s="49"/>
      <c r="AZ26" s="84"/>
      <c r="BA26" s="81">
        <v>0</v>
      </c>
      <c r="BB26" s="79">
        <v>0</v>
      </c>
      <c r="BC26" s="49"/>
      <c r="BD26" s="84"/>
      <c r="BE26" s="81">
        <v>0</v>
      </c>
      <c r="BF26" s="79">
        <v>0</v>
      </c>
      <c r="BG26" s="49"/>
      <c r="BH26" s="84"/>
      <c r="BI26" s="81">
        <v>0</v>
      </c>
      <c r="BJ26" s="79">
        <v>0</v>
      </c>
      <c r="BK26" s="49"/>
      <c r="BL26" s="84"/>
      <c r="BM26" s="81">
        <v>0</v>
      </c>
      <c r="BN26" s="79">
        <v>0</v>
      </c>
      <c r="BO26" s="49"/>
      <c r="BP26" s="84"/>
      <c r="BQ26" s="81">
        <v>0</v>
      </c>
      <c r="BR26" s="79">
        <v>0</v>
      </c>
      <c r="BS26" s="49"/>
      <c r="BT26" s="84"/>
      <c r="BU26" s="81">
        <f t="shared" si="11"/>
        <v>0</v>
      </c>
      <c r="BV26" s="79">
        <f t="shared" si="12"/>
        <v>0</v>
      </c>
      <c r="BW26" s="48">
        <v>1920</v>
      </c>
      <c r="BX26" s="84"/>
      <c r="BY26" s="81">
        <f t="shared" si="13"/>
        <v>0</v>
      </c>
      <c r="BZ26" s="79">
        <f t="shared" si="14"/>
        <v>0</v>
      </c>
      <c r="CA26" s="48"/>
      <c r="CB26" s="84"/>
      <c r="CC26" s="81">
        <v>0</v>
      </c>
      <c r="CD26" s="79">
        <v>0</v>
      </c>
      <c r="CE26" s="49"/>
      <c r="CF26" s="84"/>
      <c r="CG26" s="81">
        <f t="shared" si="15"/>
        <v>0</v>
      </c>
      <c r="CH26" s="79">
        <f t="shared" si="16"/>
        <v>0</v>
      </c>
      <c r="CI26" s="33"/>
      <c r="CJ26" s="84"/>
      <c r="CK26" s="81">
        <f t="shared" si="17"/>
        <v>0</v>
      </c>
      <c r="CL26" s="79">
        <f t="shared" si="18"/>
        <v>0</v>
      </c>
      <c r="CM26" s="34"/>
      <c r="CN26" s="34"/>
      <c r="CO26" s="34"/>
      <c r="CP26" s="34"/>
      <c r="CQ26" s="50">
        <f t="shared" si="19"/>
        <v>1</v>
      </c>
      <c r="CR26" s="77">
        <f t="shared" si="20"/>
        <v>0</v>
      </c>
      <c r="CS26" s="28"/>
    </row>
    <row r="27" spans="1:97" s="1" customFormat="1">
      <c r="A27" s="30" t="s">
        <v>133</v>
      </c>
      <c r="B27" s="47"/>
      <c r="C27" s="31" t="s">
        <v>123</v>
      </c>
      <c r="D27" s="32"/>
      <c r="E27" s="32"/>
      <c r="F27" s="87"/>
      <c r="G27" s="48"/>
      <c r="H27" s="84"/>
      <c r="I27" s="80">
        <f t="shared" si="21"/>
        <v>0</v>
      </c>
      <c r="J27" s="79">
        <f t="shared" si="22"/>
        <v>0</v>
      </c>
      <c r="K27" s="49"/>
      <c r="L27" s="84"/>
      <c r="M27" s="81">
        <v>87</v>
      </c>
      <c r="N27" s="79">
        <f t="shared" si="1"/>
        <v>0</v>
      </c>
      <c r="O27" s="48">
        <v>3840</v>
      </c>
      <c r="P27" s="84"/>
      <c r="Q27" s="81">
        <f t="shared" si="2"/>
        <v>0</v>
      </c>
      <c r="R27" s="79">
        <f t="shared" si="3"/>
        <v>0</v>
      </c>
      <c r="S27" s="49"/>
      <c r="T27" s="84"/>
      <c r="U27" s="81">
        <v>0</v>
      </c>
      <c r="V27" s="79">
        <v>0</v>
      </c>
      <c r="W27" s="49"/>
      <c r="X27" s="84"/>
      <c r="Y27" s="81">
        <v>0</v>
      </c>
      <c r="Z27" s="79">
        <v>0</v>
      </c>
      <c r="AA27" s="49"/>
      <c r="AB27" s="84"/>
      <c r="AC27" s="81">
        <v>0</v>
      </c>
      <c r="AD27" s="79">
        <v>0</v>
      </c>
      <c r="AE27" s="49"/>
      <c r="AF27" s="84"/>
      <c r="AG27" s="81">
        <f t="shared" si="23"/>
        <v>0</v>
      </c>
      <c r="AH27" s="79">
        <f t="shared" si="4"/>
        <v>0</v>
      </c>
      <c r="AI27" s="48"/>
      <c r="AJ27" s="84"/>
      <c r="AK27" s="81">
        <f t="shared" si="5"/>
        <v>0</v>
      </c>
      <c r="AL27" s="79">
        <f t="shared" si="6"/>
        <v>0</v>
      </c>
      <c r="AM27" s="48"/>
      <c r="AN27" s="84"/>
      <c r="AO27" s="81">
        <f t="shared" si="7"/>
        <v>0</v>
      </c>
      <c r="AP27" s="79">
        <f t="shared" si="8"/>
        <v>0</v>
      </c>
      <c r="AQ27" s="48"/>
      <c r="AR27" s="84"/>
      <c r="AS27" s="81">
        <f t="shared" si="9"/>
        <v>0</v>
      </c>
      <c r="AT27" s="79">
        <f t="shared" si="10"/>
        <v>0</v>
      </c>
      <c r="AU27" s="49"/>
      <c r="AV27" s="84"/>
      <c r="AW27" s="81">
        <v>0</v>
      </c>
      <c r="AX27" s="79">
        <v>0</v>
      </c>
      <c r="AY27" s="49"/>
      <c r="AZ27" s="84"/>
      <c r="BA27" s="81">
        <v>0</v>
      </c>
      <c r="BB27" s="79">
        <v>0</v>
      </c>
      <c r="BC27" s="49"/>
      <c r="BD27" s="84"/>
      <c r="BE27" s="81">
        <v>0</v>
      </c>
      <c r="BF27" s="79">
        <v>0</v>
      </c>
      <c r="BG27" s="49"/>
      <c r="BH27" s="84"/>
      <c r="BI27" s="81">
        <v>0</v>
      </c>
      <c r="BJ27" s="79">
        <v>0</v>
      </c>
      <c r="BK27" s="49"/>
      <c r="BL27" s="84"/>
      <c r="BM27" s="81">
        <v>0</v>
      </c>
      <c r="BN27" s="79">
        <v>0</v>
      </c>
      <c r="BO27" s="49"/>
      <c r="BP27" s="84"/>
      <c r="BQ27" s="81">
        <v>0</v>
      </c>
      <c r="BR27" s="79">
        <v>0</v>
      </c>
      <c r="BS27" s="49"/>
      <c r="BT27" s="84"/>
      <c r="BU27" s="81">
        <f t="shared" si="11"/>
        <v>0</v>
      </c>
      <c r="BV27" s="79">
        <f t="shared" si="12"/>
        <v>0</v>
      </c>
      <c r="BW27" s="48"/>
      <c r="BX27" s="84"/>
      <c r="BY27" s="81">
        <f t="shared" si="13"/>
        <v>0</v>
      </c>
      <c r="BZ27" s="79">
        <f t="shared" si="14"/>
        <v>0</v>
      </c>
      <c r="CA27" s="48"/>
      <c r="CB27" s="84"/>
      <c r="CC27" s="81">
        <v>0</v>
      </c>
      <c r="CD27" s="79">
        <v>0</v>
      </c>
      <c r="CE27" s="49"/>
      <c r="CF27" s="84"/>
      <c r="CG27" s="81">
        <f t="shared" si="15"/>
        <v>0</v>
      </c>
      <c r="CH27" s="79">
        <f t="shared" si="16"/>
        <v>0</v>
      </c>
      <c r="CI27" s="33"/>
      <c r="CJ27" s="84"/>
      <c r="CK27" s="81">
        <f t="shared" si="17"/>
        <v>0</v>
      </c>
      <c r="CL27" s="79">
        <f t="shared" si="18"/>
        <v>0</v>
      </c>
      <c r="CM27" s="34"/>
      <c r="CN27" s="34"/>
      <c r="CO27" s="34"/>
      <c r="CP27" s="34"/>
      <c r="CQ27" s="50">
        <f t="shared" si="19"/>
        <v>1</v>
      </c>
      <c r="CR27" s="77">
        <f t="shared" si="20"/>
        <v>0</v>
      </c>
      <c r="CS27" s="28"/>
    </row>
    <row r="28" spans="1:97" s="1" customFormat="1">
      <c r="A28" s="30" t="s">
        <v>134</v>
      </c>
      <c r="B28" s="47"/>
      <c r="C28" s="36" t="s">
        <v>123</v>
      </c>
      <c r="D28" s="32"/>
      <c r="E28" s="32"/>
      <c r="F28" s="87"/>
      <c r="G28" s="48"/>
      <c r="H28" s="84"/>
      <c r="I28" s="80">
        <f t="shared" si="21"/>
        <v>0</v>
      </c>
      <c r="J28" s="79">
        <f t="shared" si="22"/>
        <v>0</v>
      </c>
      <c r="K28" s="48">
        <v>1920</v>
      </c>
      <c r="L28" s="84"/>
      <c r="M28" s="81">
        <f t="shared" ref="M28:M59" si="24">L28*CQ28</f>
        <v>0</v>
      </c>
      <c r="N28" s="79">
        <f t="shared" si="1"/>
        <v>0</v>
      </c>
      <c r="O28" s="48"/>
      <c r="P28" s="84"/>
      <c r="Q28" s="81">
        <f t="shared" si="2"/>
        <v>0</v>
      </c>
      <c r="R28" s="79">
        <f t="shared" si="3"/>
        <v>0</v>
      </c>
      <c r="S28" s="49"/>
      <c r="T28" s="84"/>
      <c r="U28" s="81">
        <v>0</v>
      </c>
      <c r="V28" s="79">
        <v>0</v>
      </c>
      <c r="W28" s="49"/>
      <c r="X28" s="84"/>
      <c r="Y28" s="81">
        <v>0</v>
      </c>
      <c r="Z28" s="79">
        <v>0</v>
      </c>
      <c r="AA28" s="49"/>
      <c r="AB28" s="84"/>
      <c r="AC28" s="81">
        <v>0</v>
      </c>
      <c r="AD28" s="79">
        <v>0</v>
      </c>
      <c r="AE28" s="49"/>
      <c r="AF28" s="84"/>
      <c r="AG28" s="81">
        <f t="shared" si="23"/>
        <v>0</v>
      </c>
      <c r="AH28" s="79">
        <f t="shared" si="4"/>
        <v>0</v>
      </c>
      <c r="AI28" s="48"/>
      <c r="AJ28" s="84"/>
      <c r="AK28" s="81">
        <f t="shared" si="5"/>
        <v>0</v>
      </c>
      <c r="AL28" s="79">
        <f t="shared" si="6"/>
        <v>0</v>
      </c>
      <c r="AM28" s="48"/>
      <c r="AN28" s="84"/>
      <c r="AO28" s="81">
        <f t="shared" si="7"/>
        <v>0</v>
      </c>
      <c r="AP28" s="79">
        <f t="shared" si="8"/>
        <v>0</v>
      </c>
      <c r="AQ28" s="48"/>
      <c r="AR28" s="84"/>
      <c r="AS28" s="81">
        <f t="shared" si="9"/>
        <v>0</v>
      </c>
      <c r="AT28" s="79">
        <f t="shared" si="10"/>
        <v>0</v>
      </c>
      <c r="AU28" s="49"/>
      <c r="AV28" s="84"/>
      <c r="AW28" s="81">
        <v>0</v>
      </c>
      <c r="AX28" s="79">
        <v>0</v>
      </c>
      <c r="AY28" s="49"/>
      <c r="AZ28" s="84"/>
      <c r="BA28" s="81">
        <v>0</v>
      </c>
      <c r="BB28" s="79">
        <v>0</v>
      </c>
      <c r="BC28" s="49"/>
      <c r="BD28" s="84"/>
      <c r="BE28" s="81">
        <v>0</v>
      </c>
      <c r="BF28" s="79">
        <v>0</v>
      </c>
      <c r="BG28" s="49"/>
      <c r="BH28" s="84"/>
      <c r="BI28" s="81">
        <v>0</v>
      </c>
      <c r="BJ28" s="79">
        <v>0</v>
      </c>
      <c r="BK28" s="49"/>
      <c r="BL28" s="84"/>
      <c r="BM28" s="81">
        <v>0</v>
      </c>
      <c r="BN28" s="79">
        <v>0</v>
      </c>
      <c r="BO28" s="49"/>
      <c r="BP28" s="84"/>
      <c r="BQ28" s="81">
        <v>0</v>
      </c>
      <c r="BR28" s="79">
        <v>0</v>
      </c>
      <c r="BS28" s="49"/>
      <c r="BT28" s="84"/>
      <c r="BU28" s="81">
        <f t="shared" si="11"/>
        <v>0</v>
      </c>
      <c r="BV28" s="79">
        <f t="shared" si="12"/>
        <v>0</v>
      </c>
      <c r="BW28" s="48"/>
      <c r="BX28" s="84"/>
      <c r="BY28" s="81">
        <f t="shared" si="13"/>
        <v>0</v>
      </c>
      <c r="BZ28" s="79">
        <f t="shared" si="14"/>
        <v>0</v>
      </c>
      <c r="CA28" s="48"/>
      <c r="CB28" s="84"/>
      <c r="CC28" s="81">
        <v>0</v>
      </c>
      <c r="CD28" s="79">
        <v>0</v>
      </c>
      <c r="CE28" s="49"/>
      <c r="CF28" s="84"/>
      <c r="CG28" s="81">
        <f t="shared" si="15"/>
        <v>0</v>
      </c>
      <c r="CH28" s="79">
        <f t="shared" si="16"/>
        <v>0</v>
      </c>
      <c r="CI28" s="33"/>
      <c r="CJ28" s="84"/>
      <c r="CK28" s="81">
        <f t="shared" si="17"/>
        <v>0</v>
      </c>
      <c r="CL28" s="79">
        <f t="shared" si="18"/>
        <v>0</v>
      </c>
      <c r="CM28" s="34"/>
      <c r="CN28" s="34"/>
      <c r="CO28" s="34"/>
      <c r="CP28" s="34"/>
      <c r="CQ28" s="50">
        <f t="shared" si="19"/>
        <v>1</v>
      </c>
      <c r="CR28" s="77">
        <f t="shared" si="20"/>
        <v>0</v>
      </c>
      <c r="CS28" s="28"/>
    </row>
    <row r="29" spans="1:97" s="1" customFormat="1">
      <c r="A29" s="30" t="s">
        <v>135</v>
      </c>
      <c r="B29" s="47"/>
      <c r="C29" s="31" t="s">
        <v>121</v>
      </c>
      <c r="D29" s="32"/>
      <c r="E29" s="32"/>
      <c r="F29" s="87"/>
      <c r="G29" s="48"/>
      <c r="H29" s="84"/>
      <c r="I29" s="80">
        <f t="shared" si="21"/>
        <v>0</v>
      </c>
      <c r="J29" s="79">
        <f t="shared" si="22"/>
        <v>0</v>
      </c>
      <c r="K29" s="49"/>
      <c r="L29" s="84"/>
      <c r="M29" s="81">
        <f t="shared" si="24"/>
        <v>0</v>
      </c>
      <c r="N29" s="79">
        <f t="shared" si="1"/>
        <v>0</v>
      </c>
      <c r="O29" s="48">
        <v>1920</v>
      </c>
      <c r="P29" s="84"/>
      <c r="Q29" s="81">
        <f t="shared" si="2"/>
        <v>0</v>
      </c>
      <c r="R29" s="79">
        <f t="shared" si="3"/>
        <v>0</v>
      </c>
      <c r="S29" s="49"/>
      <c r="T29" s="84"/>
      <c r="U29" s="81">
        <v>0</v>
      </c>
      <c r="V29" s="79">
        <v>0</v>
      </c>
      <c r="W29" s="49"/>
      <c r="X29" s="84"/>
      <c r="Y29" s="81">
        <v>0</v>
      </c>
      <c r="Z29" s="79">
        <v>0</v>
      </c>
      <c r="AA29" s="49"/>
      <c r="AB29" s="84"/>
      <c r="AC29" s="81">
        <v>0</v>
      </c>
      <c r="AD29" s="79">
        <v>0</v>
      </c>
      <c r="AE29" s="49"/>
      <c r="AF29" s="84"/>
      <c r="AG29" s="81">
        <f t="shared" si="23"/>
        <v>0</v>
      </c>
      <c r="AH29" s="79">
        <f t="shared" si="4"/>
        <v>0</v>
      </c>
      <c r="AI29" s="48"/>
      <c r="AJ29" s="84"/>
      <c r="AK29" s="81">
        <f t="shared" si="5"/>
        <v>0</v>
      </c>
      <c r="AL29" s="79">
        <f t="shared" si="6"/>
        <v>0</v>
      </c>
      <c r="AM29" s="48"/>
      <c r="AN29" s="84"/>
      <c r="AO29" s="81">
        <f t="shared" si="7"/>
        <v>0</v>
      </c>
      <c r="AP29" s="79">
        <f t="shared" si="8"/>
        <v>0</v>
      </c>
      <c r="AQ29" s="48"/>
      <c r="AR29" s="84"/>
      <c r="AS29" s="81">
        <f t="shared" si="9"/>
        <v>0</v>
      </c>
      <c r="AT29" s="79">
        <f t="shared" si="10"/>
        <v>0</v>
      </c>
      <c r="AU29" s="49"/>
      <c r="AV29" s="84"/>
      <c r="AW29" s="81">
        <v>0</v>
      </c>
      <c r="AX29" s="79">
        <v>0</v>
      </c>
      <c r="AY29" s="49"/>
      <c r="AZ29" s="84"/>
      <c r="BA29" s="81">
        <v>0</v>
      </c>
      <c r="BB29" s="79">
        <v>0</v>
      </c>
      <c r="BC29" s="49"/>
      <c r="BD29" s="84"/>
      <c r="BE29" s="81">
        <v>0</v>
      </c>
      <c r="BF29" s="79">
        <v>0</v>
      </c>
      <c r="BG29" s="49"/>
      <c r="BH29" s="84"/>
      <c r="BI29" s="81">
        <v>0</v>
      </c>
      <c r="BJ29" s="79">
        <v>0</v>
      </c>
      <c r="BK29" s="49"/>
      <c r="BL29" s="84"/>
      <c r="BM29" s="81">
        <v>0</v>
      </c>
      <c r="BN29" s="79">
        <v>0</v>
      </c>
      <c r="BO29" s="49"/>
      <c r="BP29" s="84"/>
      <c r="BQ29" s="81">
        <v>0</v>
      </c>
      <c r="BR29" s="79">
        <v>0</v>
      </c>
      <c r="BS29" s="49"/>
      <c r="BT29" s="84"/>
      <c r="BU29" s="81">
        <f t="shared" si="11"/>
        <v>0</v>
      </c>
      <c r="BV29" s="79">
        <f t="shared" si="12"/>
        <v>0</v>
      </c>
      <c r="BW29" s="48"/>
      <c r="BX29" s="84"/>
      <c r="BY29" s="81">
        <f t="shared" si="13"/>
        <v>0</v>
      </c>
      <c r="BZ29" s="79">
        <f t="shared" si="14"/>
        <v>0</v>
      </c>
      <c r="CA29" s="48"/>
      <c r="CB29" s="84"/>
      <c r="CC29" s="81">
        <v>0</v>
      </c>
      <c r="CD29" s="79">
        <v>0</v>
      </c>
      <c r="CE29" s="49"/>
      <c r="CF29" s="84"/>
      <c r="CG29" s="81">
        <f t="shared" si="15"/>
        <v>0</v>
      </c>
      <c r="CH29" s="79">
        <f t="shared" si="16"/>
        <v>0</v>
      </c>
      <c r="CI29" s="33"/>
      <c r="CJ29" s="84"/>
      <c r="CK29" s="81">
        <f t="shared" si="17"/>
        <v>0</v>
      </c>
      <c r="CL29" s="79">
        <f t="shared" si="18"/>
        <v>0</v>
      </c>
      <c r="CM29" s="34"/>
      <c r="CN29" s="34"/>
      <c r="CO29" s="34"/>
      <c r="CP29" s="34"/>
      <c r="CQ29" s="50">
        <f t="shared" si="19"/>
        <v>1</v>
      </c>
      <c r="CR29" s="77">
        <f t="shared" si="20"/>
        <v>0</v>
      </c>
      <c r="CS29" s="28"/>
    </row>
    <row r="30" spans="1:97" s="1" customFormat="1">
      <c r="A30" s="30" t="s">
        <v>136</v>
      </c>
      <c r="B30" s="47"/>
      <c r="C30" s="31" t="s">
        <v>123</v>
      </c>
      <c r="D30" s="32"/>
      <c r="E30" s="32"/>
      <c r="F30" s="87"/>
      <c r="G30" s="48"/>
      <c r="H30" s="84"/>
      <c r="I30" s="80">
        <f t="shared" si="21"/>
        <v>0</v>
      </c>
      <c r="J30" s="79">
        <f t="shared" si="22"/>
        <v>0</v>
      </c>
      <c r="K30" s="49"/>
      <c r="L30" s="84"/>
      <c r="M30" s="81">
        <f t="shared" si="24"/>
        <v>0</v>
      </c>
      <c r="N30" s="79">
        <f t="shared" si="1"/>
        <v>0</v>
      </c>
      <c r="O30" s="48">
        <v>1920</v>
      </c>
      <c r="P30" s="84"/>
      <c r="Q30" s="81">
        <f t="shared" si="2"/>
        <v>0</v>
      </c>
      <c r="R30" s="79">
        <f t="shared" si="3"/>
        <v>0</v>
      </c>
      <c r="S30" s="49"/>
      <c r="T30" s="84"/>
      <c r="U30" s="81">
        <v>0</v>
      </c>
      <c r="V30" s="79">
        <v>0</v>
      </c>
      <c r="W30" s="49"/>
      <c r="X30" s="84"/>
      <c r="Y30" s="81">
        <v>0</v>
      </c>
      <c r="Z30" s="79">
        <v>0</v>
      </c>
      <c r="AA30" s="49"/>
      <c r="AB30" s="84"/>
      <c r="AC30" s="81">
        <v>0</v>
      </c>
      <c r="AD30" s="79">
        <v>0</v>
      </c>
      <c r="AE30" s="49"/>
      <c r="AF30" s="84"/>
      <c r="AG30" s="81">
        <f t="shared" si="23"/>
        <v>0</v>
      </c>
      <c r="AH30" s="79">
        <f t="shared" si="4"/>
        <v>0</v>
      </c>
      <c r="AI30" s="48"/>
      <c r="AJ30" s="84"/>
      <c r="AK30" s="81">
        <f t="shared" si="5"/>
        <v>0</v>
      </c>
      <c r="AL30" s="79">
        <f t="shared" si="6"/>
        <v>0</v>
      </c>
      <c r="AM30" s="48"/>
      <c r="AN30" s="84"/>
      <c r="AO30" s="81">
        <f t="shared" si="7"/>
        <v>0</v>
      </c>
      <c r="AP30" s="79">
        <f t="shared" si="8"/>
        <v>0</v>
      </c>
      <c r="AQ30" s="48"/>
      <c r="AR30" s="84"/>
      <c r="AS30" s="81">
        <f t="shared" si="9"/>
        <v>0</v>
      </c>
      <c r="AT30" s="79">
        <f t="shared" si="10"/>
        <v>0</v>
      </c>
      <c r="AU30" s="49"/>
      <c r="AV30" s="84"/>
      <c r="AW30" s="81">
        <v>0</v>
      </c>
      <c r="AX30" s="79">
        <v>0</v>
      </c>
      <c r="AY30" s="49"/>
      <c r="AZ30" s="84"/>
      <c r="BA30" s="81">
        <v>0</v>
      </c>
      <c r="BB30" s="79">
        <v>0</v>
      </c>
      <c r="BC30" s="49"/>
      <c r="BD30" s="84"/>
      <c r="BE30" s="81">
        <v>0</v>
      </c>
      <c r="BF30" s="79">
        <v>0</v>
      </c>
      <c r="BG30" s="49"/>
      <c r="BH30" s="84"/>
      <c r="BI30" s="81">
        <v>0</v>
      </c>
      <c r="BJ30" s="79">
        <v>0</v>
      </c>
      <c r="BK30" s="49"/>
      <c r="BL30" s="84"/>
      <c r="BM30" s="81">
        <v>0</v>
      </c>
      <c r="BN30" s="79">
        <v>0</v>
      </c>
      <c r="BO30" s="49"/>
      <c r="BP30" s="84"/>
      <c r="BQ30" s="81">
        <v>0</v>
      </c>
      <c r="BR30" s="79">
        <v>0</v>
      </c>
      <c r="BS30" s="49"/>
      <c r="BT30" s="84"/>
      <c r="BU30" s="81">
        <f t="shared" si="11"/>
        <v>0</v>
      </c>
      <c r="BV30" s="79">
        <f t="shared" si="12"/>
        <v>0</v>
      </c>
      <c r="BW30" s="48"/>
      <c r="BX30" s="84"/>
      <c r="BY30" s="81">
        <f t="shared" si="13"/>
        <v>0</v>
      </c>
      <c r="BZ30" s="79">
        <f t="shared" si="14"/>
        <v>0</v>
      </c>
      <c r="CA30" s="48"/>
      <c r="CB30" s="84"/>
      <c r="CC30" s="81">
        <v>0</v>
      </c>
      <c r="CD30" s="79">
        <v>0</v>
      </c>
      <c r="CE30" s="49"/>
      <c r="CF30" s="84"/>
      <c r="CG30" s="81">
        <f t="shared" si="15"/>
        <v>0</v>
      </c>
      <c r="CH30" s="79">
        <f t="shared" si="16"/>
        <v>0</v>
      </c>
      <c r="CI30" s="33"/>
      <c r="CJ30" s="84"/>
      <c r="CK30" s="81">
        <f t="shared" si="17"/>
        <v>0</v>
      </c>
      <c r="CL30" s="79">
        <f t="shared" si="18"/>
        <v>0</v>
      </c>
      <c r="CM30" s="34"/>
      <c r="CN30" s="34"/>
      <c r="CO30" s="34"/>
      <c r="CP30" s="34"/>
      <c r="CQ30" s="50">
        <f t="shared" si="19"/>
        <v>1</v>
      </c>
      <c r="CR30" s="77">
        <f t="shared" si="20"/>
        <v>0</v>
      </c>
      <c r="CS30" s="28"/>
    </row>
    <row r="31" spans="1:97" s="1" customFormat="1">
      <c r="A31" s="30" t="s">
        <v>137</v>
      </c>
      <c r="B31" s="47"/>
      <c r="C31" s="31" t="s">
        <v>123</v>
      </c>
      <c r="D31" s="32"/>
      <c r="E31" s="32"/>
      <c r="F31" s="87"/>
      <c r="G31" s="48">
        <v>960</v>
      </c>
      <c r="H31" s="84"/>
      <c r="I31" s="80">
        <f t="shared" si="21"/>
        <v>0</v>
      </c>
      <c r="J31" s="79">
        <f t="shared" si="22"/>
        <v>0</v>
      </c>
      <c r="K31" s="49"/>
      <c r="L31" s="84"/>
      <c r="M31" s="81">
        <f t="shared" si="24"/>
        <v>0</v>
      </c>
      <c r="N31" s="79">
        <f t="shared" si="1"/>
        <v>0</v>
      </c>
      <c r="O31" s="48">
        <v>1920</v>
      </c>
      <c r="P31" s="84"/>
      <c r="Q31" s="81">
        <f t="shared" si="2"/>
        <v>0</v>
      </c>
      <c r="R31" s="79">
        <f t="shared" si="3"/>
        <v>0</v>
      </c>
      <c r="S31" s="49"/>
      <c r="T31" s="84"/>
      <c r="U31" s="81">
        <v>0</v>
      </c>
      <c r="V31" s="79">
        <v>0</v>
      </c>
      <c r="W31" s="49"/>
      <c r="X31" s="84"/>
      <c r="Y31" s="81">
        <v>0</v>
      </c>
      <c r="Z31" s="79">
        <v>0</v>
      </c>
      <c r="AA31" s="49"/>
      <c r="AB31" s="84"/>
      <c r="AC31" s="81">
        <v>0</v>
      </c>
      <c r="AD31" s="79">
        <v>0</v>
      </c>
      <c r="AE31" s="49"/>
      <c r="AF31" s="84"/>
      <c r="AG31" s="81">
        <f t="shared" si="23"/>
        <v>0</v>
      </c>
      <c r="AH31" s="79">
        <f t="shared" si="4"/>
        <v>0</v>
      </c>
      <c r="AI31" s="48"/>
      <c r="AJ31" s="84"/>
      <c r="AK31" s="81">
        <f t="shared" si="5"/>
        <v>0</v>
      </c>
      <c r="AL31" s="79">
        <f t="shared" si="6"/>
        <v>0</v>
      </c>
      <c r="AM31" s="48"/>
      <c r="AN31" s="84"/>
      <c r="AO31" s="81">
        <f t="shared" si="7"/>
        <v>0</v>
      </c>
      <c r="AP31" s="79">
        <f t="shared" si="8"/>
        <v>0</v>
      </c>
      <c r="AQ31" s="48"/>
      <c r="AR31" s="84"/>
      <c r="AS31" s="81">
        <f t="shared" si="9"/>
        <v>0</v>
      </c>
      <c r="AT31" s="79">
        <f t="shared" si="10"/>
        <v>0</v>
      </c>
      <c r="AU31" s="49"/>
      <c r="AV31" s="84"/>
      <c r="AW31" s="81">
        <v>0</v>
      </c>
      <c r="AX31" s="79">
        <v>0</v>
      </c>
      <c r="AY31" s="49"/>
      <c r="AZ31" s="84"/>
      <c r="BA31" s="81">
        <v>0</v>
      </c>
      <c r="BB31" s="79">
        <v>0</v>
      </c>
      <c r="BC31" s="49"/>
      <c r="BD31" s="84"/>
      <c r="BE31" s="81">
        <v>0</v>
      </c>
      <c r="BF31" s="79">
        <v>0</v>
      </c>
      <c r="BG31" s="49"/>
      <c r="BH31" s="84"/>
      <c r="BI31" s="81">
        <v>0</v>
      </c>
      <c r="BJ31" s="79">
        <v>0</v>
      </c>
      <c r="BK31" s="49"/>
      <c r="BL31" s="84"/>
      <c r="BM31" s="81">
        <v>0</v>
      </c>
      <c r="BN31" s="79">
        <v>0</v>
      </c>
      <c r="BO31" s="49"/>
      <c r="BP31" s="84"/>
      <c r="BQ31" s="81">
        <v>0</v>
      </c>
      <c r="BR31" s="79">
        <v>0</v>
      </c>
      <c r="BS31" s="49"/>
      <c r="BT31" s="84"/>
      <c r="BU31" s="81">
        <f t="shared" si="11"/>
        <v>0</v>
      </c>
      <c r="BV31" s="79">
        <f t="shared" si="12"/>
        <v>0</v>
      </c>
      <c r="BW31" s="48"/>
      <c r="BX31" s="84"/>
      <c r="BY31" s="81">
        <f t="shared" si="13"/>
        <v>0</v>
      </c>
      <c r="BZ31" s="79">
        <f t="shared" si="14"/>
        <v>0</v>
      </c>
      <c r="CA31" s="48"/>
      <c r="CB31" s="84"/>
      <c r="CC31" s="81">
        <v>0</v>
      </c>
      <c r="CD31" s="79">
        <v>0</v>
      </c>
      <c r="CE31" s="49"/>
      <c r="CF31" s="84"/>
      <c r="CG31" s="81">
        <f t="shared" si="15"/>
        <v>0</v>
      </c>
      <c r="CH31" s="79">
        <f t="shared" si="16"/>
        <v>0</v>
      </c>
      <c r="CI31" s="33"/>
      <c r="CJ31" s="84"/>
      <c r="CK31" s="81">
        <f t="shared" si="17"/>
        <v>0</v>
      </c>
      <c r="CL31" s="79">
        <f t="shared" si="18"/>
        <v>0</v>
      </c>
      <c r="CM31" s="34"/>
      <c r="CN31" s="34"/>
      <c r="CO31" s="34"/>
      <c r="CP31" s="34"/>
      <c r="CQ31" s="50">
        <f t="shared" si="19"/>
        <v>1</v>
      </c>
      <c r="CR31" s="77">
        <f t="shared" si="20"/>
        <v>0</v>
      </c>
      <c r="CS31" s="28"/>
    </row>
    <row r="32" spans="1:97" s="1" customFormat="1">
      <c r="A32" s="30" t="s">
        <v>138</v>
      </c>
      <c r="B32" s="47"/>
      <c r="C32" s="31" t="s">
        <v>121</v>
      </c>
      <c r="D32" s="32"/>
      <c r="E32" s="32"/>
      <c r="F32" s="87"/>
      <c r="G32" s="48"/>
      <c r="H32" s="84"/>
      <c r="I32" s="80">
        <f t="shared" si="21"/>
        <v>0</v>
      </c>
      <c r="J32" s="79">
        <f t="shared" si="22"/>
        <v>0</v>
      </c>
      <c r="K32" s="49"/>
      <c r="L32" s="84"/>
      <c r="M32" s="81">
        <f t="shared" si="24"/>
        <v>0</v>
      </c>
      <c r="N32" s="79">
        <f t="shared" si="1"/>
        <v>0</v>
      </c>
      <c r="O32" s="48">
        <v>1920</v>
      </c>
      <c r="P32" s="84"/>
      <c r="Q32" s="81">
        <f t="shared" si="2"/>
        <v>0</v>
      </c>
      <c r="R32" s="79">
        <f t="shared" si="3"/>
        <v>0</v>
      </c>
      <c r="S32" s="49"/>
      <c r="T32" s="84"/>
      <c r="U32" s="81">
        <v>0</v>
      </c>
      <c r="V32" s="79">
        <v>0</v>
      </c>
      <c r="W32" s="49"/>
      <c r="X32" s="84"/>
      <c r="Y32" s="81">
        <v>0</v>
      </c>
      <c r="Z32" s="79">
        <v>0</v>
      </c>
      <c r="AA32" s="49"/>
      <c r="AB32" s="84"/>
      <c r="AC32" s="81">
        <v>0</v>
      </c>
      <c r="AD32" s="79">
        <v>0</v>
      </c>
      <c r="AE32" s="49"/>
      <c r="AF32" s="84"/>
      <c r="AG32" s="81">
        <f t="shared" si="23"/>
        <v>0</v>
      </c>
      <c r="AH32" s="79">
        <f t="shared" si="4"/>
        <v>0</v>
      </c>
      <c r="AI32" s="48"/>
      <c r="AJ32" s="84"/>
      <c r="AK32" s="81">
        <f t="shared" si="5"/>
        <v>0</v>
      </c>
      <c r="AL32" s="79">
        <f t="shared" si="6"/>
        <v>0</v>
      </c>
      <c r="AM32" s="48"/>
      <c r="AN32" s="84"/>
      <c r="AO32" s="81">
        <f t="shared" si="7"/>
        <v>0</v>
      </c>
      <c r="AP32" s="79">
        <f t="shared" si="8"/>
        <v>0</v>
      </c>
      <c r="AQ32" s="48"/>
      <c r="AR32" s="84"/>
      <c r="AS32" s="81">
        <f t="shared" si="9"/>
        <v>0</v>
      </c>
      <c r="AT32" s="79">
        <f t="shared" si="10"/>
        <v>0</v>
      </c>
      <c r="AU32" s="49"/>
      <c r="AV32" s="84"/>
      <c r="AW32" s="81">
        <v>0</v>
      </c>
      <c r="AX32" s="79">
        <v>0</v>
      </c>
      <c r="AY32" s="49"/>
      <c r="AZ32" s="84"/>
      <c r="BA32" s="81">
        <v>0</v>
      </c>
      <c r="BB32" s="79">
        <v>0</v>
      </c>
      <c r="BC32" s="49"/>
      <c r="BD32" s="84"/>
      <c r="BE32" s="81">
        <v>0</v>
      </c>
      <c r="BF32" s="79">
        <v>0</v>
      </c>
      <c r="BG32" s="49"/>
      <c r="BH32" s="84"/>
      <c r="BI32" s="81">
        <v>0</v>
      </c>
      <c r="BJ32" s="79">
        <v>0</v>
      </c>
      <c r="BK32" s="49"/>
      <c r="BL32" s="84"/>
      <c r="BM32" s="81">
        <v>0</v>
      </c>
      <c r="BN32" s="79">
        <v>0</v>
      </c>
      <c r="BO32" s="49"/>
      <c r="BP32" s="84"/>
      <c r="BQ32" s="81">
        <v>0</v>
      </c>
      <c r="BR32" s="79">
        <v>0</v>
      </c>
      <c r="BS32" s="49"/>
      <c r="BT32" s="84"/>
      <c r="BU32" s="81">
        <f t="shared" si="11"/>
        <v>0</v>
      </c>
      <c r="BV32" s="79">
        <f t="shared" si="12"/>
        <v>0</v>
      </c>
      <c r="BW32" s="48"/>
      <c r="BX32" s="84"/>
      <c r="BY32" s="81">
        <f t="shared" si="13"/>
        <v>0</v>
      </c>
      <c r="BZ32" s="79">
        <f t="shared" si="14"/>
        <v>0</v>
      </c>
      <c r="CA32" s="48"/>
      <c r="CB32" s="84"/>
      <c r="CC32" s="81">
        <v>0</v>
      </c>
      <c r="CD32" s="79">
        <v>0</v>
      </c>
      <c r="CE32" s="49"/>
      <c r="CF32" s="84"/>
      <c r="CG32" s="81">
        <f t="shared" si="15"/>
        <v>0</v>
      </c>
      <c r="CH32" s="79">
        <f t="shared" si="16"/>
        <v>0</v>
      </c>
      <c r="CI32" s="33"/>
      <c r="CJ32" s="84"/>
      <c r="CK32" s="81">
        <f t="shared" si="17"/>
        <v>0</v>
      </c>
      <c r="CL32" s="79">
        <f t="shared" si="18"/>
        <v>0</v>
      </c>
      <c r="CM32" s="34"/>
      <c r="CN32" s="34"/>
      <c r="CO32" s="34"/>
      <c r="CP32" s="34"/>
      <c r="CQ32" s="50">
        <f t="shared" si="19"/>
        <v>1</v>
      </c>
      <c r="CR32" s="77">
        <f t="shared" si="20"/>
        <v>0</v>
      </c>
      <c r="CS32" s="28"/>
    </row>
    <row r="33" spans="1:97" s="1" customFormat="1">
      <c r="A33" s="30" t="s">
        <v>138</v>
      </c>
      <c r="B33" s="47"/>
      <c r="C33" s="31" t="s">
        <v>123</v>
      </c>
      <c r="D33" s="32"/>
      <c r="E33" s="32"/>
      <c r="F33" s="87"/>
      <c r="G33" s="48"/>
      <c r="H33" s="84"/>
      <c r="I33" s="80">
        <f t="shared" si="21"/>
        <v>0</v>
      </c>
      <c r="J33" s="79">
        <f t="shared" si="22"/>
        <v>0</v>
      </c>
      <c r="K33" s="49"/>
      <c r="L33" s="84"/>
      <c r="M33" s="81">
        <f t="shared" si="24"/>
        <v>0</v>
      </c>
      <c r="N33" s="79">
        <f t="shared" si="1"/>
        <v>0</v>
      </c>
      <c r="O33" s="48"/>
      <c r="P33" s="84"/>
      <c r="Q33" s="81">
        <f t="shared" si="2"/>
        <v>0</v>
      </c>
      <c r="R33" s="79">
        <f t="shared" si="3"/>
        <v>0</v>
      </c>
      <c r="S33" s="49"/>
      <c r="T33" s="84"/>
      <c r="U33" s="81">
        <v>0</v>
      </c>
      <c r="V33" s="79">
        <v>0</v>
      </c>
      <c r="W33" s="49"/>
      <c r="X33" s="84"/>
      <c r="Y33" s="81">
        <v>0</v>
      </c>
      <c r="Z33" s="79">
        <v>0</v>
      </c>
      <c r="AA33" s="49"/>
      <c r="AB33" s="84"/>
      <c r="AC33" s="81">
        <v>0</v>
      </c>
      <c r="AD33" s="79">
        <v>0</v>
      </c>
      <c r="AE33" s="49"/>
      <c r="AF33" s="84"/>
      <c r="AG33" s="81">
        <f t="shared" si="23"/>
        <v>0</v>
      </c>
      <c r="AH33" s="79">
        <f t="shared" si="4"/>
        <v>0</v>
      </c>
      <c r="AI33" s="48">
        <v>1920</v>
      </c>
      <c r="AJ33" s="84"/>
      <c r="AK33" s="81">
        <f t="shared" si="5"/>
        <v>0</v>
      </c>
      <c r="AL33" s="79">
        <f t="shared" si="6"/>
        <v>0</v>
      </c>
      <c r="AM33" s="48"/>
      <c r="AN33" s="84"/>
      <c r="AO33" s="81">
        <f t="shared" si="7"/>
        <v>0</v>
      </c>
      <c r="AP33" s="79">
        <f t="shared" si="8"/>
        <v>0</v>
      </c>
      <c r="AQ33" s="48"/>
      <c r="AR33" s="84"/>
      <c r="AS33" s="81">
        <f t="shared" si="9"/>
        <v>0</v>
      </c>
      <c r="AT33" s="79">
        <f t="shared" si="10"/>
        <v>0</v>
      </c>
      <c r="AU33" s="49"/>
      <c r="AV33" s="84"/>
      <c r="AW33" s="81">
        <v>0</v>
      </c>
      <c r="AX33" s="79">
        <v>0</v>
      </c>
      <c r="AY33" s="49"/>
      <c r="AZ33" s="84"/>
      <c r="BA33" s="81">
        <v>0</v>
      </c>
      <c r="BB33" s="79">
        <v>0</v>
      </c>
      <c r="BC33" s="49"/>
      <c r="BD33" s="84"/>
      <c r="BE33" s="81">
        <v>0</v>
      </c>
      <c r="BF33" s="79">
        <v>0</v>
      </c>
      <c r="BG33" s="49"/>
      <c r="BH33" s="84"/>
      <c r="BI33" s="81">
        <v>0</v>
      </c>
      <c r="BJ33" s="79">
        <v>0</v>
      </c>
      <c r="BK33" s="49"/>
      <c r="BL33" s="84"/>
      <c r="BM33" s="81">
        <v>0</v>
      </c>
      <c r="BN33" s="79">
        <v>0</v>
      </c>
      <c r="BO33" s="49"/>
      <c r="BP33" s="84"/>
      <c r="BQ33" s="81">
        <v>0</v>
      </c>
      <c r="BR33" s="79">
        <v>0</v>
      </c>
      <c r="BS33" s="49"/>
      <c r="BT33" s="84"/>
      <c r="BU33" s="81">
        <f t="shared" si="11"/>
        <v>0</v>
      </c>
      <c r="BV33" s="79">
        <f t="shared" si="12"/>
        <v>0</v>
      </c>
      <c r="BW33" s="48"/>
      <c r="BX33" s="84"/>
      <c r="BY33" s="81">
        <f t="shared" si="13"/>
        <v>0</v>
      </c>
      <c r="BZ33" s="79">
        <f t="shared" si="14"/>
        <v>0</v>
      </c>
      <c r="CA33" s="48"/>
      <c r="CB33" s="84"/>
      <c r="CC33" s="81">
        <v>0</v>
      </c>
      <c r="CD33" s="79">
        <v>0</v>
      </c>
      <c r="CE33" s="49"/>
      <c r="CF33" s="84"/>
      <c r="CG33" s="81">
        <f t="shared" si="15"/>
        <v>0</v>
      </c>
      <c r="CH33" s="79">
        <f t="shared" si="16"/>
        <v>0</v>
      </c>
      <c r="CI33" s="33"/>
      <c r="CJ33" s="84"/>
      <c r="CK33" s="81">
        <f t="shared" si="17"/>
        <v>0</v>
      </c>
      <c r="CL33" s="79">
        <f t="shared" si="18"/>
        <v>0</v>
      </c>
      <c r="CM33" s="34"/>
      <c r="CN33" s="34"/>
      <c r="CO33" s="34"/>
      <c r="CP33" s="34"/>
      <c r="CQ33" s="50">
        <f t="shared" si="19"/>
        <v>1</v>
      </c>
      <c r="CR33" s="77">
        <f t="shared" si="20"/>
        <v>0</v>
      </c>
      <c r="CS33" s="28"/>
    </row>
    <row r="34" spans="1:97" s="1" customFormat="1">
      <c r="A34" s="30" t="s">
        <v>139</v>
      </c>
      <c r="B34" s="47"/>
      <c r="C34" s="31" t="s">
        <v>140</v>
      </c>
      <c r="D34" s="32"/>
      <c r="E34" s="32"/>
      <c r="F34" s="87"/>
      <c r="G34" s="48">
        <v>1920</v>
      </c>
      <c r="H34" s="84"/>
      <c r="I34" s="80">
        <f t="shared" si="21"/>
        <v>0</v>
      </c>
      <c r="J34" s="79">
        <f t="shared" si="22"/>
        <v>0</v>
      </c>
      <c r="K34" s="49"/>
      <c r="L34" s="84"/>
      <c r="M34" s="81">
        <f t="shared" si="24"/>
        <v>0</v>
      </c>
      <c r="N34" s="79">
        <f t="shared" si="1"/>
        <v>0</v>
      </c>
      <c r="O34" s="48"/>
      <c r="P34" s="84"/>
      <c r="Q34" s="81">
        <f t="shared" si="2"/>
        <v>0</v>
      </c>
      <c r="R34" s="79">
        <f t="shared" si="3"/>
        <v>0</v>
      </c>
      <c r="S34" s="49"/>
      <c r="T34" s="84"/>
      <c r="U34" s="81">
        <v>0</v>
      </c>
      <c r="V34" s="79">
        <v>0</v>
      </c>
      <c r="W34" s="49"/>
      <c r="X34" s="84"/>
      <c r="Y34" s="81">
        <v>0</v>
      </c>
      <c r="Z34" s="79">
        <v>0</v>
      </c>
      <c r="AA34" s="49"/>
      <c r="AB34" s="84"/>
      <c r="AC34" s="81">
        <v>0</v>
      </c>
      <c r="AD34" s="79">
        <v>0</v>
      </c>
      <c r="AE34" s="49"/>
      <c r="AF34" s="84"/>
      <c r="AG34" s="81">
        <f t="shared" si="23"/>
        <v>0</v>
      </c>
      <c r="AH34" s="79">
        <f t="shared" si="4"/>
        <v>0</v>
      </c>
      <c r="AI34" s="48"/>
      <c r="AJ34" s="84"/>
      <c r="AK34" s="81">
        <f t="shared" si="5"/>
        <v>0</v>
      </c>
      <c r="AL34" s="79">
        <f t="shared" si="6"/>
        <v>0</v>
      </c>
      <c r="AM34" s="48"/>
      <c r="AN34" s="84"/>
      <c r="AO34" s="81">
        <f t="shared" si="7"/>
        <v>0</v>
      </c>
      <c r="AP34" s="79">
        <f t="shared" si="8"/>
        <v>0</v>
      </c>
      <c r="AQ34" s="48"/>
      <c r="AR34" s="84"/>
      <c r="AS34" s="81">
        <f t="shared" si="9"/>
        <v>0</v>
      </c>
      <c r="AT34" s="79">
        <f t="shared" si="10"/>
        <v>0</v>
      </c>
      <c r="AU34" s="49"/>
      <c r="AV34" s="84"/>
      <c r="AW34" s="81">
        <v>0</v>
      </c>
      <c r="AX34" s="79">
        <v>0</v>
      </c>
      <c r="AY34" s="49"/>
      <c r="AZ34" s="84"/>
      <c r="BA34" s="81">
        <v>0</v>
      </c>
      <c r="BB34" s="79">
        <v>0</v>
      </c>
      <c r="BC34" s="49"/>
      <c r="BD34" s="84"/>
      <c r="BE34" s="81">
        <v>0</v>
      </c>
      <c r="BF34" s="79">
        <v>0</v>
      </c>
      <c r="BG34" s="49"/>
      <c r="BH34" s="84"/>
      <c r="BI34" s="81">
        <v>0</v>
      </c>
      <c r="BJ34" s="79">
        <v>0</v>
      </c>
      <c r="BK34" s="49"/>
      <c r="BL34" s="84"/>
      <c r="BM34" s="81">
        <v>0</v>
      </c>
      <c r="BN34" s="79">
        <v>0</v>
      </c>
      <c r="BO34" s="49"/>
      <c r="BP34" s="84"/>
      <c r="BQ34" s="81">
        <v>0</v>
      </c>
      <c r="BR34" s="79">
        <v>0</v>
      </c>
      <c r="BS34" s="49"/>
      <c r="BT34" s="84"/>
      <c r="BU34" s="81">
        <f t="shared" si="11"/>
        <v>0</v>
      </c>
      <c r="BV34" s="79">
        <f t="shared" si="12"/>
        <v>0</v>
      </c>
      <c r="BW34" s="48"/>
      <c r="BX34" s="84"/>
      <c r="BY34" s="81">
        <f t="shared" si="13"/>
        <v>0</v>
      </c>
      <c r="BZ34" s="79">
        <f t="shared" si="14"/>
        <v>0</v>
      </c>
      <c r="CA34" s="48"/>
      <c r="CB34" s="84"/>
      <c r="CC34" s="81">
        <v>0</v>
      </c>
      <c r="CD34" s="79">
        <v>0</v>
      </c>
      <c r="CE34" s="49"/>
      <c r="CF34" s="84"/>
      <c r="CG34" s="81">
        <f t="shared" si="15"/>
        <v>0</v>
      </c>
      <c r="CH34" s="79">
        <f t="shared" si="16"/>
        <v>0</v>
      </c>
      <c r="CI34" s="33"/>
      <c r="CJ34" s="84"/>
      <c r="CK34" s="81">
        <f t="shared" si="17"/>
        <v>0</v>
      </c>
      <c r="CL34" s="79">
        <f t="shared" si="18"/>
        <v>0</v>
      </c>
      <c r="CM34" s="34"/>
      <c r="CN34" s="34"/>
      <c r="CO34" s="34"/>
      <c r="CP34" s="34"/>
      <c r="CQ34" s="50">
        <f t="shared" si="19"/>
        <v>1</v>
      </c>
      <c r="CR34" s="77">
        <f t="shared" si="20"/>
        <v>0</v>
      </c>
      <c r="CS34" s="28"/>
    </row>
    <row r="35" spans="1:97" s="1" customFormat="1">
      <c r="A35" s="30" t="s">
        <v>141</v>
      </c>
      <c r="B35" s="47"/>
      <c r="C35" s="63" t="s">
        <v>120</v>
      </c>
      <c r="D35" s="32"/>
      <c r="E35" s="32"/>
      <c r="F35" s="87"/>
      <c r="G35" s="48"/>
      <c r="H35" s="84"/>
      <c r="I35" s="80">
        <f t="shared" si="21"/>
        <v>0</v>
      </c>
      <c r="J35" s="79">
        <f t="shared" si="22"/>
        <v>0</v>
      </c>
      <c r="K35" s="49">
        <v>11520</v>
      </c>
      <c r="L35" s="84"/>
      <c r="M35" s="81">
        <f t="shared" si="24"/>
        <v>0</v>
      </c>
      <c r="N35" s="79">
        <f t="shared" si="1"/>
        <v>0</v>
      </c>
      <c r="O35" s="48"/>
      <c r="P35" s="84"/>
      <c r="Q35" s="81">
        <f t="shared" si="2"/>
        <v>0</v>
      </c>
      <c r="R35" s="79">
        <f t="shared" si="3"/>
        <v>0</v>
      </c>
      <c r="S35" s="49"/>
      <c r="T35" s="84"/>
      <c r="U35" s="81">
        <v>0</v>
      </c>
      <c r="V35" s="79">
        <v>0</v>
      </c>
      <c r="W35" s="49"/>
      <c r="X35" s="84"/>
      <c r="Y35" s="81">
        <v>0</v>
      </c>
      <c r="Z35" s="79">
        <v>0</v>
      </c>
      <c r="AA35" s="49"/>
      <c r="AB35" s="84"/>
      <c r="AC35" s="81">
        <v>0</v>
      </c>
      <c r="AD35" s="79">
        <v>0</v>
      </c>
      <c r="AE35" s="49"/>
      <c r="AF35" s="84"/>
      <c r="AG35" s="81">
        <f t="shared" si="23"/>
        <v>0</v>
      </c>
      <c r="AH35" s="79">
        <f t="shared" si="4"/>
        <v>0</v>
      </c>
      <c r="AI35" s="48"/>
      <c r="AJ35" s="84"/>
      <c r="AK35" s="81">
        <f t="shared" si="5"/>
        <v>0</v>
      </c>
      <c r="AL35" s="79">
        <f t="shared" si="6"/>
        <v>0</v>
      </c>
      <c r="AM35" s="48">
        <v>1920</v>
      </c>
      <c r="AN35" s="84"/>
      <c r="AO35" s="81">
        <f t="shared" si="7"/>
        <v>0</v>
      </c>
      <c r="AP35" s="79">
        <f t="shared" si="8"/>
        <v>0</v>
      </c>
      <c r="AQ35" s="48"/>
      <c r="AR35" s="84"/>
      <c r="AS35" s="81">
        <f t="shared" si="9"/>
        <v>0</v>
      </c>
      <c r="AT35" s="79">
        <f t="shared" si="10"/>
        <v>0</v>
      </c>
      <c r="AU35" s="49"/>
      <c r="AV35" s="84"/>
      <c r="AW35" s="81">
        <v>0</v>
      </c>
      <c r="AX35" s="79">
        <v>0</v>
      </c>
      <c r="AY35" s="49"/>
      <c r="AZ35" s="84"/>
      <c r="BA35" s="81">
        <v>0</v>
      </c>
      <c r="BB35" s="79">
        <v>0</v>
      </c>
      <c r="BC35" s="49"/>
      <c r="BD35" s="84"/>
      <c r="BE35" s="81">
        <v>0</v>
      </c>
      <c r="BF35" s="79">
        <v>0</v>
      </c>
      <c r="BG35" s="49"/>
      <c r="BH35" s="84"/>
      <c r="BI35" s="81">
        <v>0</v>
      </c>
      <c r="BJ35" s="79">
        <v>0</v>
      </c>
      <c r="BK35" s="49"/>
      <c r="BL35" s="84"/>
      <c r="BM35" s="81">
        <v>0</v>
      </c>
      <c r="BN35" s="79">
        <v>0</v>
      </c>
      <c r="BO35" s="49"/>
      <c r="BP35" s="84"/>
      <c r="BQ35" s="81">
        <v>0</v>
      </c>
      <c r="BR35" s="79">
        <v>0</v>
      </c>
      <c r="BS35" s="49"/>
      <c r="BT35" s="84"/>
      <c r="BU35" s="81">
        <f t="shared" si="11"/>
        <v>0</v>
      </c>
      <c r="BV35" s="79">
        <f t="shared" si="12"/>
        <v>0</v>
      </c>
      <c r="BW35" s="48"/>
      <c r="BX35" s="84"/>
      <c r="BY35" s="81">
        <f t="shared" si="13"/>
        <v>0</v>
      </c>
      <c r="BZ35" s="79">
        <f t="shared" si="14"/>
        <v>0</v>
      </c>
      <c r="CA35" s="48"/>
      <c r="CB35" s="84"/>
      <c r="CC35" s="81">
        <v>0</v>
      </c>
      <c r="CD35" s="79">
        <v>0</v>
      </c>
      <c r="CE35" s="49"/>
      <c r="CF35" s="84"/>
      <c r="CG35" s="81">
        <f t="shared" si="15"/>
        <v>0</v>
      </c>
      <c r="CH35" s="79">
        <f t="shared" si="16"/>
        <v>0</v>
      </c>
      <c r="CI35" s="33"/>
      <c r="CJ35" s="84"/>
      <c r="CK35" s="81">
        <f t="shared" si="17"/>
        <v>0</v>
      </c>
      <c r="CL35" s="79">
        <f t="shared" si="18"/>
        <v>0</v>
      </c>
      <c r="CM35" s="34"/>
      <c r="CN35" s="34"/>
      <c r="CO35" s="34"/>
      <c r="CP35" s="34"/>
      <c r="CQ35" s="50">
        <f t="shared" si="19"/>
        <v>1</v>
      </c>
      <c r="CR35" s="77">
        <f t="shared" si="20"/>
        <v>0</v>
      </c>
      <c r="CS35" s="28"/>
    </row>
    <row r="36" spans="1:97" s="1" customFormat="1">
      <c r="A36" s="30" t="s">
        <v>141</v>
      </c>
      <c r="B36" s="47"/>
      <c r="C36" s="31" t="s">
        <v>121</v>
      </c>
      <c r="D36" s="32"/>
      <c r="E36" s="32"/>
      <c r="F36" s="87"/>
      <c r="G36" s="48">
        <v>3840</v>
      </c>
      <c r="H36" s="84"/>
      <c r="I36" s="80">
        <f t="shared" si="21"/>
        <v>0</v>
      </c>
      <c r="J36" s="79">
        <f t="shared" si="22"/>
        <v>0</v>
      </c>
      <c r="K36" s="49"/>
      <c r="L36" s="84"/>
      <c r="M36" s="81">
        <f t="shared" si="24"/>
        <v>0</v>
      </c>
      <c r="N36" s="79">
        <f t="shared" si="1"/>
        <v>0</v>
      </c>
      <c r="O36" s="48"/>
      <c r="P36" s="84"/>
      <c r="Q36" s="81">
        <f t="shared" si="2"/>
        <v>0</v>
      </c>
      <c r="R36" s="79">
        <f t="shared" si="3"/>
        <v>0</v>
      </c>
      <c r="S36" s="49"/>
      <c r="T36" s="84"/>
      <c r="U36" s="81">
        <v>0</v>
      </c>
      <c r="V36" s="79">
        <v>0</v>
      </c>
      <c r="W36" s="49"/>
      <c r="X36" s="84"/>
      <c r="Y36" s="81">
        <v>0</v>
      </c>
      <c r="Z36" s="79">
        <v>0</v>
      </c>
      <c r="AA36" s="49"/>
      <c r="AB36" s="84"/>
      <c r="AC36" s="81">
        <v>0</v>
      </c>
      <c r="AD36" s="79">
        <v>0</v>
      </c>
      <c r="AE36" s="49"/>
      <c r="AF36" s="84"/>
      <c r="AG36" s="81">
        <f t="shared" si="23"/>
        <v>0</v>
      </c>
      <c r="AH36" s="79">
        <f t="shared" si="4"/>
        <v>0</v>
      </c>
      <c r="AI36" s="48">
        <v>1920</v>
      </c>
      <c r="AJ36" s="84"/>
      <c r="AK36" s="81">
        <f t="shared" si="5"/>
        <v>0</v>
      </c>
      <c r="AL36" s="79">
        <f t="shared" si="6"/>
        <v>0</v>
      </c>
      <c r="AM36" s="48"/>
      <c r="AN36" s="84"/>
      <c r="AO36" s="81">
        <f t="shared" si="7"/>
        <v>0</v>
      </c>
      <c r="AP36" s="79">
        <f t="shared" si="8"/>
        <v>0</v>
      </c>
      <c r="AQ36" s="48"/>
      <c r="AR36" s="84"/>
      <c r="AS36" s="81">
        <f t="shared" si="9"/>
        <v>0</v>
      </c>
      <c r="AT36" s="79">
        <f t="shared" si="10"/>
        <v>0</v>
      </c>
      <c r="AU36" s="49"/>
      <c r="AV36" s="84"/>
      <c r="AW36" s="81">
        <v>0</v>
      </c>
      <c r="AX36" s="79">
        <v>0</v>
      </c>
      <c r="AY36" s="49"/>
      <c r="AZ36" s="84"/>
      <c r="BA36" s="81">
        <v>0</v>
      </c>
      <c r="BB36" s="79">
        <v>0</v>
      </c>
      <c r="BC36" s="49"/>
      <c r="BD36" s="84"/>
      <c r="BE36" s="81">
        <v>0</v>
      </c>
      <c r="BF36" s="79">
        <v>0</v>
      </c>
      <c r="BG36" s="49"/>
      <c r="BH36" s="84"/>
      <c r="BI36" s="81">
        <v>0</v>
      </c>
      <c r="BJ36" s="79">
        <v>0</v>
      </c>
      <c r="BK36" s="49"/>
      <c r="BL36" s="84"/>
      <c r="BM36" s="81">
        <v>0</v>
      </c>
      <c r="BN36" s="79">
        <v>0</v>
      </c>
      <c r="BO36" s="49"/>
      <c r="BP36" s="84"/>
      <c r="BQ36" s="81">
        <v>0</v>
      </c>
      <c r="BR36" s="79">
        <v>0</v>
      </c>
      <c r="BS36" s="49"/>
      <c r="BT36" s="84"/>
      <c r="BU36" s="81">
        <f t="shared" si="11"/>
        <v>0</v>
      </c>
      <c r="BV36" s="79">
        <f t="shared" si="12"/>
        <v>0</v>
      </c>
      <c r="BW36" s="48"/>
      <c r="BX36" s="84"/>
      <c r="BY36" s="81">
        <f t="shared" si="13"/>
        <v>0</v>
      </c>
      <c r="BZ36" s="79">
        <f t="shared" si="14"/>
        <v>0</v>
      </c>
      <c r="CA36" s="48"/>
      <c r="CB36" s="84"/>
      <c r="CC36" s="81">
        <v>0</v>
      </c>
      <c r="CD36" s="79">
        <v>0</v>
      </c>
      <c r="CE36" s="49"/>
      <c r="CF36" s="84"/>
      <c r="CG36" s="81">
        <f t="shared" si="15"/>
        <v>0</v>
      </c>
      <c r="CH36" s="79">
        <f t="shared" si="16"/>
        <v>0</v>
      </c>
      <c r="CI36" s="33"/>
      <c r="CJ36" s="84"/>
      <c r="CK36" s="81">
        <f t="shared" si="17"/>
        <v>0</v>
      </c>
      <c r="CL36" s="79">
        <f t="shared" si="18"/>
        <v>0</v>
      </c>
      <c r="CM36" s="34"/>
      <c r="CN36" s="34"/>
      <c r="CO36" s="34"/>
      <c r="CP36" s="34"/>
      <c r="CQ36" s="50">
        <f t="shared" si="19"/>
        <v>1</v>
      </c>
      <c r="CR36" s="77">
        <f t="shared" si="20"/>
        <v>0</v>
      </c>
      <c r="CS36" s="28"/>
    </row>
    <row r="37" spans="1:97" s="1" customFormat="1">
      <c r="A37" s="30" t="s">
        <v>141</v>
      </c>
      <c r="B37" s="47"/>
      <c r="C37" s="36" t="s">
        <v>123</v>
      </c>
      <c r="D37" s="32"/>
      <c r="E37" s="32"/>
      <c r="F37" s="87"/>
      <c r="G37" s="48">
        <v>11520</v>
      </c>
      <c r="H37" s="84"/>
      <c r="I37" s="80">
        <f t="shared" si="21"/>
        <v>0</v>
      </c>
      <c r="J37" s="79">
        <f t="shared" si="22"/>
        <v>0</v>
      </c>
      <c r="K37" s="49">
        <v>1920</v>
      </c>
      <c r="L37" s="84"/>
      <c r="M37" s="81">
        <f t="shared" si="24"/>
        <v>0</v>
      </c>
      <c r="N37" s="79">
        <f t="shared" si="1"/>
        <v>0</v>
      </c>
      <c r="O37" s="48"/>
      <c r="P37" s="84"/>
      <c r="Q37" s="81">
        <f t="shared" si="2"/>
        <v>0</v>
      </c>
      <c r="R37" s="79">
        <f t="shared" si="3"/>
        <v>0</v>
      </c>
      <c r="S37" s="49"/>
      <c r="T37" s="84"/>
      <c r="U37" s="81">
        <v>0</v>
      </c>
      <c r="V37" s="79">
        <v>0</v>
      </c>
      <c r="W37" s="49"/>
      <c r="X37" s="84"/>
      <c r="Y37" s="81">
        <v>0</v>
      </c>
      <c r="Z37" s="79">
        <v>0</v>
      </c>
      <c r="AA37" s="49"/>
      <c r="AB37" s="84"/>
      <c r="AC37" s="81">
        <v>0</v>
      </c>
      <c r="AD37" s="79">
        <v>0</v>
      </c>
      <c r="AE37" s="49"/>
      <c r="AF37" s="84"/>
      <c r="AG37" s="81">
        <f t="shared" si="23"/>
        <v>0</v>
      </c>
      <c r="AH37" s="79">
        <f t="shared" si="4"/>
        <v>0</v>
      </c>
      <c r="AI37" s="48">
        <v>1920</v>
      </c>
      <c r="AJ37" s="84"/>
      <c r="AK37" s="81">
        <f t="shared" si="5"/>
        <v>0</v>
      </c>
      <c r="AL37" s="79">
        <f t="shared" si="6"/>
        <v>0</v>
      </c>
      <c r="AM37" s="48"/>
      <c r="AN37" s="84"/>
      <c r="AO37" s="81">
        <f t="shared" si="7"/>
        <v>0</v>
      </c>
      <c r="AP37" s="79">
        <f t="shared" si="8"/>
        <v>0</v>
      </c>
      <c r="AQ37" s="48"/>
      <c r="AR37" s="84"/>
      <c r="AS37" s="81">
        <f t="shared" si="9"/>
        <v>0</v>
      </c>
      <c r="AT37" s="79">
        <f t="shared" si="10"/>
        <v>0</v>
      </c>
      <c r="AU37" s="49"/>
      <c r="AV37" s="84"/>
      <c r="AW37" s="81">
        <v>0</v>
      </c>
      <c r="AX37" s="79">
        <v>0</v>
      </c>
      <c r="AY37" s="49"/>
      <c r="AZ37" s="84"/>
      <c r="BA37" s="81">
        <v>0</v>
      </c>
      <c r="BB37" s="79">
        <v>0</v>
      </c>
      <c r="BC37" s="49"/>
      <c r="BD37" s="84"/>
      <c r="BE37" s="81">
        <v>0</v>
      </c>
      <c r="BF37" s="79">
        <v>0</v>
      </c>
      <c r="BG37" s="49"/>
      <c r="BH37" s="84"/>
      <c r="BI37" s="81">
        <v>0</v>
      </c>
      <c r="BJ37" s="79">
        <v>0</v>
      </c>
      <c r="BK37" s="49"/>
      <c r="BL37" s="84"/>
      <c r="BM37" s="81">
        <v>0</v>
      </c>
      <c r="BN37" s="79">
        <v>0</v>
      </c>
      <c r="BO37" s="49"/>
      <c r="BP37" s="84"/>
      <c r="BQ37" s="81">
        <v>0</v>
      </c>
      <c r="BR37" s="79">
        <v>0</v>
      </c>
      <c r="BS37" s="49"/>
      <c r="BT37" s="84"/>
      <c r="BU37" s="81">
        <f t="shared" si="11"/>
        <v>0</v>
      </c>
      <c r="BV37" s="79">
        <f t="shared" si="12"/>
        <v>0</v>
      </c>
      <c r="BW37" s="48"/>
      <c r="BX37" s="84"/>
      <c r="BY37" s="81">
        <f t="shared" si="13"/>
        <v>0</v>
      </c>
      <c r="BZ37" s="79">
        <f t="shared" si="14"/>
        <v>0</v>
      </c>
      <c r="CA37" s="48"/>
      <c r="CB37" s="84"/>
      <c r="CC37" s="81">
        <v>0</v>
      </c>
      <c r="CD37" s="79">
        <v>0</v>
      </c>
      <c r="CE37" s="49"/>
      <c r="CF37" s="84"/>
      <c r="CG37" s="81">
        <f t="shared" si="15"/>
        <v>0</v>
      </c>
      <c r="CH37" s="79">
        <f t="shared" si="16"/>
        <v>0</v>
      </c>
      <c r="CI37" s="33"/>
      <c r="CJ37" s="84"/>
      <c r="CK37" s="81">
        <f t="shared" si="17"/>
        <v>0</v>
      </c>
      <c r="CL37" s="79">
        <f t="shared" si="18"/>
        <v>0</v>
      </c>
      <c r="CM37" s="34"/>
      <c r="CN37" s="34"/>
      <c r="CO37" s="34"/>
      <c r="CP37" s="34"/>
      <c r="CQ37" s="50">
        <f t="shared" si="19"/>
        <v>1</v>
      </c>
      <c r="CR37" s="77">
        <f t="shared" si="20"/>
        <v>0</v>
      </c>
      <c r="CS37" s="28"/>
    </row>
    <row r="38" spans="1:97" s="1" customFormat="1">
      <c r="A38" s="30" t="s">
        <v>142</v>
      </c>
      <c r="B38" s="47"/>
      <c r="C38" s="31" t="s">
        <v>143</v>
      </c>
      <c r="D38" s="32"/>
      <c r="E38" s="32"/>
      <c r="F38" s="87"/>
      <c r="G38" s="48"/>
      <c r="H38" s="84"/>
      <c r="I38" s="80">
        <f t="shared" si="21"/>
        <v>0</v>
      </c>
      <c r="J38" s="79">
        <f t="shared" si="22"/>
        <v>0</v>
      </c>
      <c r="K38" s="49"/>
      <c r="L38" s="84"/>
      <c r="M38" s="81">
        <f t="shared" si="24"/>
        <v>0</v>
      </c>
      <c r="N38" s="79">
        <f t="shared" si="1"/>
        <v>0</v>
      </c>
      <c r="O38" s="48"/>
      <c r="P38" s="84"/>
      <c r="Q38" s="81">
        <f t="shared" si="2"/>
        <v>0</v>
      </c>
      <c r="R38" s="79">
        <f t="shared" si="3"/>
        <v>0</v>
      </c>
      <c r="S38" s="49"/>
      <c r="T38" s="84"/>
      <c r="U38" s="81">
        <v>0</v>
      </c>
      <c r="V38" s="79">
        <v>0</v>
      </c>
      <c r="W38" s="49"/>
      <c r="X38" s="84"/>
      <c r="Y38" s="81">
        <v>0</v>
      </c>
      <c r="Z38" s="79">
        <v>0</v>
      </c>
      <c r="AA38" s="49"/>
      <c r="AB38" s="84"/>
      <c r="AC38" s="81">
        <v>0</v>
      </c>
      <c r="AD38" s="79">
        <v>0</v>
      </c>
      <c r="AE38" s="49"/>
      <c r="AF38" s="84"/>
      <c r="AG38" s="81">
        <f t="shared" si="23"/>
        <v>0</v>
      </c>
      <c r="AH38" s="79">
        <f t="shared" si="4"/>
        <v>0</v>
      </c>
      <c r="AI38" s="48"/>
      <c r="AJ38" s="84"/>
      <c r="AK38" s="81">
        <f t="shared" si="5"/>
        <v>0</v>
      </c>
      <c r="AL38" s="79">
        <f t="shared" si="6"/>
        <v>0</v>
      </c>
      <c r="AM38" s="48"/>
      <c r="AN38" s="84"/>
      <c r="AO38" s="81">
        <f t="shared" si="7"/>
        <v>0</v>
      </c>
      <c r="AP38" s="79">
        <f t="shared" si="8"/>
        <v>0</v>
      </c>
      <c r="AQ38" s="48">
        <v>3840</v>
      </c>
      <c r="AR38" s="84"/>
      <c r="AS38" s="81">
        <f t="shared" si="9"/>
        <v>0</v>
      </c>
      <c r="AT38" s="79">
        <f t="shared" si="10"/>
        <v>0</v>
      </c>
      <c r="AU38" s="49"/>
      <c r="AV38" s="84"/>
      <c r="AW38" s="81">
        <v>0</v>
      </c>
      <c r="AX38" s="79">
        <v>0</v>
      </c>
      <c r="AY38" s="49"/>
      <c r="AZ38" s="84"/>
      <c r="BA38" s="81">
        <v>0</v>
      </c>
      <c r="BB38" s="79">
        <v>0</v>
      </c>
      <c r="BC38" s="49"/>
      <c r="BD38" s="84"/>
      <c r="BE38" s="81">
        <v>0</v>
      </c>
      <c r="BF38" s="79">
        <v>0</v>
      </c>
      <c r="BG38" s="49"/>
      <c r="BH38" s="84"/>
      <c r="BI38" s="81">
        <v>0</v>
      </c>
      <c r="BJ38" s="79">
        <v>0</v>
      </c>
      <c r="BK38" s="49"/>
      <c r="BL38" s="84"/>
      <c r="BM38" s="81">
        <v>0</v>
      </c>
      <c r="BN38" s="79">
        <v>0</v>
      </c>
      <c r="BO38" s="49"/>
      <c r="BP38" s="84"/>
      <c r="BQ38" s="81">
        <v>0</v>
      </c>
      <c r="BR38" s="79">
        <v>0</v>
      </c>
      <c r="BS38" s="49"/>
      <c r="BT38" s="84"/>
      <c r="BU38" s="81">
        <f t="shared" si="11"/>
        <v>0</v>
      </c>
      <c r="BV38" s="79">
        <f t="shared" si="12"/>
        <v>0</v>
      </c>
      <c r="BW38" s="48"/>
      <c r="BX38" s="84"/>
      <c r="BY38" s="81">
        <f t="shared" si="13"/>
        <v>0</v>
      </c>
      <c r="BZ38" s="79">
        <f t="shared" si="14"/>
        <v>0</v>
      </c>
      <c r="CA38" s="48"/>
      <c r="CB38" s="84"/>
      <c r="CC38" s="81">
        <v>0</v>
      </c>
      <c r="CD38" s="79">
        <v>0</v>
      </c>
      <c r="CE38" s="49"/>
      <c r="CF38" s="84"/>
      <c r="CG38" s="81">
        <f t="shared" si="15"/>
        <v>0</v>
      </c>
      <c r="CH38" s="79">
        <f t="shared" si="16"/>
        <v>0</v>
      </c>
      <c r="CI38" s="33"/>
      <c r="CJ38" s="84"/>
      <c r="CK38" s="81">
        <f t="shared" si="17"/>
        <v>0</v>
      </c>
      <c r="CL38" s="79">
        <f t="shared" si="18"/>
        <v>0</v>
      </c>
      <c r="CM38" s="34"/>
      <c r="CN38" s="34"/>
      <c r="CO38" s="34"/>
      <c r="CP38" s="34"/>
      <c r="CQ38" s="50">
        <f t="shared" si="19"/>
        <v>1</v>
      </c>
      <c r="CR38" s="77">
        <f t="shared" si="20"/>
        <v>0</v>
      </c>
      <c r="CS38" s="28"/>
    </row>
    <row r="39" spans="1:97" s="1" customFormat="1">
      <c r="A39" s="30" t="s">
        <v>144</v>
      </c>
      <c r="B39" s="47"/>
      <c r="C39" s="63" t="s">
        <v>120</v>
      </c>
      <c r="D39" s="32"/>
      <c r="E39" s="32"/>
      <c r="F39" s="87"/>
      <c r="G39" s="48">
        <v>5760</v>
      </c>
      <c r="H39" s="84"/>
      <c r="I39" s="80">
        <f t="shared" si="21"/>
        <v>0</v>
      </c>
      <c r="J39" s="79">
        <f t="shared" si="22"/>
        <v>0</v>
      </c>
      <c r="K39" s="49"/>
      <c r="L39" s="84"/>
      <c r="M39" s="81">
        <f t="shared" si="24"/>
        <v>0</v>
      </c>
      <c r="N39" s="79">
        <f t="shared" si="1"/>
        <v>0</v>
      </c>
      <c r="O39" s="48"/>
      <c r="P39" s="84"/>
      <c r="Q39" s="81">
        <f t="shared" si="2"/>
        <v>0</v>
      </c>
      <c r="R39" s="79">
        <f t="shared" si="3"/>
        <v>0</v>
      </c>
      <c r="S39" s="49"/>
      <c r="T39" s="84"/>
      <c r="U39" s="81">
        <v>0</v>
      </c>
      <c r="V39" s="79">
        <v>0</v>
      </c>
      <c r="W39" s="49"/>
      <c r="X39" s="84"/>
      <c r="Y39" s="81">
        <v>0</v>
      </c>
      <c r="Z39" s="79">
        <v>0</v>
      </c>
      <c r="AA39" s="49"/>
      <c r="AB39" s="84"/>
      <c r="AC39" s="81">
        <v>0</v>
      </c>
      <c r="AD39" s="79">
        <v>0</v>
      </c>
      <c r="AE39" s="49"/>
      <c r="AF39" s="84"/>
      <c r="AG39" s="81">
        <f t="shared" si="23"/>
        <v>0</v>
      </c>
      <c r="AH39" s="79">
        <f t="shared" si="4"/>
        <v>0</v>
      </c>
      <c r="AI39" s="48">
        <v>5760</v>
      </c>
      <c r="AJ39" s="84"/>
      <c r="AK39" s="81">
        <f t="shared" si="5"/>
        <v>0</v>
      </c>
      <c r="AL39" s="79">
        <f t="shared" si="6"/>
        <v>0</v>
      </c>
      <c r="AM39" s="48"/>
      <c r="AN39" s="84"/>
      <c r="AO39" s="81">
        <f t="shared" si="7"/>
        <v>0</v>
      </c>
      <c r="AP39" s="79">
        <f t="shared" si="8"/>
        <v>0</v>
      </c>
      <c r="AQ39" s="48"/>
      <c r="AR39" s="84"/>
      <c r="AS39" s="81">
        <f t="shared" si="9"/>
        <v>0</v>
      </c>
      <c r="AT39" s="79">
        <f t="shared" si="10"/>
        <v>0</v>
      </c>
      <c r="AU39" s="54">
        <v>1920</v>
      </c>
      <c r="AV39" s="84"/>
      <c r="AW39" s="81">
        <v>0</v>
      </c>
      <c r="AX39" s="79">
        <v>0</v>
      </c>
      <c r="AY39" s="54">
        <v>1920</v>
      </c>
      <c r="AZ39" s="84"/>
      <c r="BA39" s="81">
        <v>0</v>
      </c>
      <c r="BB39" s="79">
        <v>0</v>
      </c>
      <c r="BC39" s="54">
        <v>9600</v>
      </c>
      <c r="BD39" s="84"/>
      <c r="BE39" s="81">
        <v>0</v>
      </c>
      <c r="BF39" s="79">
        <v>0</v>
      </c>
      <c r="BG39" s="49"/>
      <c r="BH39" s="84"/>
      <c r="BI39" s="81">
        <v>0</v>
      </c>
      <c r="BJ39" s="79">
        <v>0</v>
      </c>
      <c r="BK39" s="49"/>
      <c r="BL39" s="84"/>
      <c r="BM39" s="81">
        <v>0</v>
      </c>
      <c r="BN39" s="79">
        <v>0</v>
      </c>
      <c r="BO39" s="49"/>
      <c r="BP39" s="84"/>
      <c r="BQ39" s="81">
        <v>0</v>
      </c>
      <c r="BR39" s="79">
        <v>0</v>
      </c>
      <c r="BS39" s="49"/>
      <c r="BT39" s="84"/>
      <c r="BU39" s="81">
        <f t="shared" si="11"/>
        <v>0</v>
      </c>
      <c r="BV39" s="79">
        <f t="shared" si="12"/>
        <v>0</v>
      </c>
      <c r="BW39" s="48"/>
      <c r="BX39" s="84"/>
      <c r="BY39" s="81">
        <f t="shared" si="13"/>
        <v>0</v>
      </c>
      <c r="BZ39" s="79">
        <f t="shared" si="14"/>
        <v>0</v>
      </c>
      <c r="CA39" s="48"/>
      <c r="CB39" s="84"/>
      <c r="CC39" s="81">
        <v>0</v>
      </c>
      <c r="CD39" s="79">
        <v>0</v>
      </c>
      <c r="CE39" s="49"/>
      <c r="CF39" s="84"/>
      <c r="CG39" s="81">
        <f t="shared" si="15"/>
        <v>0</v>
      </c>
      <c r="CH39" s="79">
        <f t="shared" si="16"/>
        <v>0</v>
      </c>
      <c r="CI39" s="33"/>
      <c r="CJ39" s="84"/>
      <c r="CK39" s="81">
        <f t="shared" si="17"/>
        <v>0</v>
      </c>
      <c r="CL39" s="79">
        <f t="shared" si="18"/>
        <v>0</v>
      </c>
      <c r="CM39" s="34"/>
      <c r="CN39" s="34"/>
      <c r="CO39" s="34"/>
      <c r="CP39" s="34"/>
      <c r="CQ39" s="50">
        <f t="shared" si="19"/>
        <v>1</v>
      </c>
      <c r="CR39" s="77">
        <f t="shared" si="20"/>
        <v>0</v>
      </c>
      <c r="CS39" s="28"/>
    </row>
    <row r="40" spans="1:97" s="1" customFormat="1">
      <c r="A40" s="30" t="s">
        <v>144</v>
      </c>
      <c r="B40" s="47"/>
      <c r="C40" s="31" t="s">
        <v>123</v>
      </c>
      <c r="D40" s="32"/>
      <c r="E40" s="32"/>
      <c r="F40" s="87"/>
      <c r="G40" s="48">
        <v>1920</v>
      </c>
      <c r="H40" s="84"/>
      <c r="I40" s="80">
        <f t="shared" si="21"/>
        <v>0</v>
      </c>
      <c r="J40" s="79">
        <f t="shared" si="22"/>
        <v>0</v>
      </c>
      <c r="K40" s="49"/>
      <c r="L40" s="84"/>
      <c r="M40" s="81">
        <f t="shared" si="24"/>
        <v>0</v>
      </c>
      <c r="N40" s="79">
        <f t="shared" si="1"/>
        <v>0</v>
      </c>
      <c r="O40" s="48">
        <v>24960</v>
      </c>
      <c r="P40" s="84"/>
      <c r="Q40" s="81">
        <f t="shared" si="2"/>
        <v>0</v>
      </c>
      <c r="R40" s="79">
        <f t="shared" si="3"/>
        <v>0</v>
      </c>
      <c r="S40" s="49"/>
      <c r="T40" s="84"/>
      <c r="U40" s="81">
        <v>0</v>
      </c>
      <c r="V40" s="79">
        <v>0</v>
      </c>
      <c r="W40" s="49"/>
      <c r="X40" s="84"/>
      <c r="Y40" s="81">
        <v>0</v>
      </c>
      <c r="Z40" s="79">
        <v>0</v>
      </c>
      <c r="AA40" s="49"/>
      <c r="AB40" s="84"/>
      <c r="AC40" s="81">
        <v>0</v>
      </c>
      <c r="AD40" s="79">
        <v>0</v>
      </c>
      <c r="AE40" s="49"/>
      <c r="AF40" s="84"/>
      <c r="AG40" s="81">
        <f t="shared" si="23"/>
        <v>0</v>
      </c>
      <c r="AH40" s="79">
        <f t="shared" si="4"/>
        <v>0</v>
      </c>
      <c r="AI40" s="48"/>
      <c r="AJ40" s="84"/>
      <c r="AK40" s="81">
        <f t="shared" si="5"/>
        <v>0</v>
      </c>
      <c r="AL40" s="79">
        <f t="shared" si="6"/>
        <v>0</v>
      </c>
      <c r="AM40" s="48"/>
      <c r="AN40" s="84"/>
      <c r="AO40" s="81">
        <f t="shared" si="7"/>
        <v>0</v>
      </c>
      <c r="AP40" s="79">
        <f t="shared" si="8"/>
        <v>0</v>
      </c>
      <c r="AQ40" s="48"/>
      <c r="AR40" s="84"/>
      <c r="AS40" s="81">
        <f t="shared" si="9"/>
        <v>0</v>
      </c>
      <c r="AT40" s="79">
        <f t="shared" si="10"/>
        <v>0</v>
      </c>
      <c r="AU40" s="49"/>
      <c r="AV40" s="84"/>
      <c r="AW40" s="81">
        <v>0</v>
      </c>
      <c r="AX40" s="79">
        <v>0</v>
      </c>
      <c r="AY40" s="49"/>
      <c r="AZ40" s="84"/>
      <c r="BA40" s="81">
        <v>0</v>
      </c>
      <c r="BB40" s="79">
        <v>0</v>
      </c>
      <c r="BC40" s="49"/>
      <c r="BD40" s="84"/>
      <c r="BE40" s="81">
        <v>0</v>
      </c>
      <c r="BF40" s="79">
        <v>0</v>
      </c>
      <c r="BG40" s="49"/>
      <c r="BH40" s="84"/>
      <c r="BI40" s="81">
        <v>0</v>
      </c>
      <c r="BJ40" s="79">
        <v>0</v>
      </c>
      <c r="BK40" s="49"/>
      <c r="BL40" s="84"/>
      <c r="BM40" s="81">
        <v>0</v>
      </c>
      <c r="BN40" s="79">
        <v>0</v>
      </c>
      <c r="BO40" s="49"/>
      <c r="BP40" s="84"/>
      <c r="BQ40" s="81">
        <v>0</v>
      </c>
      <c r="BR40" s="79">
        <v>0</v>
      </c>
      <c r="BS40" s="49"/>
      <c r="BT40" s="84"/>
      <c r="BU40" s="81">
        <f t="shared" si="11"/>
        <v>0</v>
      </c>
      <c r="BV40" s="79">
        <f t="shared" si="12"/>
        <v>0</v>
      </c>
      <c r="BW40" s="48"/>
      <c r="BX40" s="84"/>
      <c r="BY40" s="81">
        <f t="shared" si="13"/>
        <v>0</v>
      </c>
      <c r="BZ40" s="79">
        <f t="shared" si="14"/>
        <v>0</v>
      </c>
      <c r="CA40" s="48"/>
      <c r="CB40" s="84"/>
      <c r="CC40" s="81">
        <v>0</v>
      </c>
      <c r="CD40" s="79">
        <v>0</v>
      </c>
      <c r="CE40" s="49"/>
      <c r="CF40" s="84"/>
      <c r="CG40" s="81">
        <f t="shared" si="15"/>
        <v>0</v>
      </c>
      <c r="CH40" s="79">
        <f t="shared" si="16"/>
        <v>0</v>
      </c>
      <c r="CI40" s="33"/>
      <c r="CJ40" s="84"/>
      <c r="CK40" s="81">
        <f t="shared" si="17"/>
        <v>0</v>
      </c>
      <c r="CL40" s="79">
        <f t="shared" si="18"/>
        <v>0</v>
      </c>
      <c r="CM40" s="34"/>
      <c r="CN40" s="34"/>
      <c r="CO40" s="34"/>
      <c r="CP40" s="34"/>
      <c r="CQ40" s="50">
        <f t="shared" si="19"/>
        <v>1</v>
      </c>
      <c r="CR40" s="77">
        <f t="shared" si="20"/>
        <v>0</v>
      </c>
      <c r="CS40" s="28"/>
    </row>
    <row r="41" spans="1:97" s="1" customFormat="1">
      <c r="A41" s="30" t="s">
        <v>145</v>
      </c>
      <c r="B41" s="47"/>
      <c r="C41" s="31" t="s">
        <v>121</v>
      </c>
      <c r="D41" s="32"/>
      <c r="E41" s="32"/>
      <c r="F41" s="87"/>
      <c r="G41" s="48"/>
      <c r="H41" s="84"/>
      <c r="I41" s="80">
        <f t="shared" si="21"/>
        <v>0</v>
      </c>
      <c r="J41" s="79">
        <f t="shared" si="22"/>
        <v>0</v>
      </c>
      <c r="K41" s="49"/>
      <c r="L41" s="84"/>
      <c r="M41" s="81">
        <f t="shared" si="24"/>
        <v>0</v>
      </c>
      <c r="N41" s="79">
        <f t="shared" si="1"/>
        <v>0</v>
      </c>
      <c r="O41" s="48">
        <v>11520</v>
      </c>
      <c r="P41" s="84"/>
      <c r="Q41" s="81">
        <f t="shared" si="2"/>
        <v>0</v>
      </c>
      <c r="R41" s="79">
        <f t="shared" si="3"/>
        <v>0</v>
      </c>
      <c r="S41" s="49"/>
      <c r="T41" s="84"/>
      <c r="U41" s="81">
        <v>0</v>
      </c>
      <c r="V41" s="79">
        <v>0</v>
      </c>
      <c r="W41" s="49"/>
      <c r="X41" s="84"/>
      <c r="Y41" s="81">
        <v>0</v>
      </c>
      <c r="Z41" s="79">
        <v>0</v>
      </c>
      <c r="AA41" s="49"/>
      <c r="AB41" s="84"/>
      <c r="AC41" s="81">
        <v>0</v>
      </c>
      <c r="AD41" s="79">
        <v>0</v>
      </c>
      <c r="AE41" s="49"/>
      <c r="AF41" s="84"/>
      <c r="AG41" s="81">
        <f t="shared" si="23"/>
        <v>0</v>
      </c>
      <c r="AH41" s="79">
        <f t="shared" si="4"/>
        <v>0</v>
      </c>
      <c r="AI41" s="48"/>
      <c r="AJ41" s="84"/>
      <c r="AK41" s="81">
        <f t="shared" si="5"/>
        <v>0</v>
      </c>
      <c r="AL41" s="79">
        <f t="shared" si="6"/>
        <v>0</v>
      </c>
      <c r="AM41" s="48"/>
      <c r="AN41" s="84"/>
      <c r="AO41" s="81">
        <f t="shared" si="7"/>
        <v>0</v>
      </c>
      <c r="AP41" s="79">
        <f t="shared" si="8"/>
        <v>0</v>
      </c>
      <c r="AQ41" s="48"/>
      <c r="AR41" s="84"/>
      <c r="AS41" s="81">
        <f t="shared" si="9"/>
        <v>0</v>
      </c>
      <c r="AT41" s="79">
        <f t="shared" si="10"/>
        <v>0</v>
      </c>
      <c r="AU41" s="49"/>
      <c r="AV41" s="84"/>
      <c r="AW41" s="81">
        <v>0</v>
      </c>
      <c r="AX41" s="79">
        <v>0</v>
      </c>
      <c r="AY41" s="49"/>
      <c r="AZ41" s="84"/>
      <c r="BA41" s="81">
        <v>0</v>
      </c>
      <c r="BB41" s="79">
        <v>0</v>
      </c>
      <c r="BC41" s="49"/>
      <c r="BD41" s="84"/>
      <c r="BE41" s="81">
        <v>0</v>
      </c>
      <c r="BF41" s="79">
        <v>0</v>
      </c>
      <c r="BG41" s="49"/>
      <c r="BH41" s="84"/>
      <c r="BI41" s="81">
        <v>0</v>
      </c>
      <c r="BJ41" s="79">
        <v>0</v>
      </c>
      <c r="BK41" s="49"/>
      <c r="BL41" s="84"/>
      <c r="BM41" s="81">
        <v>0</v>
      </c>
      <c r="BN41" s="79">
        <v>0</v>
      </c>
      <c r="BO41" s="49"/>
      <c r="BP41" s="84"/>
      <c r="BQ41" s="81">
        <v>0</v>
      </c>
      <c r="BR41" s="79">
        <v>0</v>
      </c>
      <c r="BS41" s="49"/>
      <c r="BT41" s="84"/>
      <c r="BU41" s="81">
        <f t="shared" si="11"/>
        <v>0</v>
      </c>
      <c r="BV41" s="79">
        <f t="shared" si="12"/>
        <v>0</v>
      </c>
      <c r="BW41" s="48"/>
      <c r="BX41" s="84"/>
      <c r="BY41" s="81">
        <f t="shared" si="13"/>
        <v>0</v>
      </c>
      <c r="BZ41" s="79">
        <f t="shared" si="14"/>
        <v>0</v>
      </c>
      <c r="CA41" s="48"/>
      <c r="CB41" s="84"/>
      <c r="CC41" s="81">
        <v>0</v>
      </c>
      <c r="CD41" s="79">
        <v>0</v>
      </c>
      <c r="CE41" s="49">
        <v>1920</v>
      </c>
      <c r="CF41" s="84"/>
      <c r="CG41" s="81">
        <f t="shared" si="15"/>
        <v>0</v>
      </c>
      <c r="CH41" s="79">
        <f t="shared" si="16"/>
        <v>0</v>
      </c>
      <c r="CI41" s="33"/>
      <c r="CJ41" s="84"/>
      <c r="CK41" s="81">
        <f t="shared" si="17"/>
        <v>0</v>
      </c>
      <c r="CL41" s="79">
        <f t="shared" si="18"/>
        <v>0</v>
      </c>
      <c r="CM41" s="34"/>
      <c r="CN41" s="34"/>
      <c r="CO41" s="34"/>
      <c r="CP41" s="34"/>
      <c r="CQ41" s="50">
        <f t="shared" si="19"/>
        <v>1</v>
      </c>
      <c r="CR41" s="77">
        <f t="shared" si="20"/>
        <v>0</v>
      </c>
      <c r="CS41" s="28"/>
    </row>
    <row r="42" spans="1:97" s="1" customFormat="1">
      <c r="A42" s="30" t="s">
        <v>146</v>
      </c>
      <c r="B42" s="47"/>
      <c r="C42" s="63" t="s">
        <v>120</v>
      </c>
      <c r="D42" s="32"/>
      <c r="E42" s="32"/>
      <c r="F42" s="87"/>
      <c r="G42" s="48">
        <v>5760</v>
      </c>
      <c r="H42" s="84"/>
      <c r="I42" s="80">
        <f t="shared" si="21"/>
        <v>0</v>
      </c>
      <c r="J42" s="79">
        <f t="shared" si="22"/>
        <v>0</v>
      </c>
      <c r="K42" s="49"/>
      <c r="L42" s="84"/>
      <c r="M42" s="81">
        <f t="shared" si="24"/>
        <v>0</v>
      </c>
      <c r="N42" s="79">
        <f t="shared" si="1"/>
        <v>0</v>
      </c>
      <c r="O42" s="48"/>
      <c r="P42" s="84"/>
      <c r="Q42" s="81">
        <f t="shared" si="2"/>
        <v>0</v>
      </c>
      <c r="R42" s="79">
        <f t="shared" si="3"/>
        <v>0</v>
      </c>
      <c r="S42" s="49"/>
      <c r="T42" s="84"/>
      <c r="U42" s="81">
        <v>0</v>
      </c>
      <c r="V42" s="79">
        <v>0</v>
      </c>
      <c r="W42" s="54">
        <v>1920</v>
      </c>
      <c r="X42" s="84"/>
      <c r="Y42" s="81">
        <v>0</v>
      </c>
      <c r="Z42" s="79">
        <v>0</v>
      </c>
      <c r="AA42" s="54"/>
      <c r="AB42" s="84"/>
      <c r="AC42" s="81">
        <v>0</v>
      </c>
      <c r="AD42" s="79">
        <v>0</v>
      </c>
      <c r="AE42" s="54"/>
      <c r="AF42" s="84"/>
      <c r="AG42" s="81">
        <f t="shared" si="23"/>
        <v>0</v>
      </c>
      <c r="AH42" s="79">
        <f t="shared" si="4"/>
        <v>0</v>
      </c>
      <c r="AI42" s="48">
        <v>7680</v>
      </c>
      <c r="AJ42" s="84"/>
      <c r="AK42" s="81">
        <f t="shared" si="5"/>
        <v>0</v>
      </c>
      <c r="AL42" s="79">
        <f t="shared" si="6"/>
        <v>0</v>
      </c>
      <c r="AM42" s="48"/>
      <c r="AN42" s="84"/>
      <c r="AO42" s="81">
        <f t="shared" si="7"/>
        <v>0</v>
      </c>
      <c r="AP42" s="79">
        <f t="shared" si="8"/>
        <v>0</v>
      </c>
      <c r="AQ42" s="48"/>
      <c r="AR42" s="84"/>
      <c r="AS42" s="81">
        <f t="shared" si="9"/>
        <v>0</v>
      </c>
      <c r="AT42" s="79">
        <f t="shared" si="10"/>
        <v>0</v>
      </c>
      <c r="AU42" s="49"/>
      <c r="AV42" s="84"/>
      <c r="AW42" s="81">
        <v>0</v>
      </c>
      <c r="AX42" s="79">
        <v>0</v>
      </c>
      <c r="AY42" s="49"/>
      <c r="AZ42" s="84"/>
      <c r="BA42" s="81">
        <v>0</v>
      </c>
      <c r="BB42" s="79">
        <v>0</v>
      </c>
      <c r="BC42" s="49"/>
      <c r="BD42" s="84"/>
      <c r="BE42" s="81">
        <v>0</v>
      </c>
      <c r="BF42" s="79">
        <v>0</v>
      </c>
      <c r="BG42" s="49"/>
      <c r="BH42" s="84"/>
      <c r="BI42" s="81">
        <v>0</v>
      </c>
      <c r="BJ42" s="79">
        <v>0</v>
      </c>
      <c r="BK42" s="49"/>
      <c r="BL42" s="84"/>
      <c r="BM42" s="81">
        <v>0</v>
      </c>
      <c r="BN42" s="79">
        <v>0</v>
      </c>
      <c r="BO42" s="49"/>
      <c r="BP42" s="84"/>
      <c r="BQ42" s="81">
        <v>0</v>
      </c>
      <c r="BR42" s="79">
        <v>0</v>
      </c>
      <c r="BS42" s="49"/>
      <c r="BT42" s="84"/>
      <c r="BU42" s="81">
        <f t="shared" si="11"/>
        <v>0</v>
      </c>
      <c r="BV42" s="79">
        <f t="shared" si="12"/>
        <v>0</v>
      </c>
      <c r="BW42" s="48"/>
      <c r="BX42" s="84"/>
      <c r="BY42" s="81">
        <f t="shared" si="13"/>
        <v>0</v>
      </c>
      <c r="BZ42" s="79">
        <f t="shared" si="14"/>
        <v>0</v>
      </c>
      <c r="CA42" s="48"/>
      <c r="CB42" s="84"/>
      <c r="CC42" s="81">
        <v>0</v>
      </c>
      <c r="CD42" s="79">
        <v>0</v>
      </c>
      <c r="CE42" s="49"/>
      <c r="CF42" s="84"/>
      <c r="CG42" s="81">
        <f t="shared" si="15"/>
        <v>0</v>
      </c>
      <c r="CH42" s="79">
        <f t="shared" si="16"/>
        <v>0</v>
      </c>
      <c r="CI42" s="33"/>
      <c r="CJ42" s="84"/>
      <c r="CK42" s="81">
        <f t="shared" si="17"/>
        <v>0</v>
      </c>
      <c r="CL42" s="79">
        <f t="shared" si="18"/>
        <v>0</v>
      </c>
      <c r="CM42" s="34"/>
      <c r="CN42" s="34"/>
      <c r="CO42" s="34"/>
      <c r="CP42" s="34"/>
      <c r="CQ42" s="50">
        <f t="shared" si="19"/>
        <v>1</v>
      </c>
      <c r="CR42" s="77">
        <f t="shared" si="20"/>
        <v>0</v>
      </c>
      <c r="CS42" s="28"/>
    </row>
    <row r="43" spans="1:97" s="1" customFormat="1">
      <c r="A43" s="30" t="s">
        <v>146</v>
      </c>
      <c r="B43" s="47"/>
      <c r="C43" s="31" t="s">
        <v>121</v>
      </c>
      <c r="D43" s="32"/>
      <c r="E43" s="32"/>
      <c r="F43" s="87"/>
      <c r="G43" s="48">
        <v>1920</v>
      </c>
      <c r="H43" s="84"/>
      <c r="I43" s="80">
        <f t="shared" si="21"/>
        <v>0</v>
      </c>
      <c r="J43" s="79">
        <f t="shared" si="22"/>
        <v>0</v>
      </c>
      <c r="K43" s="49"/>
      <c r="L43" s="84"/>
      <c r="M43" s="81">
        <f t="shared" si="24"/>
        <v>0</v>
      </c>
      <c r="N43" s="79">
        <f t="shared" ref="N43:N59" si="25">K43*M43</f>
        <v>0</v>
      </c>
      <c r="O43" s="48">
        <v>5760</v>
      </c>
      <c r="P43" s="84"/>
      <c r="Q43" s="81">
        <f t="shared" ref="Q43:Q59" si="26">P43*CQ43</f>
        <v>0</v>
      </c>
      <c r="R43" s="79">
        <f t="shared" ref="R43:R59" si="27">O43*Q43</f>
        <v>0</v>
      </c>
      <c r="S43" s="49"/>
      <c r="T43" s="84"/>
      <c r="U43" s="81">
        <v>0</v>
      </c>
      <c r="V43" s="79">
        <v>0</v>
      </c>
      <c r="W43" s="49"/>
      <c r="X43" s="84"/>
      <c r="Y43" s="81">
        <v>0</v>
      </c>
      <c r="Z43" s="79">
        <v>0</v>
      </c>
      <c r="AA43" s="49"/>
      <c r="AB43" s="84"/>
      <c r="AC43" s="81">
        <v>0</v>
      </c>
      <c r="AD43" s="79">
        <v>0</v>
      </c>
      <c r="AE43" s="49"/>
      <c r="AF43" s="84"/>
      <c r="AG43" s="81">
        <f t="shared" si="23"/>
        <v>0</v>
      </c>
      <c r="AH43" s="79">
        <f t="shared" ref="AH43:AH59" si="28">AE43*AG43</f>
        <v>0</v>
      </c>
      <c r="AI43" s="48">
        <v>13440</v>
      </c>
      <c r="AJ43" s="84"/>
      <c r="AK43" s="81">
        <f t="shared" ref="AK43:AK59" si="29">AJ43*CQ43</f>
        <v>0</v>
      </c>
      <c r="AL43" s="79">
        <f t="shared" ref="AL43:AL59" si="30">AI43*AK43</f>
        <v>0</v>
      </c>
      <c r="AM43" s="48"/>
      <c r="AN43" s="84"/>
      <c r="AO43" s="81">
        <f t="shared" ref="AO43:AO59" si="31">AN43*CQ43</f>
        <v>0</v>
      </c>
      <c r="AP43" s="79">
        <f t="shared" ref="AP43:AP59" si="32">AM43*AO43</f>
        <v>0</v>
      </c>
      <c r="AQ43" s="48"/>
      <c r="AR43" s="84"/>
      <c r="AS43" s="81">
        <f t="shared" ref="AS43:AS59" si="33">AR43*CQ43</f>
        <v>0</v>
      </c>
      <c r="AT43" s="79">
        <f t="shared" ref="AT43:AT59" si="34">AQ43*AS43</f>
        <v>0</v>
      </c>
      <c r="AU43" s="49"/>
      <c r="AV43" s="84"/>
      <c r="AW43" s="81">
        <v>0</v>
      </c>
      <c r="AX43" s="79">
        <v>0</v>
      </c>
      <c r="AY43" s="49"/>
      <c r="AZ43" s="84"/>
      <c r="BA43" s="81">
        <v>0</v>
      </c>
      <c r="BB43" s="79">
        <v>0</v>
      </c>
      <c r="BC43" s="49"/>
      <c r="BD43" s="84"/>
      <c r="BE43" s="81">
        <v>0</v>
      </c>
      <c r="BF43" s="79">
        <v>0</v>
      </c>
      <c r="BG43" s="49"/>
      <c r="BH43" s="84"/>
      <c r="BI43" s="81">
        <v>0</v>
      </c>
      <c r="BJ43" s="79">
        <v>0</v>
      </c>
      <c r="BK43" s="49"/>
      <c r="BL43" s="84"/>
      <c r="BM43" s="81">
        <v>0</v>
      </c>
      <c r="BN43" s="79">
        <v>0</v>
      </c>
      <c r="BO43" s="49"/>
      <c r="BP43" s="84"/>
      <c r="BQ43" s="81">
        <v>0</v>
      </c>
      <c r="BR43" s="79">
        <v>0</v>
      </c>
      <c r="BS43" s="49"/>
      <c r="BT43" s="84"/>
      <c r="BU43" s="81">
        <f t="shared" ref="BU43:BU59" si="35">BT43*CQ43</f>
        <v>0</v>
      </c>
      <c r="BV43" s="79">
        <f t="shared" ref="BV43:BV59" si="36">BS43*BU43</f>
        <v>0</v>
      </c>
      <c r="BW43" s="48">
        <v>960</v>
      </c>
      <c r="BX43" s="84"/>
      <c r="BY43" s="81">
        <f t="shared" ref="BY43:BY59" si="37">BX43*CQ43</f>
        <v>0</v>
      </c>
      <c r="BZ43" s="79">
        <f t="shared" ref="BZ43:BZ59" si="38">BW43*BY43</f>
        <v>0</v>
      </c>
      <c r="CA43" s="48"/>
      <c r="CB43" s="84"/>
      <c r="CC43" s="81">
        <v>0</v>
      </c>
      <c r="CD43" s="79">
        <v>0</v>
      </c>
      <c r="CE43" s="49"/>
      <c r="CF43" s="84"/>
      <c r="CG43" s="81">
        <f t="shared" ref="CG43:CG59" si="39">CF43*CQ43</f>
        <v>0</v>
      </c>
      <c r="CH43" s="79">
        <f t="shared" ref="CH43:CH59" si="40">CE43*CG43</f>
        <v>0</v>
      </c>
      <c r="CI43" s="33"/>
      <c r="CJ43" s="84"/>
      <c r="CK43" s="81">
        <f t="shared" ref="CK43:CK59" si="41">CJ43*CQ43</f>
        <v>0</v>
      </c>
      <c r="CL43" s="79">
        <f t="shared" ref="CL43:CL59" si="42">CI43*CK43</f>
        <v>0</v>
      </c>
      <c r="CM43" s="34"/>
      <c r="CN43" s="34"/>
      <c r="CO43" s="34"/>
      <c r="CP43" s="34"/>
      <c r="CQ43" s="50">
        <f t="shared" ref="CQ43:CQ59" si="43">(1+CM43)*(1+CN43)*(1+CO43)*(1+CP43)</f>
        <v>1</v>
      </c>
      <c r="CR43" s="77">
        <f t="shared" ref="CR43:CR59" si="44">J43+N43+R43+V43+Z43+AD43+AH43+AL43+AP43+AT43+AX43+BB43+BF43+BJ43+BN43+BR43+BV43+BZ43+CD43+CH43+CL43</f>
        <v>0</v>
      </c>
      <c r="CS43" s="28"/>
    </row>
    <row r="44" spans="1:97" s="1" customFormat="1">
      <c r="A44" s="30" t="s">
        <v>146</v>
      </c>
      <c r="B44" s="47"/>
      <c r="C44" s="31" t="s">
        <v>123</v>
      </c>
      <c r="D44" s="32"/>
      <c r="E44" s="32"/>
      <c r="F44" s="87"/>
      <c r="G44" s="48">
        <v>1920</v>
      </c>
      <c r="H44" s="84"/>
      <c r="I44" s="80">
        <f t="shared" si="21"/>
        <v>0</v>
      </c>
      <c r="J44" s="79">
        <f t="shared" si="22"/>
        <v>0</v>
      </c>
      <c r="K44" s="49"/>
      <c r="L44" s="84"/>
      <c r="M44" s="81">
        <f t="shared" si="24"/>
        <v>0</v>
      </c>
      <c r="N44" s="79">
        <f t="shared" si="25"/>
        <v>0</v>
      </c>
      <c r="O44" s="48">
        <v>46080</v>
      </c>
      <c r="P44" s="84"/>
      <c r="Q44" s="81">
        <f t="shared" si="26"/>
        <v>0</v>
      </c>
      <c r="R44" s="79">
        <f t="shared" si="27"/>
        <v>0</v>
      </c>
      <c r="S44" s="49"/>
      <c r="T44" s="84"/>
      <c r="U44" s="81">
        <v>0</v>
      </c>
      <c r="V44" s="79">
        <v>0</v>
      </c>
      <c r="W44" s="49"/>
      <c r="X44" s="84"/>
      <c r="Y44" s="81">
        <v>0</v>
      </c>
      <c r="Z44" s="79">
        <v>0</v>
      </c>
      <c r="AA44" s="54">
        <v>1920</v>
      </c>
      <c r="AB44" s="84"/>
      <c r="AC44" s="81">
        <v>0</v>
      </c>
      <c r="AD44" s="79">
        <v>0</v>
      </c>
      <c r="AE44" s="54">
        <v>1920</v>
      </c>
      <c r="AF44" s="84"/>
      <c r="AG44" s="81">
        <f t="shared" si="23"/>
        <v>0</v>
      </c>
      <c r="AH44" s="79">
        <f t="shared" si="28"/>
        <v>0</v>
      </c>
      <c r="AI44" s="48"/>
      <c r="AJ44" s="84"/>
      <c r="AK44" s="81">
        <f t="shared" si="29"/>
        <v>0</v>
      </c>
      <c r="AL44" s="79">
        <f t="shared" si="30"/>
        <v>0</v>
      </c>
      <c r="AM44" s="48"/>
      <c r="AN44" s="84"/>
      <c r="AO44" s="81">
        <f t="shared" si="31"/>
        <v>0</v>
      </c>
      <c r="AP44" s="79">
        <f t="shared" si="32"/>
        <v>0</v>
      </c>
      <c r="AQ44" s="48"/>
      <c r="AR44" s="84"/>
      <c r="AS44" s="81">
        <f t="shared" si="33"/>
        <v>0</v>
      </c>
      <c r="AT44" s="79">
        <f t="shared" si="34"/>
        <v>0</v>
      </c>
      <c r="AU44" s="49"/>
      <c r="AV44" s="84"/>
      <c r="AW44" s="81">
        <v>0</v>
      </c>
      <c r="AX44" s="79">
        <v>0</v>
      </c>
      <c r="AY44" s="49"/>
      <c r="AZ44" s="84"/>
      <c r="BA44" s="81">
        <v>0</v>
      </c>
      <c r="BB44" s="79">
        <v>0</v>
      </c>
      <c r="BC44" s="49"/>
      <c r="BD44" s="84"/>
      <c r="BE44" s="81">
        <v>0</v>
      </c>
      <c r="BF44" s="79">
        <v>0</v>
      </c>
      <c r="BG44" s="54">
        <v>1920</v>
      </c>
      <c r="BH44" s="84"/>
      <c r="BI44" s="81">
        <v>0</v>
      </c>
      <c r="BJ44" s="79">
        <v>0</v>
      </c>
      <c r="BK44" s="54">
        <v>1920</v>
      </c>
      <c r="BL44" s="84"/>
      <c r="BM44" s="81">
        <v>0</v>
      </c>
      <c r="BN44" s="79">
        <v>0</v>
      </c>
      <c r="BO44" s="54">
        <v>1920</v>
      </c>
      <c r="BP44" s="84"/>
      <c r="BQ44" s="81">
        <v>0</v>
      </c>
      <c r="BR44" s="79">
        <v>0</v>
      </c>
      <c r="BS44" s="54">
        <v>1920</v>
      </c>
      <c r="BT44" s="84"/>
      <c r="BU44" s="81">
        <f t="shared" si="35"/>
        <v>0</v>
      </c>
      <c r="BV44" s="79">
        <f t="shared" si="36"/>
        <v>0</v>
      </c>
      <c r="BW44" s="48"/>
      <c r="BX44" s="84"/>
      <c r="BY44" s="81">
        <f t="shared" si="37"/>
        <v>0</v>
      </c>
      <c r="BZ44" s="79">
        <f t="shared" si="38"/>
        <v>0</v>
      </c>
      <c r="CA44" s="48"/>
      <c r="CB44" s="84"/>
      <c r="CC44" s="81">
        <v>0</v>
      </c>
      <c r="CD44" s="79">
        <v>0</v>
      </c>
      <c r="CE44" s="49"/>
      <c r="CF44" s="84"/>
      <c r="CG44" s="81">
        <f t="shared" si="39"/>
        <v>0</v>
      </c>
      <c r="CH44" s="79">
        <f t="shared" si="40"/>
        <v>0</v>
      </c>
      <c r="CI44" s="33"/>
      <c r="CJ44" s="84"/>
      <c r="CK44" s="81">
        <f t="shared" si="41"/>
        <v>0</v>
      </c>
      <c r="CL44" s="79">
        <f t="shared" si="42"/>
        <v>0</v>
      </c>
      <c r="CM44" s="34"/>
      <c r="CN44" s="34"/>
      <c r="CO44" s="34"/>
      <c r="CP44" s="34"/>
      <c r="CQ44" s="50">
        <f t="shared" si="43"/>
        <v>1</v>
      </c>
      <c r="CR44" s="77">
        <f t="shared" si="44"/>
        <v>0</v>
      </c>
      <c r="CS44" s="28"/>
    </row>
    <row r="45" spans="1:97" s="1" customFormat="1">
      <c r="A45" s="30" t="s">
        <v>147</v>
      </c>
      <c r="B45" s="47"/>
      <c r="C45" s="63" t="s">
        <v>120</v>
      </c>
      <c r="D45" s="32"/>
      <c r="E45" s="32"/>
      <c r="F45" s="87"/>
      <c r="G45" s="48"/>
      <c r="H45" s="84"/>
      <c r="I45" s="80">
        <f t="shared" si="21"/>
        <v>0</v>
      </c>
      <c r="J45" s="79">
        <f t="shared" si="22"/>
        <v>0</v>
      </c>
      <c r="K45" s="49"/>
      <c r="L45" s="84"/>
      <c r="M45" s="81">
        <f t="shared" si="24"/>
        <v>0</v>
      </c>
      <c r="N45" s="79">
        <f t="shared" si="25"/>
        <v>0</v>
      </c>
      <c r="O45" s="48"/>
      <c r="P45" s="84"/>
      <c r="Q45" s="81">
        <f t="shared" si="26"/>
        <v>0</v>
      </c>
      <c r="R45" s="79">
        <f t="shared" si="27"/>
        <v>0</v>
      </c>
      <c r="S45" s="54">
        <v>1920</v>
      </c>
      <c r="T45" s="89"/>
      <c r="U45" s="81">
        <v>0</v>
      </c>
      <c r="V45" s="79">
        <v>0</v>
      </c>
      <c r="W45" s="49"/>
      <c r="X45" s="89"/>
      <c r="Y45" s="81">
        <v>0</v>
      </c>
      <c r="Z45" s="79">
        <v>0</v>
      </c>
      <c r="AA45" s="49"/>
      <c r="AB45" s="89"/>
      <c r="AC45" s="81">
        <v>0</v>
      </c>
      <c r="AD45" s="79">
        <v>0</v>
      </c>
      <c r="AE45" s="49"/>
      <c r="AF45" s="89"/>
      <c r="AG45" s="81">
        <f t="shared" si="23"/>
        <v>0</v>
      </c>
      <c r="AH45" s="79">
        <f t="shared" si="28"/>
        <v>0</v>
      </c>
      <c r="AI45" s="48"/>
      <c r="AJ45" s="84"/>
      <c r="AK45" s="81">
        <f t="shared" si="29"/>
        <v>0</v>
      </c>
      <c r="AL45" s="79">
        <f t="shared" si="30"/>
        <v>0</v>
      </c>
      <c r="AM45" s="48"/>
      <c r="AN45" s="84"/>
      <c r="AO45" s="81">
        <f t="shared" si="31"/>
        <v>0</v>
      </c>
      <c r="AP45" s="79">
        <f t="shared" si="32"/>
        <v>0</v>
      </c>
      <c r="AQ45" s="48"/>
      <c r="AR45" s="84"/>
      <c r="AS45" s="81">
        <f t="shared" si="33"/>
        <v>0</v>
      </c>
      <c r="AT45" s="79">
        <f t="shared" si="34"/>
        <v>0</v>
      </c>
      <c r="AU45" s="49"/>
      <c r="AV45" s="84"/>
      <c r="AW45" s="81">
        <v>0</v>
      </c>
      <c r="AX45" s="79">
        <v>0</v>
      </c>
      <c r="AY45" s="49"/>
      <c r="AZ45" s="84"/>
      <c r="BA45" s="81">
        <v>0</v>
      </c>
      <c r="BB45" s="79">
        <v>0</v>
      </c>
      <c r="BC45" s="49"/>
      <c r="BD45" s="84"/>
      <c r="BE45" s="81">
        <v>0</v>
      </c>
      <c r="BF45" s="79">
        <v>0</v>
      </c>
      <c r="BG45" s="49"/>
      <c r="BH45" s="84"/>
      <c r="BI45" s="81">
        <v>0</v>
      </c>
      <c r="BJ45" s="79">
        <v>0</v>
      </c>
      <c r="BK45" s="49"/>
      <c r="BL45" s="84"/>
      <c r="BM45" s="81">
        <v>0</v>
      </c>
      <c r="BN45" s="79">
        <v>0</v>
      </c>
      <c r="BO45" s="49"/>
      <c r="BP45" s="84"/>
      <c r="BQ45" s="81">
        <v>0</v>
      </c>
      <c r="BR45" s="79">
        <v>0</v>
      </c>
      <c r="BS45" s="49"/>
      <c r="BT45" s="84"/>
      <c r="BU45" s="81">
        <f t="shared" si="35"/>
        <v>0</v>
      </c>
      <c r="BV45" s="79">
        <f t="shared" si="36"/>
        <v>0</v>
      </c>
      <c r="BW45" s="48"/>
      <c r="BX45" s="84"/>
      <c r="BY45" s="81">
        <f t="shared" si="37"/>
        <v>0</v>
      </c>
      <c r="BZ45" s="79">
        <f t="shared" si="38"/>
        <v>0</v>
      </c>
      <c r="CA45" s="48"/>
      <c r="CB45" s="84"/>
      <c r="CC45" s="81">
        <v>0</v>
      </c>
      <c r="CD45" s="79">
        <v>0</v>
      </c>
      <c r="CE45" s="49"/>
      <c r="CF45" s="84"/>
      <c r="CG45" s="81">
        <f t="shared" si="39"/>
        <v>0</v>
      </c>
      <c r="CH45" s="79">
        <f t="shared" si="40"/>
        <v>0</v>
      </c>
      <c r="CI45" s="33"/>
      <c r="CJ45" s="84"/>
      <c r="CK45" s="81">
        <f t="shared" si="41"/>
        <v>0</v>
      </c>
      <c r="CL45" s="79">
        <f t="shared" si="42"/>
        <v>0</v>
      </c>
      <c r="CM45" s="34"/>
      <c r="CN45" s="34"/>
      <c r="CO45" s="34"/>
      <c r="CP45" s="34"/>
      <c r="CQ45" s="50">
        <f t="shared" si="43"/>
        <v>1</v>
      </c>
      <c r="CR45" s="77">
        <f t="shared" si="44"/>
        <v>0</v>
      </c>
      <c r="CS45" s="28"/>
    </row>
    <row r="46" spans="1:97" s="1" customFormat="1">
      <c r="A46" s="30" t="s">
        <v>148</v>
      </c>
      <c r="B46" s="47"/>
      <c r="C46" s="31" t="s">
        <v>121</v>
      </c>
      <c r="D46" s="32"/>
      <c r="E46" s="32"/>
      <c r="F46" s="87"/>
      <c r="G46" s="48"/>
      <c r="H46" s="84"/>
      <c r="I46" s="80">
        <f t="shared" si="21"/>
        <v>0</v>
      </c>
      <c r="J46" s="79">
        <f t="shared" si="22"/>
        <v>0</v>
      </c>
      <c r="K46" s="49"/>
      <c r="L46" s="84"/>
      <c r="M46" s="81">
        <f t="shared" si="24"/>
        <v>0</v>
      </c>
      <c r="N46" s="79">
        <f t="shared" si="25"/>
        <v>0</v>
      </c>
      <c r="O46" s="48">
        <v>3840</v>
      </c>
      <c r="P46" s="84"/>
      <c r="Q46" s="81">
        <f t="shared" si="26"/>
        <v>0</v>
      </c>
      <c r="R46" s="79">
        <f t="shared" si="27"/>
        <v>0</v>
      </c>
      <c r="S46" s="49"/>
      <c r="T46" s="84"/>
      <c r="U46" s="81">
        <v>0</v>
      </c>
      <c r="V46" s="79">
        <v>0</v>
      </c>
      <c r="W46" s="49"/>
      <c r="X46" s="84"/>
      <c r="Y46" s="81">
        <v>0</v>
      </c>
      <c r="Z46" s="79">
        <v>0</v>
      </c>
      <c r="AA46" s="49"/>
      <c r="AB46" s="84"/>
      <c r="AC46" s="81">
        <v>0</v>
      </c>
      <c r="AD46" s="79">
        <v>0</v>
      </c>
      <c r="AE46" s="49"/>
      <c r="AF46" s="84"/>
      <c r="AG46" s="81">
        <f t="shared" si="23"/>
        <v>0</v>
      </c>
      <c r="AH46" s="79">
        <f t="shared" si="28"/>
        <v>0</v>
      </c>
      <c r="AI46" s="48"/>
      <c r="AJ46" s="84"/>
      <c r="AK46" s="81">
        <f t="shared" si="29"/>
        <v>0</v>
      </c>
      <c r="AL46" s="79">
        <f t="shared" si="30"/>
        <v>0</v>
      </c>
      <c r="AM46" s="48"/>
      <c r="AN46" s="84"/>
      <c r="AO46" s="81">
        <f t="shared" si="31"/>
        <v>0</v>
      </c>
      <c r="AP46" s="79">
        <f t="shared" si="32"/>
        <v>0</v>
      </c>
      <c r="AQ46" s="48">
        <v>49920</v>
      </c>
      <c r="AR46" s="84"/>
      <c r="AS46" s="81">
        <f t="shared" si="33"/>
        <v>0</v>
      </c>
      <c r="AT46" s="79">
        <f t="shared" si="34"/>
        <v>0</v>
      </c>
      <c r="AU46" s="49"/>
      <c r="AV46" s="84"/>
      <c r="AW46" s="81">
        <v>0</v>
      </c>
      <c r="AX46" s="79">
        <v>0</v>
      </c>
      <c r="AY46" s="49"/>
      <c r="AZ46" s="84"/>
      <c r="BA46" s="81">
        <v>0</v>
      </c>
      <c r="BB46" s="79">
        <v>0</v>
      </c>
      <c r="BC46" s="49"/>
      <c r="BD46" s="84"/>
      <c r="BE46" s="81">
        <v>0</v>
      </c>
      <c r="BF46" s="79">
        <v>0</v>
      </c>
      <c r="BG46" s="49"/>
      <c r="BH46" s="84"/>
      <c r="BI46" s="81">
        <v>0</v>
      </c>
      <c r="BJ46" s="79">
        <v>0</v>
      </c>
      <c r="BK46" s="49"/>
      <c r="BL46" s="84"/>
      <c r="BM46" s="81">
        <v>0</v>
      </c>
      <c r="BN46" s="79">
        <v>0</v>
      </c>
      <c r="BO46" s="49"/>
      <c r="BP46" s="84"/>
      <c r="BQ46" s="81">
        <v>0</v>
      </c>
      <c r="BR46" s="79">
        <v>0</v>
      </c>
      <c r="BS46" s="49"/>
      <c r="BT46" s="84"/>
      <c r="BU46" s="81">
        <f t="shared" si="35"/>
        <v>0</v>
      </c>
      <c r="BV46" s="79">
        <f t="shared" si="36"/>
        <v>0</v>
      </c>
      <c r="BW46" s="48">
        <v>1920</v>
      </c>
      <c r="BX46" s="84"/>
      <c r="BY46" s="81">
        <f t="shared" si="37"/>
        <v>0</v>
      </c>
      <c r="BZ46" s="79">
        <f t="shared" si="38"/>
        <v>0</v>
      </c>
      <c r="CA46" s="48"/>
      <c r="CB46" s="84"/>
      <c r="CC46" s="81">
        <v>0</v>
      </c>
      <c r="CD46" s="79">
        <v>0</v>
      </c>
      <c r="CE46" s="49">
        <v>1920</v>
      </c>
      <c r="CF46" s="84"/>
      <c r="CG46" s="81">
        <f t="shared" si="39"/>
        <v>0</v>
      </c>
      <c r="CH46" s="79">
        <f t="shared" si="40"/>
        <v>0</v>
      </c>
      <c r="CI46" s="33"/>
      <c r="CJ46" s="84"/>
      <c r="CK46" s="81">
        <f t="shared" si="41"/>
        <v>0</v>
      </c>
      <c r="CL46" s="79">
        <f t="shared" si="42"/>
        <v>0</v>
      </c>
      <c r="CM46" s="34"/>
      <c r="CN46" s="34"/>
      <c r="CO46" s="34"/>
      <c r="CP46" s="34"/>
      <c r="CQ46" s="50">
        <f t="shared" si="43"/>
        <v>1</v>
      </c>
      <c r="CR46" s="77">
        <f t="shared" si="44"/>
        <v>0</v>
      </c>
      <c r="CS46" s="28"/>
    </row>
    <row r="47" spans="1:97" s="1" customFormat="1">
      <c r="A47" s="30" t="s">
        <v>148</v>
      </c>
      <c r="B47" s="47"/>
      <c r="C47" s="31" t="s">
        <v>123</v>
      </c>
      <c r="D47" s="32"/>
      <c r="E47" s="32"/>
      <c r="F47" s="87"/>
      <c r="G47" s="48">
        <v>9600</v>
      </c>
      <c r="H47" s="84"/>
      <c r="I47" s="80">
        <f t="shared" si="21"/>
        <v>0</v>
      </c>
      <c r="J47" s="79">
        <f t="shared" si="22"/>
        <v>0</v>
      </c>
      <c r="K47" s="49"/>
      <c r="L47" s="84"/>
      <c r="M47" s="81">
        <f t="shared" si="24"/>
        <v>0</v>
      </c>
      <c r="N47" s="79">
        <f t="shared" si="25"/>
        <v>0</v>
      </c>
      <c r="O47" s="48"/>
      <c r="P47" s="84"/>
      <c r="Q47" s="81">
        <f t="shared" si="26"/>
        <v>0</v>
      </c>
      <c r="R47" s="79">
        <f t="shared" si="27"/>
        <v>0</v>
      </c>
      <c r="S47" s="49"/>
      <c r="T47" s="84"/>
      <c r="U47" s="81">
        <v>0</v>
      </c>
      <c r="V47" s="79">
        <v>0</v>
      </c>
      <c r="W47" s="49"/>
      <c r="X47" s="84"/>
      <c r="Y47" s="81">
        <v>0</v>
      </c>
      <c r="Z47" s="79">
        <v>0</v>
      </c>
      <c r="AA47" s="49"/>
      <c r="AB47" s="84"/>
      <c r="AC47" s="81">
        <v>0</v>
      </c>
      <c r="AD47" s="79">
        <v>0</v>
      </c>
      <c r="AE47" s="49"/>
      <c r="AF47" s="84"/>
      <c r="AG47" s="81">
        <f t="shared" si="23"/>
        <v>0</v>
      </c>
      <c r="AH47" s="79">
        <f t="shared" si="28"/>
        <v>0</v>
      </c>
      <c r="AI47" s="48"/>
      <c r="AJ47" s="84"/>
      <c r="AK47" s="81">
        <f t="shared" si="29"/>
        <v>0</v>
      </c>
      <c r="AL47" s="79">
        <f t="shared" si="30"/>
        <v>0</v>
      </c>
      <c r="AM47" s="48"/>
      <c r="AN47" s="84"/>
      <c r="AO47" s="81">
        <f t="shared" si="31"/>
        <v>0</v>
      </c>
      <c r="AP47" s="79">
        <f t="shared" si="32"/>
        <v>0</v>
      </c>
      <c r="AQ47" s="48"/>
      <c r="AR47" s="84"/>
      <c r="AS47" s="81">
        <f t="shared" si="33"/>
        <v>0</v>
      </c>
      <c r="AT47" s="79">
        <f t="shared" si="34"/>
        <v>0</v>
      </c>
      <c r="AU47" s="49"/>
      <c r="AV47" s="84"/>
      <c r="AW47" s="81">
        <v>0</v>
      </c>
      <c r="AX47" s="79">
        <v>0</v>
      </c>
      <c r="AY47" s="49"/>
      <c r="AZ47" s="84"/>
      <c r="BA47" s="81">
        <v>0</v>
      </c>
      <c r="BB47" s="79">
        <v>0</v>
      </c>
      <c r="BC47" s="49"/>
      <c r="BD47" s="84"/>
      <c r="BE47" s="81">
        <v>0</v>
      </c>
      <c r="BF47" s="79">
        <v>0</v>
      </c>
      <c r="BG47" s="49"/>
      <c r="BH47" s="84"/>
      <c r="BI47" s="81">
        <v>0</v>
      </c>
      <c r="BJ47" s="79">
        <v>0</v>
      </c>
      <c r="BK47" s="49"/>
      <c r="BL47" s="84"/>
      <c r="BM47" s="81">
        <v>0</v>
      </c>
      <c r="BN47" s="79">
        <v>0</v>
      </c>
      <c r="BO47" s="49"/>
      <c r="BP47" s="84"/>
      <c r="BQ47" s="81">
        <v>0</v>
      </c>
      <c r="BR47" s="79">
        <v>0</v>
      </c>
      <c r="BS47" s="49"/>
      <c r="BT47" s="84"/>
      <c r="BU47" s="81">
        <f t="shared" si="35"/>
        <v>0</v>
      </c>
      <c r="BV47" s="79">
        <f t="shared" si="36"/>
        <v>0</v>
      </c>
      <c r="BW47" s="48"/>
      <c r="BX47" s="84"/>
      <c r="BY47" s="81">
        <f t="shared" si="37"/>
        <v>0</v>
      </c>
      <c r="BZ47" s="79">
        <f t="shared" si="38"/>
        <v>0</v>
      </c>
      <c r="CA47" s="48"/>
      <c r="CB47" s="84"/>
      <c r="CC47" s="81">
        <v>0</v>
      </c>
      <c r="CD47" s="79">
        <v>0</v>
      </c>
      <c r="CE47" s="49"/>
      <c r="CF47" s="84"/>
      <c r="CG47" s="81">
        <f t="shared" si="39"/>
        <v>0</v>
      </c>
      <c r="CH47" s="79">
        <f t="shared" si="40"/>
        <v>0</v>
      </c>
      <c r="CI47" s="33"/>
      <c r="CJ47" s="84"/>
      <c r="CK47" s="81">
        <f t="shared" si="41"/>
        <v>0</v>
      </c>
      <c r="CL47" s="79">
        <f t="shared" si="42"/>
        <v>0</v>
      </c>
      <c r="CM47" s="34"/>
      <c r="CN47" s="34"/>
      <c r="CO47" s="34"/>
      <c r="CP47" s="34"/>
      <c r="CQ47" s="50">
        <f t="shared" si="43"/>
        <v>1</v>
      </c>
      <c r="CR47" s="77">
        <f t="shared" si="44"/>
        <v>0</v>
      </c>
      <c r="CS47" s="28"/>
    </row>
    <row r="48" spans="1:97" s="1" customFormat="1">
      <c r="A48" s="30" t="s">
        <v>149</v>
      </c>
      <c r="B48" s="47"/>
      <c r="C48" s="63" t="s">
        <v>120</v>
      </c>
      <c r="D48" s="32"/>
      <c r="E48" s="32"/>
      <c r="F48" s="87"/>
      <c r="G48" s="48"/>
      <c r="H48" s="84"/>
      <c r="I48" s="80">
        <f t="shared" si="21"/>
        <v>0</v>
      </c>
      <c r="J48" s="79">
        <f t="shared" si="22"/>
        <v>0</v>
      </c>
      <c r="K48" s="49"/>
      <c r="L48" s="84"/>
      <c r="M48" s="81">
        <f t="shared" si="24"/>
        <v>0</v>
      </c>
      <c r="N48" s="79">
        <f t="shared" si="25"/>
        <v>0</v>
      </c>
      <c r="O48" s="48"/>
      <c r="P48" s="84"/>
      <c r="Q48" s="81">
        <f t="shared" si="26"/>
        <v>0</v>
      </c>
      <c r="R48" s="79">
        <f t="shared" si="27"/>
        <v>0</v>
      </c>
      <c r="S48" s="49"/>
      <c r="T48" s="84"/>
      <c r="U48" s="81">
        <f t="shared" ref="U48:U59" si="45">T48*CQ48</f>
        <v>0</v>
      </c>
      <c r="V48" s="79">
        <f t="shared" ref="V48:V59" si="46">S48*U48</f>
        <v>0</v>
      </c>
      <c r="W48" s="49"/>
      <c r="X48" s="84"/>
      <c r="Y48" s="81">
        <f t="shared" ref="Y48:Y59" si="47">X48*CT48</f>
        <v>0</v>
      </c>
      <c r="Z48" s="79">
        <f t="shared" ref="Z48:Z59" si="48">W48*Y48</f>
        <v>0</v>
      </c>
      <c r="AA48" s="49"/>
      <c r="AB48" s="84"/>
      <c r="AC48" s="81">
        <f t="shared" ref="AC48:AC59" si="49">AB48*CW48</f>
        <v>0</v>
      </c>
      <c r="AD48" s="79">
        <f t="shared" ref="AD48:AD59" si="50">AA48*AC48</f>
        <v>0</v>
      </c>
      <c r="AE48" s="49"/>
      <c r="AF48" s="84"/>
      <c r="AG48" s="81">
        <f t="shared" si="23"/>
        <v>0</v>
      </c>
      <c r="AH48" s="79">
        <f t="shared" si="28"/>
        <v>0</v>
      </c>
      <c r="AI48" s="48"/>
      <c r="AJ48" s="84"/>
      <c r="AK48" s="81">
        <f t="shared" si="29"/>
        <v>0</v>
      </c>
      <c r="AL48" s="79">
        <f t="shared" si="30"/>
        <v>0</v>
      </c>
      <c r="AM48" s="48"/>
      <c r="AN48" s="84"/>
      <c r="AO48" s="81">
        <f t="shared" si="31"/>
        <v>0</v>
      </c>
      <c r="AP48" s="79">
        <f t="shared" si="32"/>
        <v>0</v>
      </c>
      <c r="AQ48" s="48"/>
      <c r="AR48" s="84"/>
      <c r="AS48" s="81">
        <f t="shared" si="33"/>
        <v>0</v>
      </c>
      <c r="AT48" s="79">
        <f t="shared" si="34"/>
        <v>0</v>
      </c>
      <c r="AU48" s="49"/>
      <c r="AV48" s="84"/>
      <c r="AW48" s="81">
        <v>0</v>
      </c>
      <c r="AX48" s="79">
        <v>0</v>
      </c>
      <c r="AY48" s="49"/>
      <c r="AZ48" s="84"/>
      <c r="BA48" s="81">
        <v>0</v>
      </c>
      <c r="BB48" s="79">
        <v>0</v>
      </c>
      <c r="BC48" s="49"/>
      <c r="BD48" s="84"/>
      <c r="BE48" s="81">
        <v>0</v>
      </c>
      <c r="BF48" s="79">
        <v>0</v>
      </c>
      <c r="BG48" s="49"/>
      <c r="BH48" s="84"/>
      <c r="BI48" s="81">
        <v>0</v>
      </c>
      <c r="BJ48" s="79">
        <v>0</v>
      </c>
      <c r="BK48" s="49"/>
      <c r="BL48" s="84"/>
      <c r="BM48" s="81">
        <v>0</v>
      </c>
      <c r="BN48" s="79">
        <v>0</v>
      </c>
      <c r="BO48" s="49"/>
      <c r="BP48" s="84"/>
      <c r="BQ48" s="81">
        <v>0</v>
      </c>
      <c r="BR48" s="79">
        <v>0</v>
      </c>
      <c r="BS48" s="49"/>
      <c r="BT48" s="84"/>
      <c r="BU48" s="81">
        <f t="shared" si="35"/>
        <v>0</v>
      </c>
      <c r="BV48" s="79">
        <f t="shared" si="36"/>
        <v>0</v>
      </c>
      <c r="BW48" s="48"/>
      <c r="BX48" s="84"/>
      <c r="BY48" s="81">
        <f t="shared" si="37"/>
        <v>0</v>
      </c>
      <c r="BZ48" s="79">
        <f t="shared" si="38"/>
        <v>0</v>
      </c>
      <c r="CA48" s="48"/>
      <c r="CB48" s="84"/>
      <c r="CC48" s="81">
        <v>0</v>
      </c>
      <c r="CD48" s="79">
        <v>0</v>
      </c>
      <c r="CE48" s="49"/>
      <c r="CF48" s="84"/>
      <c r="CG48" s="81">
        <f t="shared" si="39"/>
        <v>0</v>
      </c>
      <c r="CH48" s="79">
        <f t="shared" si="40"/>
        <v>0</v>
      </c>
      <c r="CI48" s="33"/>
      <c r="CJ48" s="84"/>
      <c r="CK48" s="81">
        <f t="shared" si="41"/>
        <v>0</v>
      </c>
      <c r="CL48" s="79">
        <f t="shared" si="42"/>
        <v>0</v>
      </c>
      <c r="CM48" s="34"/>
      <c r="CN48" s="34"/>
      <c r="CO48" s="34"/>
      <c r="CP48" s="34"/>
      <c r="CQ48" s="50">
        <f t="shared" si="43"/>
        <v>1</v>
      </c>
      <c r="CR48" s="77">
        <f t="shared" si="44"/>
        <v>0</v>
      </c>
      <c r="CS48" s="28"/>
    </row>
    <row r="49" spans="1:97" s="1" customFormat="1">
      <c r="A49" s="30" t="s">
        <v>150</v>
      </c>
      <c r="B49" s="47"/>
      <c r="C49" s="31" t="s">
        <v>121</v>
      </c>
      <c r="D49" s="32"/>
      <c r="E49" s="32"/>
      <c r="F49" s="87"/>
      <c r="G49" s="48"/>
      <c r="H49" s="84"/>
      <c r="I49" s="80">
        <f t="shared" si="21"/>
        <v>0</v>
      </c>
      <c r="J49" s="79">
        <f t="shared" si="22"/>
        <v>0</v>
      </c>
      <c r="K49" s="49"/>
      <c r="L49" s="84"/>
      <c r="M49" s="81">
        <f t="shared" si="24"/>
        <v>0</v>
      </c>
      <c r="N49" s="79">
        <f t="shared" si="25"/>
        <v>0</v>
      </c>
      <c r="O49" s="48"/>
      <c r="P49" s="84"/>
      <c r="Q49" s="81">
        <f t="shared" si="26"/>
        <v>0</v>
      </c>
      <c r="R49" s="79">
        <f t="shared" si="27"/>
        <v>0</v>
      </c>
      <c r="S49" s="49"/>
      <c r="T49" s="84"/>
      <c r="U49" s="81">
        <f t="shared" si="45"/>
        <v>0</v>
      </c>
      <c r="V49" s="79">
        <f t="shared" si="46"/>
        <v>0</v>
      </c>
      <c r="W49" s="49"/>
      <c r="X49" s="84"/>
      <c r="Y49" s="81">
        <f t="shared" si="47"/>
        <v>0</v>
      </c>
      <c r="Z49" s="79">
        <f t="shared" si="48"/>
        <v>0</v>
      </c>
      <c r="AA49" s="49"/>
      <c r="AB49" s="84"/>
      <c r="AC49" s="81">
        <f t="shared" si="49"/>
        <v>0</v>
      </c>
      <c r="AD49" s="79">
        <f t="shared" si="50"/>
        <v>0</v>
      </c>
      <c r="AE49" s="49"/>
      <c r="AF49" s="84"/>
      <c r="AG49" s="81">
        <f t="shared" si="23"/>
        <v>0</v>
      </c>
      <c r="AH49" s="79">
        <f t="shared" si="28"/>
        <v>0</v>
      </c>
      <c r="AI49" s="48"/>
      <c r="AJ49" s="84"/>
      <c r="AK49" s="81">
        <f t="shared" si="29"/>
        <v>0</v>
      </c>
      <c r="AL49" s="79">
        <f t="shared" si="30"/>
        <v>0</v>
      </c>
      <c r="AM49" s="48"/>
      <c r="AN49" s="84"/>
      <c r="AO49" s="81">
        <f t="shared" si="31"/>
        <v>0</v>
      </c>
      <c r="AP49" s="79">
        <f t="shared" si="32"/>
        <v>0</v>
      </c>
      <c r="AQ49" s="48"/>
      <c r="AR49" s="84"/>
      <c r="AS49" s="81">
        <f t="shared" si="33"/>
        <v>0</v>
      </c>
      <c r="AT49" s="79">
        <f t="shared" si="34"/>
        <v>0</v>
      </c>
      <c r="AU49" s="49"/>
      <c r="AV49" s="84"/>
      <c r="AW49" s="81">
        <v>0</v>
      </c>
      <c r="AX49" s="79">
        <v>0</v>
      </c>
      <c r="AY49" s="49"/>
      <c r="AZ49" s="84"/>
      <c r="BA49" s="81">
        <v>0</v>
      </c>
      <c r="BB49" s="79">
        <v>0</v>
      </c>
      <c r="BC49" s="49"/>
      <c r="BD49" s="84"/>
      <c r="BE49" s="81">
        <v>0</v>
      </c>
      <c r="BF49" s="79">
        <v>0</v>
      </c>
      <c r="BG49" s="49"/>
      <c r="BH49" s="84"/>
      <c r="BI49" s="81">
        <v>0</v>
      </c>
      <c r="BJ49" s="79">
        <v>0</v>
      </c>
      <c r="BK49" s="49"/>
      <c r="BL49" s="84"/>
      <c r="BM49" s="81">
        <v>0</v>
      </c>
      <c r="BN49" s="79">
        <v>0</v>
      </c>
      <c r="BO49" s="49"/>
      <c r="BP49" s="84"/>
      <c r="BQ49" s="81">
        <v>0</v>
      </c>
      <c r="BR49" s="79">
        <v>0</v>
      </c>
      <c r="BS49" s="49"/>
      <c r="BT49" s="84"/>
      <c r="BU49" s="81">
        <f t="shared" si="35"/>
        <v>0</v>
      </c>
      <c r="BV49" s="79">
        <f t="shared" si="36"/>
        <v>0</v>
      </c>
      <c r="BW49" s="48">
        <v>1920</v>
      </c>
      <c r="BX49" s="84"/>
      <c r="BY49" s="81">
        <f t="shared" si="37"/>
        <v>0</v>
      </c>
      <c r="BZ49" s="79">
        <f t="shared" si="38"/>
        <v>0</v>
      </c>
      <c r="CA49" s="48"/>
      <c r="CB49" s="84"/>
      <c r="CC49" s="81">
        <v>0</v>
      </c>
      <c r="CD49" s="79">
        <v>0</v>
      </c>
      <c r="CE49" s="49"/>
      <c r="CF49" s="84"/>
      <c r="CG49" s="81">
        <f t="shared" si="39"/>
        <v>0</v>
      </c>
      <c r="CH49" s="79">
        <f t="shared" si="40"/>
        <v>0</v>
      </c>
      <c r="CI49" s="33"/>
      <c r="CJ49" s="84"/>
      <c r="CK49" s="81">
        <f t="shared" si="41"/>
        <v>0</v>
      </c>
      <c r="CL49" s="79">
        <f t="shared" si="42"/>
        <v>0</v>
      </c>
      <c r="CM49" s="34"/>
      <c r="CN49" s="34"/>
      <c r="CO49" s="34"/>
      <c r="CP49" s="34"/>
      <c r="CQ49" s="50">
        <f t="shared" si="43"/>
        <v>1</v>
      </c>
      <c r="CR49" s="77">
        <f t="shared" si="44"/>
        <v>0</v>
      </c>
      <c r="CS49" s="28"/>
    </row>
    <row r="50" spans="1:97" s="1" customFormat="1">
      <c r="A50" s="30" t="s">
        <v>151</v>
      </c>
      <c r="B50" s="47"/>
      <c r="C50" s="31" t="s">
        <v>123</v>
      </c>
      <c r="D50" s="32"/>
      <c r="E50" s="32"/>
      <c r="F50" s="87"/>
      <c r="G50" s="48"/>
      <c r="H50" s="84"/>
      <c r="I50" s="80">
        <f t="shared" si="21"/>
        <v>0</v>
      </c>
      <c r="J50" s="79">
        <f t="shared" si="22"/>
        <v>0</v>
      </c>
      <c r="K50" s="49"/>
      <c r="L50" s="84"/>
      <c r="M50" s="81">
        <f t="shared" si="24"/>
        <v>0</v>
      </c>
      <c r="N50" s="79">
        <f t="shared" si="25"/>
        <v>0</v>
      </c>
      <c r="O50" s="48"/>
      <c r="P50" s="84"/>
      <c r="Q50" s="81">
        <f t="shared" si="26"/>
        <v>0</v>
      </c>
      <c r="R50" s="79">
        <f t="shared" si="27"/>
        <v>0</v>
      </c>
      <c r="S50" s="49"/>
      <c r="T50" s="84"/>
      <c r="U50" s="81">
        <f t="shared" si="45"/>
        <v>0</v>
      </c>
      <c r="V50" s="79">
        <f t="shared" si="46"/>
        <v>0</v>
      </c>
      <c r="W50" s="49"/>
      <c r="X50" s="84"/>
      <c r="Y50" s="81">
        <f t="shared" si="47"/>
        <v>0</v>
      </c>
      <c r="Z50" s="79">
        <f t="shared" si="48"/>
        <v>0</v>
      </c>
      <c r="AA50" s="49"/>
      <c r="AB50" s="84"/>
      <c r="AC50" s="81">
        <f t="shared" si="49"/>
        <v>0</v>
      </c>
      <c r="AD50" s="79">
        <f t="shared" si="50"/>
        <v>0</v>
      </c>
      <c r="AE50" s="49"/>
      <c r="AF50" s="84"/>
      <c r="AG50" s="81">
        <f t="shared" si="23"/>
        <v>0</v>
      </c>
      <c r="AH50" s="79">
        <f t="shared" si="28"/>
        <v>0</v>
      </c>
      <c r="AI50" s="48"/>
      <c r="AJ50" s="84"/>
      <c r="AK50" s="81">
        <f t="shared" si="29"/>
        <v>0</v>
      </c>
      <c r="AL50" s="79">
        <f t="shared" si="30"/>
        <v>0</v>
      </c>
      <c r="AM50" s="48"/>
      <c r="AN50" s="84"/>
      <c r="AO50" s="81">
        <f t="shared" si="31"/>
        <v>0</v>
      </c>
      <c r="AP50" s="79">
        <f t="shared" si="32"/>
        <v>0</v>
      </c>
      <c r="AQ50" s="48"/>
      <c r="AR50" s="84"/>
      <c r="AS50" s="81">
        <f t="shared" si="33"/>
        <v>0</v>
      </c>
      <c r="AT50" s="79">
        <f t="shared" si="34"/>
        <v>0</v>
      </c>
      <c r="AU50" s="49"/>
      <c r="AV50" s="84"/>
      <c r="AW50" s="81">
        <v>0</v>
      </c>
      <c r="AX50" s="79">
        <v>0</v>
      </c>
      <c r="AY50" s="49"/>
      <c r="AZ50" s="84"/>
      <c r="BA50" s="81">
        <v>0</v>
      </c>
      <c r="BB50" s="79">
        <v>0</v>
      </c>
      <c r="BC50" s="49"/>
      <c r="BD50" s="84"/>
      <c r="BE50" s="81">
        <v>0</v>
      </c>
      <c r="BF50" s="79">
        <v>0</v>
      </c>
      <c r="BG50" s="49"/>
      <c r="BH50" s="84"/>
      <c r="BI50" s="81">
        <v>0</v>
      </c>
      <c r="BJ50" s="79">
        <v>0</v>
      </c>
      <c r="BK50" s="49"/>
      <c r="BL50" s="84"/>
      <c r="BM50" s="81">
        <v>0</v>
      </c>
      <c r="BN50" s="79">
        <v>0</v>
      </c>
      <c r="BO50" s="49"/>
      <c r="BP50" s="84"/>
      <c r="BQ50" s="81">
        <v>0</v>
      </c>
      <c r="BR50" s="79">
        <v>0</v>
      </c>
      <c r="BS50" s="49"/>
      <c r="BT50" s="84"/>
      <c r="BU50" s="81">
        <f t="shared" si="35"/>
        <v>0</v>
      </c>
      <c r="BV50" s="79">
        <f t="shared" si="36"/>
        <v>0</v>
      </c>
      <c r="BW50" s="48"/>
      <c r="BX50" s="84"/>
      <c r="BY50" s="81">
        <f t="shared" si="37"/>
        <v>0</v>
      </c>
      <c r="BZ50" s="79">
        <f t="shared" si="38"/>
        <v>0</v>
      </c>
      <c r="CA50" s="48"/>
      <c r="CB50" s="84"/>
      <c r="CC50" s="81">
        <v>0</v>
      </c>
      <c r="CD50" s="79">
        <v>0</v>
      </c>
      <c r="CE50" s="49"/>
      <c r="CF50" s="84"/>
      <c r="CG50" s="81">
        <f t="shared" si="39"/>
        <v>0</v>
      </c>
      <c r="CH50" s="79">
        <f t="shared" si="40"/>
        <v>0</v>
      </c>
      <c r="CI50" s="33"/>
      <c r="CJ50" s="84"/>
      <c r="CK50" s="81">
        <f t="shared" si="41"/>
        <v>0</v>
      </c>
      <c r="CL50" s="79">
        <f t="shared" si="42"/>
        <v>0</v>
      </c>
      <c r="CM50" s="34"/>
      <c r="CN50" s="34"/>
      <c r="CO50" s="34"/>
      <c r="CP50" s="34"/>
      <c r="CQ50" s="50">
        <f t="shared" si="43"/>
        <v>1</v>
      </c>
      <c r="CR50" s="77">
        <f t="shared" si="44"/>
        <v>0</v>
      </c>
      <c r="CS50" s="28"/>
    </row>
    <row r="51" spans="1:97" s="1" customFormat="1">
      <c r="A51" s="30" t="s">
        <v>152</v>
      </c>
      <c r="B51" s="47"/>
      <c r="C51" s="63" t="s">
        <v>120</v>
      </c>
      <c r="D51" s="32"/>
      <c r="E51" s="32"/>
      <c r="F51" s="87"/>
      <c r="G51" s="48"/>
      <c r="H51" s="84"/>
      <c r="I51" s="80">
        <f t="shared" si="21"/>
        <v>0</v>
      </c>
      <c r="J51" s="79">
        <f t="shared" si="22"/>
        <v>0</v>
      </c>
      <c r="K51" s="49"/>
      <c r="L51" s="84"/>
      <c r="M51" s="81">
        <f t="shared" si="24"/>
        <v>0</v>
      </c>
      <c r="N51" s="79">
        <f t="shared" si="25"/>
        <v>0</v>
      </c>
      <c r="O51" s="48"/>
      <c r="P51" s="84"/>
      <c r="Q51" s="81">
        <f t="shared" si="26"/>
        <v>0</v>
      </c>
      <c r="R51" s="79">
        <f t="shared" si="27"/>
        <v>0</v>
      </c>
      <c r="S51" s="49"/>
      <c r="T51" s="84"/>
      <c r="U51" s="81">
        <f t="shared" si="45"/>
        <v>0</v>
      </c>
      <c r="V51" s="79">
        <f t="shared" si="46"/>
        <v>0</v>
      </c>
      <c r="W51" s="49"/>
      <c r="X51" s="84"/>
      <c r="Y51" s="81">
        <f t="shared" si="47"/>
        <v>0</v>
      </c>
      <c r="Z51" s="79">
        <f t="shared" si="48"/>
        <v>0</v>
      </c>
      <c r="AA51" s="49"/>
      <c r="AB51" s="84"/>
      <c r="AC51" s="81">
        <f t="shared" si="49"/>
        <v>0</v>
      </c>
      <c r="AD51" s="79">
        <f t="shared" si="50"/>
        <v>0</v>
      </c>
      <c r="AE51" s="49"/>
      <c r="AF51" s="84"/>
      <c r="AG51" s="81">
        <f t="shared" si="23"/>
        <v>0</v>
      </c>
      <c r="AH51" s="79">
        <f t="shared" si="28"/>
        <v>0</v>
      </c>
      <c r="AI51" s="48"/>
      <c r="AJ51" s="84"/>
      <c r="AK51" s="81">
        <f t="shared" si="29"/>
        <v>0</v>
      </c>
      <c r="AL51" s="79">
        <f t="shared" si="30"/>
        <v>0</v>
      </c>
      <c r="AM51" s="48"/>
      <c r="AN51" s="84"/>
      <c r="AO51" s="81">
        <f t="shared" si="31"/>
        <v>0</v>
      </c>
      <c r="AP51" s="79">
        <f t="shared" si="32"/>
        <v>0</v>
      </c>
      <c r="AQ51" s="48"/>
      <c r="AR51" s="84"/>
      <c r="AS51" s="81">
        <f t="shared" si="33"/>
        <v>0</v>
      </c>
      <c r="AT51" s="79">
        <f t="shared" si="34"/>
        <v>0</v>
      </c>
      <c r="AU51" s="49"/>
      <c r="AV51" s="84"/>
      <c r="AW51" s="81">
        <v>0</v>
      </c>
      <c r="AX51" s="79">
        <v>0</v>
      </c>
      <c r="AY51" s="49"/>
      <c r="AZ51" s="84"/>
      <c r="BA51" s="81">
        <v>0</v>
      </c>
      <c r="BB51" s="79">
        <v>0</v>
      </c>
      <c r="BC51" s="49"/>
      <c r="BD51" s="84"/>
      <c r="BE51" s="81">
        <v>0</v>
      </c>
      <c r="BF51" s="79">
        <v>0</v>
      </c>
      <c r="BG51" s="49"/>
      <c r="BH51" s="84"/>
      <c r="BI51" s="81">
        <v>0</v>
      </c>
      <c r="BJ51" s="79">
        <v>0</v>
      </c>
      <c r="BK51" s="49"/>
      <c r="BL51" s="84"/>
      <c r="BM51" s="81">
        <v>0</v>
      </c>
      <c r="BN51" s="79">
        <v>0</v>
      </c>
      <c r="BO51" s="49"/>
      <c r="BP51" s="84"/>
      <c r="BQ51" s="81">
        <v>0</v>
      </c>
      <c r="BR51" s="79">
        <v>0</v>
      </c>
      <c r="BS51" s="49"/>
      <c r="BT51" s="84"/>
      <c r="BU51" s="81">
        <f t="shared" si="35"/>
        <v>0</v>
      </c>
      <c r="BV51" s="79">
        <f t="shared" si="36"/>
        <v>0</v>
      </c>
      <c r="BW51" s="48">
        <v>1920</v>
      </c>
      <c r="BX51" s="84"/>
      <c r="BY51" s="81">
        <f t="shared" si="37"/>
        <v>0</v>
      </c>
      <c r="BZ51" s="79">
        <f t="shared" si="38"/>
        <v>0</v>
      </c>
      <c r="CA51" s="48"/>
      <c r="CB51" s="84"/>
      <c r="CC51" s="81">
        <v>0</v>
      </c>
      <c r="CD51" s="79">
        <v>0</v>
      </c>
      <c r="CE51" s="49"/>
      <c r="CF51" s="84"/>
      <c r="CG51" s="81">
        <f t="shared" si="39"/>
        <v>0</v>
      </c>
      <c r="CH51" s="79">
        <f t="shared" si="40"/>
        <v>0</v>
      </c>
      <c r="CI51" s="33"/>
      <c r="CJ51" s="84"/>
      <c r="CK51" s="81">
        <f t="shared" si="41"/>
        <v>0</v>
      </c>
      <c r="CL51" s="79">
        <f t="shared" si="42"/>
        <v>0</v>
      </c>
      <c r="CM51" s="34"/>
      <c r="CN51" s="34"/>
      <c r="CO51" s="34"/>
      <c r="CP51" s="34"/>
      <c r="CQ51" s="50">
        <f t="shared" si="43"/>
        <v>1</v>
      </c>
      <c r="CR51" s="77">
        <f t="shared" si="44"/>
        <v>0</v>
      </c>
      <c r="CS51" s="28"/>
    </row>
    <row r="52" spans="1:97" s="1" customFormat="1">
      <c r="A52" s="30" t="s">
        <v>152</v>
      </c>
      <c r="B52" s="47"/>
      <c r="C52" s="31" t="s">
        <v>123</v>
      </c>
      <c r="D52" s="32"/>
      <c r="E52" s="32"/>
      <c r="F52" s="87"/>
      <c r="G52" s="48">
        <v>960</v>
      </c>
      <c r="H52" s="84"/>
      <c r="I52" s="80">
        <f t="shared" si="21"/>
        <v>0</v>
      </c>
      <c r="J52" s="79">
        <f t="shared" si="22"/>
        <v>0</v>
      </c>
      <c r="K52" s="49"/>
      <c r="L52" s="84"/>
      <c r="M52" s="81">
        <f t="shared" si="24"/>
        <v>0</v>
      </c>
      <c r="N52" s="79">
        <f t="shared" si="25"/>
        <v>0</v>
      </c>
      <c r="O52" s="48"/>
      <c r="P52" s="84"/>
      <c r="Q52" s="81">
        <f t="shared" si="26"/>
        <v>0</v>
      </c>
      <c r="R52" s="79">
        <f t="shared" si="27"/>
        <v>0</v>
      </c>
      <c r="S52" s="49"/>
      <c r="T52" s="84"/>
      <c r="U52" s="81">
        <f t="shared" si="45"/>
        <v>0</v>
      </c>
      <c r="V52" s="79">
        <f t="shared" si="46"/>
        <v>0</v>
      </c>
      <c r="W52" s="49"/>
      <c r="X52" s="84"/>
      <c r="Y52" s="81">
        <f t="shared" si="47"/>
        <v>0</v>
      </c>
      <c r="Z52" s="79">
        <f t="shared" si="48"/>
        <v>0</v>
      </c>
      <c r="AA52" s="49"/>
      <c r="AB52" s="84"/>
      <c r="AC52" s="81">
        <f t="shared" si="49"/>
        <v>0</v>
      </c>
      <c r="AD52" s="79">
        <f t="shared" si="50"/>
        <v>0</v>
      </c>
      <c r="AE52" s="49"/>
      <c r="AF52" s="84"/>
      <c r="AG52" s="81">
        <f t="shared" si="23"/>
        <v>0</v>
      </c>
      <c r="AH52" s="79">
        <f t="shared" si="28"/>
        <v>0</v>
      </c>
      <c r="AI52" s="48"/>
      <c r="AJ52" s="84"/>
      <c r="AK52" s="81">
        <f t="shared" si="29"/>
        <v>0</v>
      </c>
      <c r="AL52" s="79">
        <f t="shared" si="30"/>
        <v>0</v>
      </c>
      <c r="AM52" s="48"/>
      <c r="AN52" s="84"/>
      <c r="AO52" s="81">
        <f t="shared" si="31"/>
        <v>0</v>
      </c>
      <c r="AP52" s="79">
        <f t="shared" si="32"/>
        <v>0</v>
      </c>
      <c r="AQ52" s="48"/>
      <c r="AR52" s="84"/>
      <c r="AS52" s="81">
        <f t="shared" si="33"/>
        <v>0</v>
      </c>
      <c r="AT52" s="79">
        <f t="shared" si="34"/>
        <v>0</v>
      </c>
      <c r="AU52" s="49"/>
      <c r="AV52" s="84"/>
      <c r="AW52" s="81">
        <v>0</v>
      </c>
      <c r="AX52" s="79">
        <v>0</v>
      </c>
      <c r="AY52" s="49"/>
      <c r="AZ52" s="84"/>
      <c r="BA52" s="81">
        <v>0</v>
      </c>
      <c r="BB52" s="79">
        <v>0</v>
      </c>
      <c r="BC52" s="49"/>
      <c r="BD52" s="84"/>
      <c r="BE52" s="81">
        <v>0</v>
      </c>
      <c r="BF52" s="79">
        <v>0</v>
      </c>
      <c r="BG52" s="49"/>
      <c r="BH52" s="84"/>
      <c r="BI52" s="81">
        <v>0</v>
      </c>
      <c r="BJ52" s="79">
        <v>0</v>
      </c>
      <c r="BK52" s="49"/>
      <c r="BL52" s="84"/>
      <c r="BM52" s="81">
        <v>0</v>
      </c>
      <c r="BN52" s="79">
        <v>0</v>
      </c>
      <c r="BO52" s="49"/>
      <c r="BP52" s="84"/>
      <c r="BQ52" s="81">
        <v>0</v>
      </c>
      <c r="BR52" s="79">
        <v>0</v>
      </c>
      <c r="BS52" s="49"/>
      <c r="BT52" s="84"/>
      <c r="BU52" s="81">
        <f t="shared" si="35"/>
        <v>0</v>
      </c>
      <c r="BV52" s="79">
        <f t="shared" si="36"/>
        <v>0</v>
      </c>
      <c r="BW52" s="48">
        <v>1920</v>
      </c>
      <c r="BX52" s="84"/>
      <c r="BY52" s="81">
        <f t="shared" si="37"/>
        <v>0</v>
      </c>
      <c r="BZ52" s="79">
        <f t="shared" si="38"/>
        <v>0</v>
      </c>
      <c r="CA52" s="48"/>
      <c r="CB52" s="84"/>
      <c r="CC52" s="81">
        <v>0</v>
      </c>
      <c r="CD52" s="79">
        <v>0</v>
      </c>
      <c r="CE52" s="49"/>
      <c r="CF52" s="84"/>
      <c r="CG52" s="81">
        <f t="shared" si="39"/>
        <v>0</v>
      </c>
      <c r="CH52" s="79">
        <f t="shared" si="40"/>
        <v>0</v>
      </c>
      <c r="CI52" s="33"/>
      <c r="CJ52" s="84"/>
      <c r="CK52" s="81">
        <f t="shared" si="41"/>
        <v>0</v>
      </c>
      <c r="CL52" s="79">
        <f t="shared" si="42"/>
        <v>0</v>
      </c>
      <c r="CM52" s="34"/>
      <c r="CN52" s="34"/>
      <c r="CO52" s="34"/>
      <c r="CP52" s="34"/>
      <c r="CQ52" s="50">
        <f t="shared" si="43"/>
        <v>1</v>
      </c>
      <c r="CR52" s="77">
        <f t="shared" si="44"/>
        <v>0</v>
      </c>
      <c r="CS52" s="28"/>
    </row>
    <row r="53" spans="1:97">
      <c r="A53" s="37" t="s">
        <v>153</v>
      </c>
      <c r="B53" s="55"/>
      <c r="C53" s="63" t="s">
        <v>120</v>
      </c>
      <c r="D53" s="32"/>
      <c r="E53" s="32"/>
      <c r="F53" s="87"/>
      <c r="G53" s="48"/>
      <c r="H53" s="84"/>
      <c r="I53" s="80">
        <f t="shared" si="21"/>
        <v>0</v>
      </c>
      <c r="J53" s="79">
        <f t="shared" si="22"/>
        <v>0</v>
      </c>
      <c r="K53" s="49"/>
      <c r="L53" s="84"/>
      <c r="M53" s="81">
        <f t="shared" si="24"/>
        <v>0</v>
      </c>
      <c r="N53" s="79">
        <f t="shared" si="25"/>
        <v>0</v>
      </c>
      <c r="O53" s="48"/>
      <c r="P53" s="84"/>
      <c r="Q53" s="81">
        <f t="shared" si="26"/>
        <v>0</v>
      </c>
      <c r="R53" s="79">
        <f t="shared" si="27"/>
        <v>0</v>
      </c>
      <c r="S53" s="49"/>
      <c r="T53" s="84"/>
      <c r="U53" s="81">
        <f t="shared" si="45"/>
        <v>0</v>
      </c>
      <c r="V53" s="79">
        <f t="shared" si="46"/>
        <v>0</v>
      </c>
      <c r="W53" s="49"/>
      <c r="X53" s="84"/>
      <c r="Y53" s="81">
        <f t="shared" si="47"/>
        <v>0</v>
      </c>
      <c r="Z53" s="79">
        <f t="shared" si="48"/>
        <v>0</v>
      </c>
      <c r="AA53" s="49"/>
      <c r="AB53" s="84"/>
      <c r="AC53" s="81">
        <f t="shared" si="49"/>
        <v>0</v>
      </c>
      <c r="AD53" s="79">
        <f t="shared" si="50"/>
        <v>0</v>
      </c>
      <c r="AE53" s="49"/>
      <c r="AF53" s="84"/>
      <c r="AG53" s="81">
        <f t="shared" si="23"/>
        <v>0</v>
      </c>
      <c r="AH53" s="79">
        <f t="shared" si="28"/>
        <v>0</v>
      </c>
      <c r="AI53" s="48"/>
      <c r="AJ53" s="84"/>
      <c r="AK53" s="81">
        <f t="shared" si="29"/>
        <v>0</v>
      </c>
      <c r="AL53" s="79">
        <f t="shared" si="30"/>
        <v>0</v>
      </c>
      <c r="AM53" s="48"/>
      <c r="AN53" s="84"/>
      <c r="AO53" s="81">
        <f t="shared" si="31"/>
        <v>0</v>
      </c>
      <c r="AP53" s="79">
        <f t="shared" si="32"/>
        <v>0</v>
      </c>
      <c r="AQ53" s="48"/>
      <c r="AR53" s="84"/>
      <c r="AS53" s="81">
        <f t="shared" si="33"/>
        <v>0</v>
      </c>
      <c r="AT53" s="79">
        <f t="shared" si="34"/>
        <v>0</v>
      </c>
      <c r="AU53" s="49"/>
      <c r="AV53" s="84"/>
      <c r="AW53" s="81">
        <v>0</v>
      </c>
      <c r="AX53" s="79">
        <v>0</v>
      </c>
      <c r="AY53" s="49"/>
      <c r="AZ53" s="84"/>
      <c r="BA53" s="81">
        <v>0</v>
      </c>
      <c r="BB53" s="79">
        <v>0</v>
      </c>
      <c r="BC53" s="49"/>
      <c r="BD53" s="84"/>
      <c r="BE53" s="81">
        <v>0</v>
      </c>
      <c r="BF53" s="79">
        <v>0</v>
      </c>
      <c r="BG53" s="49"/>
      <c r="BH53" s="84"/>
      <c r="BI53" s="81">
        <v>0</v>
      </c>
      <c r="BJ53" s="79">
        <v>0</v>
      </c>
      <c r="BK53" s="49"/>
      <c r="BL53" s="84"/>
      <c r="BM53" s="81">
        <v>0</v>
      </c>
      <c r="BN53" s="79">
        <v>0</v>
      </c>
      <c r="BO53" s="49"/>
      <c r="BP53" s="84"/>
      <c r="BQ53" s="81">
        <v>0</v>
      </c>
      <c r="BR53" s="79">
        <v>0</v>
      </c>
      <c r="BS53" s="49"/>
      <c r="BT53" s="84"/>
      <c r="BU53" s="81">
        <f t="shared" si="35"/>
        <v>0</v>
      </c>
      <c r="BV53" s="79">
        <f t="shared" si="36"/>
        <v>0</v>
      </c>
      <c r="BW53" s="48">
        <v>480</v>
      </c>
      <c r="BX53" s="84"/>
      <c r="BY53" s="81">
        <f t="shared" si="37"/>
        <v>0</v>
      </c>
      <c r="BZ53" s="79">
        <f t="shared" si="38"/>
        <v>0</v>
      </c>
      <c r="CA53" s="48"/>
      <c r="CB53" s="84"/>
      <c r="CC53" s="81">
        <v>0</v>
      </c>
      <c r="CD53" s="79">
        <v>0</v>
      </c>
      <c r="CE53" s="49"/>
      <c r="CF53" s="84"/>
      <c r="CG53" s="81">
        <f t="shared" si="39"/>
        <v>0</v>
      </c>
      <c r="CH53" s="79">
        <f t="shared" si="40"/>
        <v>0</v>
      </c>
      <c r="CI53" s="33"/>
      <c r="CJ53" s="84"/>
      <c r="CK53" s="81">
        <f t="shared" si="41"/>
        <v>0</v>
      </c>
      <c r="CL53" s="79">
        <f t="shared" si="42"/>
        <v>0</v>
      </c>
      <c r="CM53" s="34"/>
      <c r="CN53" s="34"/>
      <c r="CO53" s="34"/>
      <c r="CP53" s="34"/>
      <c r="CQ53" s="50">
        <f t="shared" si="43"/>
        <v>1</v>
      </c>
      <c r="CR53" s="77">
        <f t="shared" si="44"/>
        <v>0</v>
      </c>
      <c r="CS53" s="28"/>
    </row>
    <row r="54" spans="1:97">
      <c r="A54" s="37" t="s">
        <v>153</v>
      </c>
      <c r="B54" s="55"/>
      <c r="C54" s="31" t="s">
        <v>121</v>
      </c>
      <c r="D54" s="32"/>
      <c r="E54" s="32"/>
      <c r="F54" s="87"/>
      <c r="G54" s="48"/>
      <c r="H54" s="84"/>
      <c r="I54" s="80">
        <f t="shared" si="21"/>
        <v>0</v>
      </c>
      <c r="J54" s="79">
        <f t="shared" si="22"/>
        <v>0</v>
      </c>
      <c r="K54" s="49"/>
      <c r="L54" s="84"/>
      <c r="M54" s="81">
        <f t="shared" si="24"/>
        <v>0</v>
      </c>
      <c r="N54" s="79">
        <f t="shared" si="25"/>
        <v>0</v>
      </c>
      <c r="O54" s="48"/>
      <c r="P54" s="84"/>
      <c r="Q54" s="81">
        <f t="shared" si="26"/>
        <v>0</v>
      </c>
      <c r="R54" s="79">
        <f t="shared" si="27"/>
        <v>0</v>
      </c>
      <c r="S54" s="49"/>
      <c r="T54" s="84"/>
      <c r="U54" s="81">
        <f t="shared" si="45"/>
        <v>0</v>
      </c>
      <c r="V54" s="79">
        <f t="shared" si="46"/>
        <v>0</v>
      </c>
      <c r="W54" s="49"/>
      <c r="X54" s="84"/>
      <c r="Y54" s="81">
        <f t="shared" si="47"/>
        <v>0</v>
      </c>
      <c r="Z54" s="79">
        <f t="shared" si="48"/>
        <v>0</v>
      </c>
      <c r="AA54" s="49"/>
      <c r="AB54" s="84"/>
      <c r="AC54" s="81">
        <f t="shared" si="49"/>
        <v>0</v>
      </c>
      <c r="AD54" s="79">
        <f t="shared" si="50"/>
        <v>0</v>
      </c>
      <c r="AE54" s="49"/>
      <c r="AF54" s="84"/>
      <c r="AG54" s="81">
        <f t="shared" si="23"/>
        <v>0</v>
      </c>
      <c r="AH54" s="79">
        <f t="shared" si="28"/>
        <v>0</v>
      </c>
      <c r="AI54" s="48"/>
      <c r="AJ54" s="84"/>
      <c r="AK54" s="81">
        <f t="shared" si="29"/>
        <v>0</v>
      </c>
      <c r="AL54" s="79">
        <f t="shared" si="30"/>
        <v>0</v>
      </c>
      <c r="AM54" s="48"/>
      <c r="AN54" s="84"/>
      <c r="AO54" s="81">
        <f t="shared" si="31"/>
        <v>0</v>
      </c>
      <c r="AP54" s="79">
        <f t="shared" si="32"/>
        <v>0</v>
      </c>
      <c r="AQ54" s="48"/>
      <c r="AR54" s="84"/>
      <c r="AS54" s="81">
        <f t="shared" si="33"/>
        <v>0</v>
      </c>
      <c r="AT54" s="79">
        <f t="shared" si="34"/>
        <v>0</v>
      </c>
      <c r="AU54" s="49"/>
      <c r="AV54" s="84"/>
      <c r="AW54" s="81">
        <v>0</v>
      </c>
      <c r="AX54" s="79">
        <v>0</v>
      </c>
      <c r="AY54" s="49"/>
      <c r="AZ54" s="84"/>
      <c r="BA54" s="81">
        <v>0</v>
      </c>
      <c r="BB54" s="79">
        <v>0</v>
      </c>
      <c r="BC54" s="49"/>
      <c r="BD54" s="84"/>
      <c r="BE54" s="81">
        <v>0</v>
      </c>
      <c r="BF54" s="79">
        <v>0</v>
      </c>
      <c r="BG54" s="49"/>
      <c r="BH54" s="84"/>
      <c r="BI54" s="81">
        <v>0</v>
      </c>
      <c r="BJ54" s="79">
        <v>0</v>
      </c>
      <c r="BK54" s="49"/>
      <c r="BL54" s="84"/>
      <c r="BM54" s="81">
        <v>0</v>
      </c>
      <c r="BN54" s="79">
        <v>0</v>
      </c>
      <c r="BO54" s="49"/>
      <c r="BP54" s="84"/>
      <c r="BQ54" s="81">
        <v>0</v>
      </c>
      <c r="BR54" s="79">
        <v>0</v>
      </c>
      <c r="BS54" s="49"/>
      <c r="BT54" s="84"/>
      <c r="BU54" s="81">
        <f t="shared" si="35"/>
        <v>0</v>
      </c>
      <c r="BV54" s="79">
        <f t="shared" si="36"/>
        <v>0</v>
      </c>
      <c r="BW54" s="48">
        <v>480</v>
      </c>
      <c r="BX54" s="84"/>
      <c r="BY54" s="81">
        <f t="shared" si="37"/>
        <v>0</v>
      </c>
      <c r="BZ54" s="79">
        <f t="shared" si="38"/>
        <v>0</v>
      </c>
      <c r="CA54" s="48"/>
      <c r="CB54" s="84"/>
      <c r="CC54" s="81">
        <v>0</v>
      </c>
      <c r="CD54" s="79">
        <v>0</v>
      </c>
      <c r="CE54" s="49"/>
      <c r="CF54" s="84"/>
      <c r="CG54" s="81">
        <f t="shared" si="39"/>
        <v>0</v>
      </c>
      <c r="CH54" s="79">
        <f t="shared" si="40"/>
        <v>0</v>
      </c>
      <c r="CI54" s="33"/>
      <c r="CJ54" s="84"/>
      <c r="CK54" s="81">
        <f t="shared" si="41"/>
        <v>0</v>
      </c>
      <c r="CL54" s="79">
        <f t="shared" si="42"/>
        <v>0</v>
      </c>
      <c r="CM54" s="34"/>
      <c r="CN54" s="34"/>
      <c r="CO54" s="34"/>
      <c r="CP54" s="34"/>
      <c r="CQ54" s="50">
        <f t="shared" si="43"/>
        <v>1</v>
      </c>
      <c r="CR54" s="77">
        <f t="shared" si="44"/>
        <v>0</v>
      </c>
      <c r="CS54" s="28"/>
    </row>
    <row r="55" spans="1:97">
      <c r="A55" s="38" t="s">
        <v>154</v>
      </c>
      <c r="B55" s="56"/>
      <c r="C55" s="31" t="s">
        <v>123</v>
      </c>
      <c r="D55" s="32"/>
      <c r="E55" s="32"/>
      <c r="F55" s="87"/>
      <c r="G55" s="48"/>
      <c r="H55" s="84"/>
      <c r="I55" s="80">
        <f t="shared" si="21"/>
        <v>0</v>
      </c>
      <c r="J55" s="79">
        <f t="shared" si="22"/>
        <v>0</v>
      </c>
      <c r="K55" s="49"/>
      <c r="L55" s="84"/>
      <c r="M55" s="81">
        <f t="shared" si="24"/>
        <v>0</v>
      </c>
      <c r="N55" s="79">
        <f t="shared" si="25"/>
        <v>0</v>
      </c>
      <c r="O55" s="48"/>
      <c r="P55" s="84"/>
      <c r="Q55" s="81">
        <f t="shared" si="26"/>
        <v>0</v>
      </c>
      <c r="R55" s="79">
        <f t="shared" si="27"/>
        <v>0</v>
      </c>
      <c r="S55" s="49"/>
      <c r="T55" s="84"/>
      <c r="U55" s="81">
        <f t="shared" si="45"/>
        <v>0</v>
      </c>
      <c r="V55" s="79">
        <f t="shared" si="46"/>
        <v>0</v>
      </c>
      <c r="W55" s="49"/>
      <c r="X55" s="84"/>
      <c r="Y55" s="81">
        <f t="shared" si="47"/>
        <v>0</v>
      </c>
      <c r="Z55" s="79">
        <f t="shared" si="48"/>
        <v>0</v>
      </c>
      <c r="AA55" s="49"/>
      <c r="AB55" s="84"/>
      <c r="AC55" s="81">
        <f t="shared" si="49"/>
        <v>0</v>
      </c>
      <c r="AD55" s="79">
        <f t="shared" si="50"/>
        <v>0</v>
      </c>
      <c r="AE55" s="49"/>
      <c r="AF55" s="84"/>
      <c r="AG55" s="81">
        <f t="shared" si="23"/>
        <v>0</v>
      </c>
      <c r="AH55" s="79">
        <f t="shared" si="28"/>
        <v>0</v>
      </c>
      <c r="AI55" s="48"/>
      <c r="AJ55" s="84"/>
      <c r="AK55" s="81">
        <f t="shared" si="29"/>
        <v>0</v>
      </c>
      <c r="AL55" s="79">
        <f t="shared" si="30"/>
        <v>0</v>
      </c>
      <c r="AM55" s="48"/>
      <c r="AN55" s="84"/>
      <c r="AO55" s="81">
        <f t="shared" si="31"/>
        <v>0</v>
      </c>
      <c r="AP55" s="79">
        <f t="shared" si="32"/>
        <v>0</v>
      </c>
      <c r="AQ55" s="48"/>
      <c r="AR55" s="84"/>
      <c r="AS55" s="81">
        <f t="shared" si="33"/>
        <v>0</v>
      </c>
      <c r="AT55" s="79">
        <f t="shared" si="34"/>
        <v>0</v>
      </c>
      <c r="AU55" s="49"/>
      <c r="AV55" s="84"/>
      <c r="AW55" s="81">
        <v>0</v>
      </c>
      <c r="AX55" s="79">
        <v>0</v>
      </c>
      <c r="AY55" s="49"/>
      <c r="AZ55" s="84"/>
      <c r="BA55" s="81">
        <v>0</v>
      </c>
      <c r="BB55" s="79">
        <v>0</v>
      </c>
      <c r="BC55" s="49"/>
      <c r="BD55" s="84"/>
      <c r="BE55" s="81">
        <v>0</v>
      </c>
      <c r="BF55" s="79">
        <v>0</v>
      </c>
      <c r="BG55" s="49"/>
      <c r="BH55" s="84"/>
      <c r="BI55" s="81">
        <v>0</v>
      </c>
      <c r="BJ55" s="79">
        <v>0</v>
      </c>
      <c r="BK55" s="49"/>
      <c r="BL55" s="84"/>
      <c r="BM55" s="81">
        <v>0</v>
      </c>
      <c r="BN55" s="79">
        <v>0</v>
      </c>
      <c r="BO55" s="49"/>
      <c r="BP55" s="84"/>
      <c r="BQ55" s="81">
        <v>0</v>
      </c>
      <c r="BR55" s="79">
        <v>0</v>
      </c>
      <c r="BS55" s="49"/>
      <c r="BT55" s="84"/>
      <c r="BU55" s="81">
        <f t="shared" si="35"/>
        <v>0</v>
      </c>
      <c r="BV55" s="79">
        <f t="shared" si="36"/>
        <v>0</v>
      </c>
      <c r="BW55" s="48">
        <v>3840</v>
      </c>
      <c r="BX55" s="84"/>
      <c r="BY55" s="81">
        <f t="shared" si="37"/>
        <v>0</v>
      </c>
      <c r="BZ55" s="79">
        <f t="shared" si="38"/>
        <v>0</v>
      </c>
      <c r="CA55" s="48"/>
      <c r="CB55" s="84"/>
      <c r="CC55" s="81">
        <v>0</v>
      </c>
      <c r="CD55" s="79">
        <v>0</v>
      </c>
      <c r="CE55" s="49"/>
      <c r="CF55" s="84"/>
      <c r="CG55" s="81">
        <f t="shared" si="39"/>
        <v>0</v>
      </c>
      <c r="CH55" s="79">
        <f t="shared" si="40"/>
        <v>0</v>
      </c>
      <c r="CI55" s="33"/>
      <c r="CJ55" s="84"/>
      <c r="CK55" s="81">
        <f t="shared" si="41"/>
        <v>0</v>
      </c>
      <c r="CL55" s="79">
        <f t="shared" si="42"/>
        <v>0</v>
      </c>
      <c r="CM55" s="34"/>
      <c r="CN55" s="34"/>
      <c r="CO55" s="34"/>
      <c r="CP55" s="34"/>
      <c r="CQ55" s="50">
        <f t="shared" si="43"/>
        <v>1</v>
      </c>
      <c r="CR55" s="77">
        <f t="shared" si="44"/>
        <v>0</v>
      </c>
      <c r="CS55" s="28"/>
    </row>
    <row r="56" spans="1:97">
      <c r="A56" s="30" t="s">
        <v>155</v>
      </c>
      <c r="B56" s="47"/>
      <c r="C56" s="63" t="s">
        <v>120</v>
      </c>
      <c r="D56" s="32"/>
      <c r="E56" s="32"/>
      <c r="F56" s="87"/>
      <c r="G56" s="48"/>
      <c r="H56" s="84"/>
      <c r="I56" s="80">
        <f t="shared" si="21"/>
        <v>0</v>
      </c>
      <c r="J56" s="79">
        <f t="shared" si="22"/>
        <v>0</v>
      </c>
      <c r="K56" s="49"/>
      <c r="L56" s="84"/>
      <c r="M56" s="81">
        <f t="shared" si="24"/>
        <v>0</v>
      </c>
      <c r="N56" s="79">
        <f t="shared" si="25"/>
        <v>0</v>
      </c>
      <c r="O56" s="48"/>
      <c r="P56" s="84"/>
      <c r="Q56" s="81">
        <f t="shared" si="26"/>
        <v>0</v>
      </c>
      <c r="R56" s="79">
        <f t="shared" si="27"/>
        <v>0</v>
      </c>
      <c r="S56" s="49"/>
      <c r="T56" s="84"/>
      <c r="U56" s="81">
        <f t="shared" si="45"/>
        <v>0</v>
      </c>
      <c r="V56" s="79">
        <f t="shared" si="46"/>
        <v>0</v>
      </c>
      <c r="W56" s="49"/>
      <c r="X56" s="84"/>
      <c r="Y56" s="81">
        <f t="shared" si="47"/>
        <v>0</v>
      </c>
      <c r="Z56" s="79">
        <f t="shared" si="48"/>
        <v>0</v>
      </c>
      <c r="AA56" s="49"/>
      <c r="AB56" s="84"/>
      <c r="AC56" s="81">
        <f t="shared" si="49"/>
        <v>0</v>
      </c>
      <c r="AD56" s="79">
        <f t="shared" si="50"/>
        <v>0</v>
      </c>
      <c r="AE56" s="49"/>
      <c r="AF56" s="84"/>
      <c r="AG56" s="81">
        <f t="shared" si="23"/>
        <v>0</v>
      </c>
      <c r="AH56" s="79">
        <f t="shared" si="28"/>
        <v>0</v>
      </c>
      <c r="AI56" s="48"/>
      <c r="AJ56" s="84"/>
      <c r="AK56" s="81">
        <f t="shared" si="29"/>
        <v>0</v>
      </c>
      <c r="AL56" s="79">
        <f t="shared" si="30"/>
        <v>0</v>
      </c>
      <c r="AM56" s="48"/>
      <c r="AN56" s="84"/>
      <c r="AO56" s="81">
        <f t="shared" si="31"/>
        <v>0</v>
      </c>
      <c r="AP56" s="79">
        <f t="shared" si="32"/>
        <v>0</v>
      </c>
      <c r="AQ56" s="48"/>
      <c r="AR56" s="84"/>
      <c r="AS56" s="81">
        <f t="shared" si="33"/>
        <v>0</v>
      </c>
      <c r="AT56" s="79">
        <f t="shared" si="34"/>
        <v>0</v>
      </c>
      <c r="AU56" s="49"/>
      <c r="AV56" s="84"/>
      <c r="AW56" s="81">
        <f t="shared" ref="AW56:AW59" si="51">AV56*CQ56</f>
        <v>0</v>
      </c>
      <c r="AX56" s="79">
        <f t="shared" ref="AX56:AX59" si="52">AU56*AW56</f>
        <v>0</v>
      </c>
      <c r="AY56" s="49"/>
      <c r="AZ56" s="84"/>
      <c r="BA56" s="81">
        <f t="shared" ref="BA56:BA59" si="53">AZ56*CQ56</f>
        <v>0</v>
      </c>
      <c r="BB56" s="79">
        <f t="shared" ref="BB56:BB59" si="54">AY56*BA56</f>
        <v>0</v>
      </c>
      <c r="BC56" s="49"/>
      <c r="BD56" s="84"/>
      <c r="BE56" s="81">
        <f t="shared" ref="BE56:BE59" si="55">BD56*CQ56</f>
        <v>0</v>
      </c>
      <c r="BF56" s="79">
        <f t="shared" ref="BF56:BF59" si="56">BC56*BE56</f>
        <v>0</v>
      </c>
      <c r="BG56" s="49"/>
      <c r="BH56" s="84"/>
      <c r="BI56" s="81">
        <f t="shared" ref="BI56:BI59" si="57">BH56*CQ56</f>
        <v>0</v>
      </c>
      <c r="BJ56" s="79">
        <f t="shared" ref="BJ56:BJ59" si="58">BG56*BI56</f>
        <v>0</v>
      </c>
      <c r="BK56" s="49"/>
      <c r="BL56" s="84"/>
      <c r="BM56" s="81">
        <f t="shared" ref="BM56:BM59" si="59">BL56*CQ56</f>
        <v>0</v>
      </c>
      <c r="BN56" s="79">
        <f t="shared" ref="BN56:BN59" si="60">BK56*BM56</f>
        <v>0</v>
      </c>
      <c r="BO56" s="49"/>
      <c r="BP56" s="84"/>
      <c r="BQ56" s="81">
        <f t="shared" ref="BQ56:BQ59" si="61">BP56*CQ56</f>
        <v>0</v>
      </c>
      <c r="BR56" s="79">
        <f t="shared" ref="BR56:BR59" si="62">BO56*BQ56</f>
        <v>0</v>
      </c>
      <c r="BS56" s="49"/>
      <c r="BT56" s="84"/>
      <c r="BU56" s="81">
        <f t="shared" si="35"/>
        <v>0</v>
      </c>
      <c r="BV56" s="79">
        <f t="shared" si="36"/>
        <v>0</v>
      </c>
      <c r="BW56" s="48">
        <v>480</v>
      </c>
      <c r="BX56" s="84"/>
      <c r="BY56" s="81">
        <f t="shared" si="37"/>
        <v>0</v>
      </c>
      <c r="BZ56" s="79">
        <f t="shared" si="38"/>
        <v>0</v>
      </c>
      <c r="CA56" s="48"/>
      <c r="CB56" s="84"/>
      <c r="CC56" s="81">
        <v>0</v>
      </c>
      <c r="CD56" s="79">
        <v>0</v>
      </c>
      <c r="CE56" s="49"/>
      <c r="CF56" s="84"/>
      <c r="CG56" s="81">
        <f t="shared" si="39"/>
        <v>0</v>
      </c>
      <c r="CH56" s="79">
        <f t="shared" si="40"/>
        <v>0</v>
      </c>
      <c r="CI56" s="33"/>
      <c r="CJ56" s="84"/>
      <c r="CK56" s="81">
        <f t="shared" si="41"/>
        <v>0</v>
      </c>
      <c r="CL56" s="79">
        <f t="shared" si="42"/>
        <v>0</v>
      </c>
      <c r="CM56" s="34"/>
      <c r="CN56" s="34"/>
      <c r="CO56" s="34"/>
      <c r="CP56" s="34"/>
      <c r="CQ56" s="50">
        <f t="shared" si="43"/>
        <v>1</v>
      </c>
      <c r="CR56" s="77">
        <f t="shared" si="44"/>
        <v>0</v>
      </c>
      <c r="CS56" s="28"/>
    </row>
    <row r="57" spans="1:97">
      <c r="A57" s="30" t="s">
        <v>155</v>
      </c>
      <c r="B57" s="47"/>
      <c r="C57" s="31" t="s">
        <v>121</v>
      </c>
      <c r="D57" s="32"/>
      <c r="E57" s="32"/>
      <c r="F57" s="87"/>
      <c r="G57" s="48"/>
      <c r="H57" s="84"/>
      <c r="I57" s="80">
        <f t="shared" si="21"/>
        <v>0</v>
      </c>
      <c r="J57" s="79">
        <f t="shared" si="22"/>
        <v>0</v>
      </c>
      <c r="K57" s="49"/>
      <c r="L57" s="84"/>
      <c r="M57" s="81">
        <f t="shared" si="24"/>
        <v>0</v>
      </c>
      <c r="N57" s="79">
        <f t="shared" si="25"/>
        <v>0</v>
      </c>
      <c r="O57" s="48"/>
      <c r="P57" s="84"/>
      <c r="Q57" s="81">
        <f t="shared" si="26"/>
        <v>0</v>
      </c>
      <c r="R57" s="79">
        <f t="shared" si="27"/>
        <v>0</v>
      </c>
      <c r="S57" s="49"/>
      <c r="T57" s="84"/>
      <c r="U57" s="81">
        <f t="shared" si="45"/>
        <v>0</v>
      </c>
      <c r="V57" s="79">
        <f t="shared" si="46"/>
        <v>0</v>
      </c>
      <c r="W57" s="49"/>
      <c r="X57" s="84"/>
      <c r="Y57" s="81">
        <f t="shared" si="47"/>
        <v>0</v>
      </c>
      <c r="Z57" s="79">
        <f t="shared" si="48"/>
        <v>0</v>
      </c>
      <c r="AA57" s="49"/>
      <c r="AB57" s="84"/>
      <c r="AC57" s="81">
        <f t="shared" si="49"/>
        <v>0</v>
      </c>
      <c r="AD57" s="79">
        <f t="shared" si="50"/>
        <v>0</v>
      </c>
      <c r="AE57" s="49"/>
      <c r="AF57" s="84"/>
      <c r="AG57" s="81">
        <f t="shared" si="23"/>
        <v>0</v>
      </c>
      <c r="AH57" s="79">
        <f t="shared" si="28"/>
        <v>0</v>
      </c>
      <c r="AI57" s="48"/>
      <c r="AJ57" s="84"/>
      <c r="AK57" s="81">
        <f t="shared" si="29"/>
        <v>0</v>
      </c>
      <c r="AL57" s="79">
        <f t="shared" si="30"/>
        <v>0</v>
      </c>
      <c r="AM57" s="48"/>
      <c r="AN57" s="84"/>
      <c r="AO57" s="81">
        <f t="shared" si="31"/>
        <v>0</v>
      </c>
      <c r="AP57" s="79">
        <f t="shared" si="32"/>
        <v>0</v>
      </c>
      <c r="AQ57" s="48"/>
      <c r="AR57" s="84"/>
      <c r="AS57" s="81">
        <f t="shared" si="33"/>
        <v>0</v>
      </c>
      <c r="AT57" s="79">
        <f t="shared" si="34"/>
        <v>0</v>
      </c>
      <c r="AU57" s="49"/>
      <c r="AV57" s="84"/>
      <c r="AW57" s="81">
        <f t="shared" si="51"/>
        <v>0</v>
      </c>
      <c r="AX57" s="79">
        <f t="shared" si="52"/>
        <v>0</v>
      </c>
      <c r="AY57" s="49"/>
      <c r="AZ57" s="84"/>
      <c r="BA57" s="81">
        <f t="shared" si="53"/>
        <v>0</v>
      </c>
      <c r="BB57" s="79">
        <f t="shared" si="54"/>
        <v>0</v>
      </c>
      <c r="BC57" s="49"/>
      <c r="BD57" s="84"/>
      <c r="BE57" s="81">
        <f t="shared" si="55"/>
        <v>0</v>
      </c>
      <c r="BF57" s="79">
        <f t="shared" si="56"/>
        <v>0</v>
      </c>
      <c r="BG57" s="49"/>
      <c r="BH57" s="84"/>
      <c r="BI57" s="81">
        <f t="shared" si="57"/>
        <v>0</v>
      </c>
      <c r="BJ57" s="79">
        <f t="shared" si="58"/>
        <v>0</v>
      </c>
      <c r="BK57" s="49"/>
      <c r="BL57" s="84"/>
      <c r="BM57" s="81">
        <f t="shared" si="59"/>
        <v>0</v>
      </c>
      <c r="BN57" s="79">
        <f t="shared" si="60"/>
        <v>0</v>
      </c>
      <c r="BO57" s="49"/>
      <c r="BP57" s="84"/>
      <c r="BQ57" s="81">
        <f t="shared" si="61"/>
        <v>0</v>
      </c>
      <c r="BR57" s="79">
        <f t="shared" si="62"/>
        <v>0</v>
      </c>
      <c r="BS57" s="49"/>
      <c r="BT57" s="84"/>
      <c r="BU57" s="81">
        <f t="shared" si="35"/>
        <v>0</v>
      </c>
      <c r="BV57" s="79">
        <f t="shared" si="36"/>
        <v>0</v>
      </c>
      <c r="BW57" s="48">
        <v>480</v>
      </c>
      <c r="BX57" s="84"/>
      <c r="BY57" s="81">
        <f t="shared" si="37"/>
        <v>0</v>
      </c>
      <c r="BZ57" s="79">
        <f t="shared" si="38"/>
        <v>0</v>
      </c>
      <c r="CA57" s="48"/>
      <c r="CB57" s="84"/>
      <c r="CC57" s="81">
        <v>0</v>
      </c>
      <c r="CD57" s="79">
        <v>0</v>
      </c>
      <c r="CE57" s="49"/>
      <c r="CF57" s="84"/>
      <c r="CG57" s="81">
        <f t="shared" si="39"/>
        <v>0</v>
      </c>
      <c r="CH57" s="79">
        <f t="shared" si="40"/>
        <v>0</v>
      </c>
      <c r="CI57" s="33"/>
      <c r="CJ57" s="84"/>
      <c r="CK57" s="81">
        <f t="shared" si="41"/>
        <v>0</v>
      </c>
      <c r="CL57" s="79">
        <f t="shared" si="42"/>
        <v>0</v>
      </c>
      <c r="CM57" s="34"/>
      <c r="CN57" s="34"/>
      <c r="CO57" s="34"/>
      <c r="CP57" s="34"/>
      <c r="CQ57" s="50">
        <f t="shared" si="43"/>
        <v>1</v>
      </c>
      <c r="CR57" s="77">
        <f t="shared" si="44"/>
        <v>0</v>
      </c>
      <c r="CS57" s="28"/>
    </row>
    <row r="58" spans="1:97">
      <c r="A58" s="30" t="s">
        <v>156</v>
      </c>
      <c r="B58" s="47"/>
      <c r="C58" s="31" t="s">
        <v>121</v>
      </c>
      <c r="D58" s="32"/>
      <c r="E58" s="32"/>
      <c r="F58" s="87"/>
      <c r="G58" s="48"/>
      <c r="H58" s="84"/>
      <c r="I58" s="80">
        <f t="shared" si="21"/>
        <v>0</v>
      </c>
      <c r="J58" s="79">
        <f t="shared" si="22"/>
        <v>0</v>
      </c>
      <c r="K58" s="49"/>
      <c r="L58" s="84"/>
      <c r="M58" s="81">
        <f t="shared" si="24"/>
        <v>0</v>
      </c>
      <c r="N58" s="79">
        <f t="shared" si="25"/>
        <v>0</v>
      </c>
      <c r="O58" s="48"/>
      <c r="P58" s="84"/>
      <c r="Q58" s="81">
        <f t="shared" si="26"/>
        <v>0</v>
      </c>
      <c r="R58" s="79">
        <f t="shared" si="27"/>
        <v>0</v>
      </c>
      <c r="S58" s="49"/>
      <c r="T58" s="84"/>
      <c r="U58" s="81">
        <f t="shared" si="45"/>
        <v>0</v>
      </c>
      <c r="V58" s="79">
        <f t="shared" si="46"/>
        <v>0</v>
      </c>
      <c r="W58" s="49"/>
      <c r="X58" s="84"/>
      <c r="Y58" s="81">
        <f t="shared" si="47"/>
        <v>0</v>
      </c>
      <c r="Z58" s="79">
        <f t="shared" si="48"/>
        <v>0</v>
      </c>
      <c r="AA58" s="49"/>
      <c r="AB58" s="84"/>
      <c r="AC58" s="81">
        <f t="shared" si="49"/>
        <v>0</v>
      </c>
      <c r="AD58" s="79">
        <f t="shared" si="50"/>
        <v>0</v>
      </c>
      <c r="AE58" s="49"/>
      <c r="AF58" s="84"/>
      <c r="AG58" s="81">
        <f t="shared" si="23"/>
        <v>0</v>
      </c>
      <c r="AH58" s="79">
        <f t="shared" si="28"/>
        <v>0</v>
      </c>
      <c r="AI58" s="48"/>
      <c r="AJ58" s="84"/>
      <c r="AK58" s="81">
        <f t="shared" si="29"/>
        <v>0</v>
      </c>
      <c r="AL58" s="79">
        <f t="shared" si="30"/>
        <v>0</v>
      </c>
      <c r="AM58" s="48"/>
      <c r="AN58" s="84"/>
      <c r="AO58" s="81">
        <f t="shared" si="31"/>
        <v>0</v>
      </c>
      <c r="AP58" s="79">
        <f t="shared" si="32"/>
        <v>0</v>
      </c>
      <c r="AQ58" s="48"/>
      <c r="AR58" s="84"/>
      <c r="AS58" s="81">
        <f t="shared" si="33"/>
        <v>0</v>
      </c>
      <c r="AT58" s="79">
        <f t="shared" si="34"/>
        <v>0</v>
      </c>
      <c r="AU58" s="49"/>
      <c r="AV58" s="84"/>
      <c r="AW58" s="81">
        <f t="shared" si="51"/>
        <v>0</v>
      </c>
      <c r="AX58" s="79">
        <f t="shared" si="52"/>
        <v>0</v>
      </c>
      <c r="AY58" s="49"/>
      <c r="AZ58" s="84"/>
      <c r="BA58" s="81">
        <f t="shared" si="53"/>
        <v>0</v>
      </c>
      <c r="BB58" s="79">
        <f t="shared" si="54"/>
        <v>0</v>
      </c>
      <c r="BC58" s="49"/>
      <c r="BD58" s="84"/>
      <c r="BE58" s="81">
        <f t="shared" si="55"/>
        <v>0</v>
      </c>
      <c r="BF58" s="79">
        <f t="shared" si="56"/>
        <v>0</v>
      </c>
      <c r="BG58" s="49"/>
      <c r="BH58" s="84"/>
      <c r="BI58" s="81">
        <f t="shared" si="57"/>
        <v>0</v>
      </c>
      <c r="BJ58" s="79">
        <f t="shared" si="58"/>
        <v>0</v>
      </c>
      <c r="BK58" s="49"/>
      <c r="BL58" s="84"/>
      <c r="BM58" s="81">
        <f t="shared" si="59"/>
        <v>0</v>
      </c>
      <c r="BN58" s="79">
        <f t="shared" si="60"/>
        <v>0</v>
      </c>
      <c r="BO58" s="49"/>
      <c r="BP58" s="84"/>
      <c r="BQ58" s="81">
        <f t="shared" si="61"/>
        <v>0</v>
      </c>
      <c r="BR58" s="79">
        <f t="shared" si="62"/>
        <v>0</v>
      </c>
      <c r="BS58" s="49"/>
      <c r="BT58" s="84"/>
      <c r="BU58" s="81">
        <f t="shared" si="35"/>
        <v>0</v>
      </c>
      <c r="BV58" s="79">
        <f t="shared" si="36"/>
        <v>0</v>
      </c>
      <c r="BW58" s="48">
        <v>5760</v>
      </c>
      <c r="BX58" s="84"/>
      <c r="BY58" s="81">
        <f t="shared" si="37"/>
        <v>0</v>
      </c>
      <c r="BZ58" s="79">
        <f t="shared" si="38"/>
        <v>0</v>
      </c>
      <c r="CA58" s="48"/>
      <c r="CB58" s="84"/>
      <c r="CC58" s="81">
        <v>0</v>
      </c>
      <c r="CD58" s="79">
        <v>0</v>
      </c>
      <c r="CE58" s="49">
        <v>24960</v>
      </c>
      <c r="CF58" s="84"/>
      <c r="CG58" s="81">
        <f t="shared" si="39"/>
        <v>0</v>
      </c>
      <c r="CH58" s="79">
        <f t="shared" si="40"/>
        <v>0</v>
      </c>
      <c r="CI58" s="33"/>
      <c r="CJ58" s="84"/>
      <c r="CK58" s="81">
        <f t="shared" si="41"/>
        <v>0</v>
      </c>
      <c r="CL58" s="79">
        <f t="shared" si="42"/>
        <v>0</v>
      </c>
      <c r="CM58" s="34"/>
      <c r="CN58" s="34"/>
      <c r="CO58" s="34"/>
      <c r="CP58" s="34"/>
      <c r="CQ58" s="50">
        <f t="shared" si="43"/>
        <v>1</v>
      </c>
      <c r="CR58" s="77">
        <f t="shared" si="44"/>
        <v>0</v>
      </c>
      <c r="CS58" s="28"/>
    </row>
    <row r="59" spans="1:97" ht="15.75" thickBot="1">
      <c r="A59" s="40" t="s">
        <v>157</v>
      </c>
      <c r="B59" s="57"/>
      <c r="C59" s="41" t="s">
        <v>121</v>
      </c>
      <c r="D59" s="42"/>
      <c r="E59" s="42"/>
      <c r="F59" s="88"/>
      <c r="G59" s="58"/>
      <c r="H59" s="85"/>
      <c r="I59" s="80">
        <f t="shared" si="21"/>
        <v>0</v>
      </c>
      <c r="J59" s="79">
        <f t="shared" si="22"/>
        <v>0</v>
      </c>
      <c r="K59" s="59"/>
      <c r="L59" s="85"/>
      <c r="M59" s="82">
        <f t="shared" si="24"/>
        <v>0</v>
      </c>
      <c r="N59" s="79">
        <f t="shared" si="25"/>
        <v>0</v>
      </c>
      <c r="O59" s="58"/>
      <c r="P59" s="85"/>
      <c r="Q59" s="82">
        <f t="shared" si="26"/>
        <v>0</v>
      </c>
      <c r="R59" s="79">
        <f t="shared" si="27"/>
        <v>0</v>
      </c>
      <c r="S59" s="59"/>
      <c r="T59" s="85"/>
      <c r="U59" s="82">
        <f t="shared" si="45"/>
        <v>0</v>
      </c>
      <c r="V59" s="79">
        <f t="shared" si="46"/>
        <v>0</v>
      </c>
      <c r="W59" s="59"/>
      <c r="X59" s="85"/>
      <c r="Y59" s="82">
        <f t="shared" si="47"/>
        <v>0</v>
      </c>
      <c r="Z59" s="79">
        <f t="shared" si="48"/>
        <v>0</v>
      </c>
      <c r="AA59" s="59"/>
      <c r="AB59" s="85"/>
      <c r="AC59" s="82">
        <f t="shared" si="49"/>
        <v>0</v>
      </c>
      <c r="AD59" s="79">
        <f t="shared" si="50"/>
        <v>0</v>
      </c>
      <c r="AE59" s="59"/>
      <c r="AF59" s="85"/>
      <c r="AG59" s="82">
        <f t="shared" si="23"/>
        <v>0</v>
      </c>
      <c r="AH59" s="79">
        <f t="shared" si="28"/>
        <v>0</v>
      </c>
      <c r="AI59" s="58"/>
      <c r="AJ59" s="85"/>
      <c r="AK59" s="82">
        <f t="shared" si="29"/>
        <v>0</v>
      </c>
      <c r="AL59" s="79">
        <f t="shared" si="30"/>
        <v>0</v>
      </c>
      <c r="AM59" s="58"/>
      <c r="AN59" s="85"/>
      <c r="AO59" s="82">
        <f t="shared" si="31"/>
        <v>0</v>
      </c>
      <c r="AP59" s="79">
        <f t="shared" si="32"/>
        <v>0</v>
      </c>
      <c r="AQ59" s="58"/>
      <c r="AR59" s="85"/>
      <c r="AS59" s="82">
        <f t="shared" si="33"/>
        <v>0</v>
      </c>
      <c r="AT59" s="79">
        <f t="shared" si="34"/>
        <v>0</v>
      </c>
      <c r="AU59" s="59"/>
      <c r="AV59" s="85"/>
      <c r="AW59" s="82">
        <f t="shared" si="51"/>
        <v>0</v>
      </c>
      <c r="AX59" s="79">
        <f t="shared" si="52"/>
        <v>0</v>
      </c>
      <c r="AY59" s="59"/>
      <c r="AZ59" s="85"/>
      <c r="BA59" s="82">
        <f t="shared" si="53"/>
        <v>0</v>
      </c>
      <c r="BB59" s="79">
        <f t="shared" si="54"/>
        <v>0</v>
      </c>
      <c r="BC59" s="59"/>
      <c r="BD59" s="85"/>
      <c r="BE59" s="82">
        <f t="shared" si="55"/>
        <v>0</v>
      </c>
      <c r="BF59" s="79">
        <f t="shared" si="56"/>
        <v>0</v>
      </c>
      <c r="BG59" s="59"/>
      <c r="BH59" s="85"/>
      <c r="BI59" s="82">
        <f t="shared" si="57"/>
        <v>0</v>
      </c>
      <c r="BJ59" s="79">
        <f t="shared" si="58"/>
        <v>0</v>
      </c>
      <c r="BK59" s="59"/>
      <c r="BL59" s="85"/>
      <c r="BM59" s="82">
        <f t="shared" si="59"/>
        <v>0</v>
      </c>
      <c r="BN59" s="79">
        <f t="shared" si="60"/>
        <v>0</v>
      </c>
      <c r="BO59" s="59"/>
      <c r="BP59" s="85"/>
      <c r="BQ59" s="82">
        <f t="shared" si="61"/>
        <v>0</v>
      </c>
      <c r="BR59" s="79">
        <f t="shared" si="62"/>
        <v>0</v>
      </c>
      <c r="BS59" s="59"/>
      <c r="BT59" s="85"/>
      <c r="BU59" s="82">
        <f t="shared" si="35"/>
        <v>0</v>
      </c>
      <c r="BV59" s="79">
        <f t="shared" si="36"/>
        <v>0</v>
      </c>
      <c r="BW59" s="58">
        <v>1920</v>
      </c>
      <c r="BX59" s="85"/>
      <c r="BY59" s="82">
        <f t="shared" si="37"/>
        <v>0</v>
      </c>
      <c r="BZ59" s="79">
        <f t="shared" si="38"/>
        <v>0</v>
      </c>
      <c r="CA59" s="58"/>
      <c r="CB59" s="85"/>
      <c r="CC59" s="82">
        <v>0</v>
      </c>
      <c r="CD59" s="79">
        <v>0</v>
      </c>
      <c r="CE59" s="59"/>
      <c r="CF59" s="85"/>
      <c r="CG59" s="82">
        <f t="shared" si="39"/>
        <v>0</v>
      </c>
      <c r="CH59" s="79">
        <f t="shared" si="40"/>
        <v>0</v>
      </c>
      <c r="CI59" s="39"/>
      <c r="CJ59" s="85"/>
      <c r="CK59" s="82">
        <f t="shared" si="41"/>
        <v>0</v>
      </c>
      <c r="CL59" s="79">
        <f t="shared" si="42"/>
        <v>0</v>
      </c>
      <c r="CM59" s="44"/>
      <c r="CN59" s="44"/>
      <c r="CO59" s="44"/>
      <c r="CP59" s="44"/>
      <c r="CQ59" s="60">
        <f t="shared" si="43"/>
        <v>1</v>
      </c>
      <c r="CR59" s="77">
        <f t="shared" si="44"/>
        <v>0</v>
      </c>
      <c r="CS59" s="28"/>
    </row>
    <row r="60" spans="1:97" ht="15.75" thickBot="1">
      <c r="A60" s="45"/>
      <c r="B60" s="45"/>
      <c r="C60" s="45"/>
      <c r="D60" s="45"/>
      <c r="E60" s="45"/>
      <c r="F60" s="45"/>
      <c r="G60" s="45"/>
      <c r="H60" s="45"/>
      <c r="I60" s="45"/>
      <c r="J60" s="78">
        <f>SUM(J11:J59)</f>
        <v>0</v>
      </c>
      <c r="K60" s="45"/>
      <c r="L60" s="45"/>
      <c r="M60" s="45"/>
      <c r="N60" s="78">
        <f>SUM(N11:N59)</f>
        <v>0</v>
      </c>
      <c r="O60" s="45"/>
      <c r="P60" s="45"/>
      <c r="Q60" s="45"/>
      <c r="R60" s="78">
        <f>SUM(R11:R59)</f>
        <v>0</v>
      </c>
      <c r="S60" s="45"/>
      <c r="T60" s="45"/>
      <c r="U60" s="45"/>
      <c r="V60" s="78">
        <f>SUM(V11:V59)</f>
        <v>0</v>
      </c>
      <c r="W60" s="45"/>
      <c r="X60" s="45"/>
      <c r="Y60" s="45"/>
      <c r="Z60" s="78">
        <f>SUM(Z11:Z59)</f>
        <v>0</v>
      </c>
      <c r="AA60" s="45"/>
      <c r="AB60" s="45"/>
      <c r="AC60" s="45"/>
      <c r="AD60" s="78">
        <f>SUM(AD11:AD59)</f>
        <v>0</v>
      </c>
      <c r="AE60" s="45"/>
      <c r="AF60" s="45"/>
      <c r="AG60" s="45"/>
      <c r="AH60" s="78">
        <f>SUM(AH11:AH59)</f>
        <v>0</v>
      </c>
      <c r="AI60" s="45"/>
      <c r="AJ60" s="45"/>
      <c r="AK60" s="45"/>
      <c r="AL60" s="78">
        <f>SUM(AL11:AL59)</f>
        <v>0</v>
      </c>
      <c r="AM60" s="45"/>
      <c r="AN60" s="45"/>
      <c r="AO60" s="45"/>
      <c r="AP60" s="78">
        <f>SUM(AP11:AP59)</f>
        <v>0</v>
      </c>
      <c r="AQ60" s="45"/>
      <c r="AR60" s="45"/>
      <c r="AS60" s="45"/>
      <c r="AT60" s="78">
        <f>SUM(AT11:AT59)</f>
        <v>0</v>
      </c>
      <c r="AU60" s="45"/>
      <c r="AV60" s="45"/>
      <c r="AW60" s="45"/>
      <c r="AX60" s="78">
        <f>SUM(AX11:AX59)</f>
        <v>0</v>
      </c>
      <c r="AY60" s="45"/>
      <c r="AZ60" s="45"/>
      <c r="BA60" s="45"/>
      <c r="BB60" s="78">
        <f>SUM(BB11:BB59)</f>
        <v>0</v>
      </c>
      <c r="BC60" s="45"/>
      <c r="BD60" s="45"/>
      <c r="BE60" s="45"/>
      <c r="BF60" s="78">
        <f>SUM(BF11:BF59)</f>
        <v>0</v>
      </c>
      <c r="BG60" s="45"/>
      <c r="BH60" s="45"/>
      <c r="BI60" s="45"/>
      <c r="BJ60" s="78">
        <f>SUM(BJ11:BJ59)</f>
        <v>0</v>
      </c>
      <c r="BK60" s="45"/>
      <c r="BL60" s="45"/>
      <c r="BM60" s="45"/>
      <c r="BN60" s="78">
        <f>SUM(BN11:BN59)</f>
        <v>0</v>
      </c>
      <c r="BO60" s="45"/>
      <c r="BP60" s="45"/>
      <c r="BQ60" s="45"/>
      <c r="BR60" s="78">
        <f>SUM(BR11:BR59)</f>
        <v>0</v>
      </c>
      <c r="BS60" s="45"/>
      <c r="BT60" s="45"/>
      <c r="BU60" s="45"/>
      <c r="BV60" s="78">
        <f>SUM(BV11:BV59)</f>
        <v>0</v>
      </c>
      <c r="BW60" s="45"/>
      <c r="BX60" s="45"/>
      <c r="BY60" s="45"/>
      <c r="BZ60" s="78">
        <f>SUM(BZ11:BZ59)</f>
        <v>0</v>
      </c>
      <c r="CA60" s="45"/>
      <c r="CB60" s="45"/>
      <c r="CC60" s="45"/>
      <c r="CD60" s="78">
        <f>SUM(CD11:CD59)</f>
        <v>0</v>
      </c>
      <c r="CE60" s="45"/>
      <c r="CF60" s="45"/>
      <c r="CG60" s="45"/>
      <c r="CH60" s="78">
        <f>SUM(CH11:CH59)</f>
        <v>0</v>
      </c>
      <c r="CI60" s="45"/>
      <c r="CJ60" s="45"/>
      <c r="CK60" s="45"/>
      <c r="CL60" s="78">
        <f>SUM(CL11:CL59)</f>
        <v>0</v>
      </c>
      <c r="CM60" s="45"/>
      <c r="CN60" s="45"/>
      <c r="CO60" s="131" t="s">
        <v>158</v>
      </c>
      <c r="CP60" s="132"/>
      <c r="CQ60" s="133"/>
      <c r="CR60" s="106">
        <f>SUM(CR11:CR59)</f>
        <v>0</v>
      </c>
    </row>
    <row r="61" spans="1:97" ht="24" thickBot="1">
      <c r="A61" s="93" t="s">
        <v>159</v>
      </c>
      <c r="B61" s="96" t="s">
        <v>160</v>
      </c>
      <c r="C61" s="95" t="s">
        <v>205</v>
      </c>
    </row>
    <row r="62" spans="1:97">
      <c r="A62" s="94" t="s">
        <v>200</v>
      </c>
      <c r="B62" s="97">
        <f>J60</f>
        <v>0</v>
      </c>
      <c r="C62" s="104" t="e">
        <f>(B62/'Proposal Summary'!$D$14)</f>
        <v>#DIV/0!</v>
      </c>
    </row>
    <row r="63" spans="1:97">
      <c r="A63" s="91" t="s">
        <v>163</v>
      </c>
      <c r="B63" s="99">
        <f>N60</f>
        <v>0</v>
      </c>
      <c r="C63" s="104" t="e">
        <f>(B63/'Proposal Summary'!$D$14)</f>
        <v>#DIV/0!</v>
      </c>
    </row>
    <row r="64" spans="1:97">
      <c r="A64" s="91" t="s">
        <v>164</v>
      </c>
      <c r="B64" s="99">
        <f>R60</f>
        <v>0</v>
      </c>
      <c r="C64" s="104" t="e">
        <f>(B64/'Proposal Summary'!$D$14)</f>
        <v>#DIV/0!</v>
      </c>
    </row>
    <row r="65" spans="1:3">
      <c r="A65" s="91" t="s">
        <v>165</v>
      </c>
      <c r="B65" s="99">
        <f>V60</f>
        <v>0</v>
      </c>
      <c r="C65" s="104" t="e">
        <f>(B65/'Proposal Summary'!$D$14)</f>
        <v>#DIV/0!</v>
      </c>
    </row>
    <row r="66" spans="1:3">
      <c r="A66" s="91" t="s">
        <v>166</v>
      </c>
      <c r="B66" s="99">
        <f>Z60</f>
        <v>0</v>
      </c>
      <c r="C66" s="104" t="e">
        <f>(B66/'Proposal Summary'!$D$14)</f>
        <v>#DIV/0!</v>
      </c>
    </row>
    <row r="67" spans="1:3">
      <c r="A67" s="91" t="s">
        <v>167</v>
      </c>
      <c r="B67" s="99">
        <f>AD60</f>
        <v>0</v>
      </c>
      <c r="C67" s="104" t="e">
        <f>(B67/'Proposal Summary'!$D$14)</f>
        <v>#DIV/0!</v>
      </c>
    </row>
    <row r="68" spans="1:3">
      <c r="A68" s="91" t="s">
        <v>168</v>
      </c>
      <c r="B68" s="99">
        <f>AH60</f>
        <v>0</v>
      </c>
      <c r="C68" s="104" t="e">
        <f>(B68/'Proposal Summary'!$D$14)</f>
        <v>#DIV/0!</v>
      </c>
    </row>
    <row r="69" spans="1:3">
      <c r="A69" s="91" t="s">
        <v>169</v>
      </c>
      <c r="B69" s="99">
        <f>AL60</f>
        <v>0</v>
      </c>
      <c r="C69" s="104" t="e">
        <f>(B69/'Proposal Summary'!$D$14)</f>
        <v>#DIV/0!</v>
      </c>
    </row>
    <row r="70" spans="1:3">
      <c r="A70" s="91" t="s">
        <v>170</v>
      </c>
      <c r="B70" s="99">
        <f>AP60</f>
        <v>0</v>
      </c>
      <c r="C70" s="104" t="e">
        <f>(B70/'Proposal Summary'!$D$14)</f>
        <v>#DIV/0!</v>
      </c>
    </row>
    <row r="71" spans="1:3">
      <c r="A71" s="91" t="s">
        <v>171</v>
      </c>
      <c r="B71" s="99">
        <f>AT60</f>
        <v>0</v>
      </c>
      <c r="C71" s="104" t="e">
        <f>(B71/'Proposal Summary'!$D$14)</f>
        <v>#DIV/0!</v>
      </c>
    </row>
    <row r="72" spans="1:3">
      <c r="A72" s="91" t="s">
        <v>172</v>
      </c>
      <c r="B72" s="99">
        <f>AX60</f>
        <v>0</v>
      </c>
      <c r="C72" s="104" t="e">
        <f>(B72/'Proposal Summary'!$D$14)</f>
        <v>#DIV/0!</v>
      </c>
    </row>
    <row r="73" spans="1:3">
      <c r="A73" s="91" t="s">
        <v>173</v>
      </c>
      <c r="B73" s="99">
        <f>BB60</f>
        <v>0</v>
      </c>
      <c r="C73" s="104" t="e">
        <f>(B73/'Proposal Summary'!$D$14)</f>
        <v>#DIV/0!</v>
      </c>
    </row>
    <row r="74" spans="1:3">
      <c r="A74" s="91" t="s">
        <v>174</v>
      </c>
      <c r="B74" s="99">
        <f>BF60</f>
        <v>0</v>
      </c>
      <c r="C74" s="104" t="e">
        <f>(B74/'Proposal Summary'!$D$14)</f>
        <v>#DIV/0!</v>
      </c>
    </row>
    <row r="75" spans="1:3">
      <c r="A75" s="91" t="s">
        <v>175</v>
      </c>
      <c r="B75" s="99">
        <f>BJ60</f>
        <v>0</v>
      </c>
      <c r="C75" s="104" t="e">
        <f>(B75/'Proposal Summary'!$D$14)</f>
        <v>#DIV/0!</v>
      </c>
    </row>
    <row r="76" spans="1:3">
      <c r="A76" s="91" t="s">
        <v>176</v>
      </c>
      <c r="B76" s="99">
        <f>BN60</f>
        <v>0</v>
      </c>
      <c r="C76" s="104" t="e">
        <f>(B76/'Proposal Summary'!$D$14)</f>
        <v>#DIV/0!</v>
      </c>
    </row>
    <row r="77" spans="1:3">
      <c r="A77" s="91" t="s">
        <v>177</v>
      </c>
      <c r="B77" s="99">
        <f>BR60</f>
        <v>0</v>
      </c>
      <c r="C77" s="104" t="e">
        <f>(B77/'Proposal Summary'!$D$14)</f>
        <v>#DIV/0!</v>
      </c>
    </row>
    <row r="78" spans="1:3">
      <c r="A78" s="91" t="s">
        <v>178</v>
      </c>
      <c r="B78" s="99">
        <f>BV60</f>
        <v>0</v>
      </c>
      <c r="C78" s="104" t="e">
        <f>(B78/'Proposal Summary'!$D$14)</f>
        <v>#DIV/0!</v>
      </c>
    </row>
    <row r="79" spans="1:3">
      <c r="A79" s="91" t="s">
        <v>179</v>
      </c>
      <c r="B79" s="99">
        <f>BZ60</f>
        <v>0</v>
      </c>
      <c r="C79" s="104" t="e">
        <f>(B79/'Proposal Summary'!$D$14)</f>
        <v>#DIV/0!</v>
      </c>
    </row>
    <row r="80" spans="1:3">
      <c r="A80" s="91" t="s">
        <v>180</v>
      </c>
      <c r="B80" s="99">
        <f>CD60</f>
        <v>0</v>
      </c>
      <c r="C80" s="104" t="e">
        <f>(B80/'Proposal Summary'!$D$14)</f>
        <v>#DIV/0!</v>
      </c>
    </row>
    <row r="81" spans="1:3">
      <c r="A81" s="91" t="s">
        <v>181</v>
      </c>
      <c r="B81" s="99">
        <f>CH60</f>
        <v>0</v>
      </c>
      <c r="C81" s="104" t="e">
        <f>(B81/'Proposal Summary'!$D$14)</f>
        <v>#DIV/0!</v>
      </c>
    </row>
    <row r="82" spans="1:3">
      <c r="A82" s="91" t="s">
        <v>182</v>
      </c>
      <c r="B82" s="99">
        <f>CL60</f>
        <v>0</v>
      </c>
      <c r="C82" s="104" t="e">
        <f>(B82/'Proposal Summary'!$D$14)</f>
        <v>#DIV/0!</v>
      </c>
    </row>
  </sheetData>
  <mergeCells count="2">
    <mergeCell ref="A1:B1"/>
    <mergeCell ref="CO60:CQ60"/>
  </mergeCells>
  <dataValidations count="1">
    <dataValidation type="list" allowBlank="1" showInputMessage="1" showErrorMessage="1" sqref="D11:E59" xr:uid="{CCE22C2D-BA6F-4699-B3A1-F60352219974}">
      <formula1>"Yes, No"</formula1>
    </dataValidation>
  </dataValidations>
  <pageMargins left="0.25" right="0.25" top="0.75" bottom="0.75" header="0.3" footer="0.3"/>
  <pageSetup paperSize="5" scale="10" fitToHeight="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A5EF-48D3-474E-801E-57617D3F2819}">
  <sheetPr codeName="Sheet7">
    <pageSetUpPr fitToPage="1"/>
  </sheetPr>
  <dimension ref="A1:CS82"/>
  <sheetViews>
    <sheetView zoomScale="70" zoomScaleNormal="70" workbookViewId="0">
      <selection activeCell="C5" sqref="C5"/>
    </sheetView>
  </sheetViews>
  <sheetFormatPr defaultColWidth="9.140625" defaultRowHeight="15"/>
  <cols>
    <col min="1" max="1" width="63.85546875" style="17" bestFit="1" customWidth="1"/>
    <col min="2" max="2" width="40.140625" style="17" bestFit="1" customWidth="1"/>
    <col min="3" max="3" width="38.85546875" style="17" bestFit="1" customWidth="1"/>
    <col min="4" max="4" width="29.7109375" style="17" bestFit="1" customWidth="1"/>
    <col min="5" max="5" width="22.85546875" style="17" bestFit="1" customWidth="1"/>
    <col min="6" max="6" width="19.140625" style="17" bestFit="1" customWidth="1"/>
    <col min="7" max="7" width="21.140625" style="17" customWidth="1"/>
    <col min="8" max="10" width="20" style="17" customWidth="1"/>
    <col min="11" max="11" width="24.5703125" style="17" customWidth="1"/>
    <col min="12" max="12" width="25.42578125" style="17" customWidth="1"/>
    <col min="13" max="13" width="20" style="17" customWidth="1"/>
    <col min="14" max="27" width="20.28515625" style="17" customWidth="1"/>
    <col min="28" max="28" width="22.140625" style="17" customWidth="1"/>
    <col min="29" max="30" width="20" style="17" customWidth="1"/>
    <col min="31" max="31" width="22.140625" style="17" customWidth="1"/>
    <col min="32" max="32" width="24.5703125" style="17" customWidth="1"/>
    <col min="33" max="33" width="25.42578125" style="17" customWidth="1"/>
    <col min="34" max="57" width="20" style="17" customWidth="1"/>
    <col min="58" max="58" width="21.5703125" style="17" customWidth="1"/>
    <col min="59" max="60" width="23.28515625" style="17" customWidth="1"/>
    <col min="61" max="63" width="20" style="17" customWidth="1"/>
    <col min="64" max="65" width="26.85546875" style="17" bestFit="1" customWidth="1"/>
    <col min="66" max="66" width="20" style="17" customWidth="1"/>
    <col min="67" max="67" width="24.28515625" style="17" bestFit="1" customWidth="1"/>
    <col min="68" max="68" width="21.7109375" style="17" bestFit="1" customWidth="1"/>
    <col min="69" max="69" width="21.7109375" style="17" customWidth="1"/>
    <col min="70" max="70" width="22.7109375" style="17" bestFit="1" customWidth="1"/>
    <col min="71" max="72" width="20" style="17" customWidth="1"/>
    <col min="73" max="73" width="24.42578125" style="17" bestFit="1" customWidth="1"/>
    <col min="74" max="74" width="34.140625" style="17" bestFit="1" customWidth="1"/>
    <col min="75" max="75" width="35.42578125" style="17" bestFit="1" customWidth="1"/>
    <col min="76" max="76" width="30.5703125" style="17" bestFit="1" customWidth="1"/>
    <col min="77" max="77" width="12.85546875" style="17" bestFit="1" customWidth="1"/>
    <col min="78" max="78" width="15.42578125" style="17" bestFit="1" customWidth="1"/>
    <col min="79" max="79" width="14" style="17" bestFit="1" customWidth="1"/>
    <col min="80" max="81" width="14.42578125" style="17" bestFit="1" customWidth="1"/>
    <col min="82" max="82" width="14.28515625" style="17" bestFit="1" customWidth="1"/>
    <col min="83" max="83" width="17.42578125" style="17" bestFit="1" customWidth="1"/>
    <col min="84" max="84" width="18.28515625" style="17" bestFit="1" customWidth="1"/>
    <col min="85" max="85" width="20.5703125" style="17" bestFit="1" customWidth="1"/>
    <col min="86" max="86" width="17.42578125" style="17" bestFit="1" customWidth="1"/>
    <col min="87" max="87" width="14.5703125" style="17" bestFit="1" customWidth="1"/>
    <col min="88" max="88" width="15" style="17" bestFit="1" customWidth="1"/>
    <col min="89" max="89" width="16.7109375" style="17" customWidth="1"/>
    <col min="90" max="90" width="17.28515625" style="17" customWidth="1"/>
    <col min="91" max="92" width="10" style="17" bestFit="1" customWidth="1"/>
    <col min="93" max="93" width="9.140625" style="17"/>
    <col min="94" max="94" width="10" style="17" bestFit="1" customWidth="1"/>
    <col min="95" max="16384" width="9.140625" style="17"/>
  </cols>
  <sheetData>
    <row r="1" spans="1:97" ht="36">
      <c r="A1" s="138" t="s">
        <v>13</v>
      </c>
      <c r="B1" s="139"/>
    </row>
    <row r="2" spans="1:97">
      <c r="A2" s="18" t="s">
        <v>4</v>
      </c>
      <c r="B2" s="18" t="s">
        <v>5</v>
      </c>
      <c r="C2" s="18" t="s">
        <v>6</v>
      </c>
      <c r="D2" s="18" t="s">
        <v>21</v>
      </c>
      <c r="E2" s="19"/>
      <c r="F2" s="19"/>
      <c r="G2" s="18" t="s">
        <v>7</v>
      </c>
    </row>
    <row r="3" spans="1:97" s="1" customFormat="1">
      <c r="A3" s="101" t="s">
        <v>13</v>
      </c>
      <c r="B3" s="102">
        <v>48075</v>
      </c>
      <c r="C3" s="102">
        <v>48258</v>
      </c>
      <c r="D3" s="103">
        <v>0.03</v>
      </c>
      <c r="E3" s="21"/>
      <c r="F3" s="21"/>
      <c r="G3" s="23">
        <f>Q59</f>
        <v>0</v>
      </c>
    </row>
    <row r="6" spans="1:97">
      <c r="A6" s="24" t="s">
        <v>22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</row>
    <row r="7" spans="1:9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</row>
    <row r="9" spans="1:97" ht="15.75" thickBot="1"/>
    <row r="10" spans="1:97" s="29" customFormat="1" ht="63.75" customHeight="1" thickBot="1">
      <c r="A10" s="69" t="s">
        <v>23</v>
      </c>
      <c r="B10" s="70" t="s">
        <v>24</v>
      </c>
      <c r="C10" s="70" t="s">
        <v>25</v>
      </c>
      <c r="D10" s="70" t="s">
        <v>26</v>
      </c>
      <c r="E10" s="70" t="s">
        <v>27</v>
      </c>
      <c r="F10" s="70" t="s">
        <v>28</v>
      </c>
      <c r="G10" s="116" t="s">
        <v>29</v>
      </c>
      <c r="H10" s="70" t="s">
        <v>183</v>
      </c>
      <c r="I10" s="72" t="s">
        <v>184</v>
      </c>
      <c r="J10" s="73" t="s">
        <v>185</v>
      </c>
      <c r="K10" s="72" t="s">
        <v>33</v>
      </c>
      <c r="L10" s="72" t="s">
        <v>34</v>
      </c>
      <c r="M10" s="72" t="s">
        <v>35</v>
      </c>
      <c r="N10" s="73" t="s">
        <v>36</v>
      </c>
      <c r="O10" s="116" t="s">
        <v>202</v>
      </c>
      <c r="P10" s="74" t="s">
        <v>186</v>
      </c>
      <c r="Q10" s="75" t="s">
        <v>187</v>
      </c>
      <c r="R10" s="73" t="s">
        <v>188</v>
      </c>
      <c r="S10" s="75" t="s">
        <v>41</v>
      </c>
      <c r="T10" s="75" t="s">
        <v>42</v>
      </c>
      <c r="U10" s="75" t="s">
        <v>43</v>
      </c>
      <c r="V10" s="73" t="s">
        <v>44</v>
      </c>
      <c r="W10" s="75" t="s">
        <v>45</v>
      </c>
      <c r="X10" s="75" t="s">
        <v>46</v>
      </c>
      <c r="Y10" s="75" t="s">
        <v>47</v>
      </c>
      <c r="Z10" s="73" t="s">
        <v>48</v>
      </c>
      <c r="AA10" s="75" t="s">
        <v>49</v>
      </c>
      <c r="AB10" s="75" t="s">
        <v>50</v>
      </c>
      <c r="AC10" s="75" t="s">
        <v>51</v>
      </c>
      <c r="AD10" s="73" t="s">
        <v>52</v>
      </c>
      <c r="AE10" s="75" t="s">
        <v>53</v>
      </c>
      <c r="AF10" s="75" t="s">
        <v>54</v>
      </c>
      <c r="AG10" s="75" t="s">
        <v>55</v>
      </c>
      <c r="AH10" s="73" t="s">
        <v>56</v>
      </c>
      <c r="AI10" s="116" t="s">
        <v>189</v>
      </c>
      <c r="AJ10" s="70" t="s">
        <v>190</v>
      </c>
      <c r="AK10" s="72" t="s">
        <v>191</v>
      </c>
      <c r="AL10" s="73" t="s">
        <v>192</v>
      </c>
      <c r="AM10" s="116" t="s">
        <v>61</v>
      </c>
      <c r="AN10" s="72" t="s">
        <v>62</v>
      </c>
      <c r="AO10" s="72" t="s">
        <v>63</v>
      </c>
      <c r="AP10" s="73" t="s">
        <v>64</v>
      </c>
      <c r="AQ10" s="72" t="s">
        <v>193</v>
      </c>
      <c r="AR10" s="70" t="s">
        <v>66</v>
      </c>
      <c r="AS10" s="72" t="s">
        <v>67</v>
      </c>
      <c r="AT10" s="73" t="s">
        <v>68</v>
      </c>
      <c r="AU10" s="72" t="s">
        <v>69</v>
      </c>
      <c r="AV10" s="72" t="s">
        <v>70</v>
      </c>
      <c r="AW10" s="72" t="s">
        <v>71</v>
      </c>
      <c r="AX10" s="73" t="s">
        <v>72</v>
      </c>
      <c r="AY10" s="72" t="s">
        <v>73</v>
      </c>
      <c r="AZ10" s="72" t="s">
        <v>74</v>
      </c>
      <c r="BA10" s="72" t="s">
        <v>75</v>
      </c>
      <c r="BB10" s="73" t="s">
        <v>76</v>
      </c>
      <c r="BC10" s="72" t="s">
        <v>77</v>
      </c>
      <c r="BD10" s="72" t="s">
        <v>78</v>
      </c>
      <c r="BE10" s="72" t="s">
        <v>79</v>
      </c>
      <c r="BF10" s="73" t="s">
        <v>80</v>
      </c>
      <c r="BG10" s="72" t="s">
        <v>81</v>
      </c>
      <c r="BH10" s="72" t="s">
        <v>82</v>
      </c>
      <c r="BI10" s="72" t="s">
        <v>83</v>
      </c>
      <c r="BJ10" s="73" t="s">
        <v>84</v>
      </c>
      <c r="BK10" s="72" t="s">
        <v>85</v>
      </c>
      <c r="BL10" s="72" t="s">
        <v>86</v>
      </c>
      <c r="BM10" s="72" t="s">
        <v>87</v>
      </c>
      <c r="BN10" s="73" t="s">
        <v>88</v>
      </c>
      <c r="BO10" s="72" t="s">
        <v>89</v>
      </c>
      <c r="BP10" s="72" t="s">
        <v>90</v>
      </c>
      <c r="BQ10" s="72" t="s">
        <v>91</v>
      </c>
      <c r="BR10" s="73" t="s">
        <v>92</v>
      </c>
      <c r="BS10" s="72" t="s">
        <v>93</v>
      </c>
      <c r="BT10" s="72" t="s">
        <v>94</v>
      </c>
      <c r="BU10" s="72" t="s">
        <v>95</v>
      </c>
      <c r="BV10" s="73" t="s">
        <v>96</v>
      </c>
      <c r="BW10" s="72" t="s">
        <v>97</v>
      </c>
      <c r="BX10" s="70" t="s">
        <v>98</v>
      </c>
      <c r="BY10" s="72" t="s">
        <v>99</v>
      </c>
      <c r="BZ10" s="73" t="s">
        <v>100</v>
      </c>
      <c r="CA10" s="116" t="s">
        <v>194</v>
      </c>
      <c r="CB10" s="70" t="s">
        <v>102</v>
      </c>
      <c r="CC10" s="72" t="s">
        <v>103</v>
      </c>
      <c r="CD10" s="73" t="s">
        <v>104</v>
      </c>
      <c r="CE10" s="72" t="s">
        <v>105</v>
      </c>
      <c r="CF10" s="72" t="s">
        <v>106</v>
      </c>
      <c r="CG10" s="107" t="s">
        <v>107</v>
      </c>
      <c r="CH10" s="73" t="s">
        <v>108</v>
      </c>
      <c r="CI10" s="71" t="s">
        <v>195</v>
      </c>
      <c r="CJ10" s="70" t="s">
        <v>196</v>
      </c>
      <c r="CK10" s="72" t="s">
        <v>197</v>
      </c>
      <c r="CL10" s="73" t="s">
        <v>198</v>
      </c>
      <c r="CM10" s="72" t="s">
        <v>113</v>
      </c>
      <c r="CN10" s="72" t="s">
        <v>114</v>
      </c>
      <c r="CO10" s="72" t="s">
        <v>115</v>
      </c>
      <c r="CP10" s="72" t="s">
        <v>116</v>
      </c>
      <c r="CQ10" s="70" t="s">
        <v>117</v>
      </c>
      <c r="CR10" s="76" t="s">
        <v>118</v>
      </c>
      <c r="CS10" s="28"/>
    </row>
    <row r="11" spans="1:97" s="1" customFormat="1">
      <c r="A11" s="61" t="s">
        <v>119</v>
      </c>
      <c r="B11" s="62"/>
      <c r="C11" s="63" t="s">
        <v>120</v>
      </c>
      <c r="D11" s="64"/>
      <c r="E11" s="64"/>
      <c r="F11" s="86"/>
      <c r="G11" s="65"/>
      <c r="H11" s="83"/>
      <c r="I11" s="80">
        <f>H11*CQ11</f>
        <v>0</v>
      </c>
      <c r="J11" s="79">
        <f>G11*I11</f>
        <v>0</v>
      </c>
      <c r="K11" s="66"/>
      <c r="L11" s="83"/>
      <c r="M11" s="80">
        <f t="shared" ref="M11:M26" si="0">L11*CQ11</f>
        <v>0</v>
      </c>
      <c r="N11" s="79">
        <f t="shared" ref="N11:N42" si="1">K11*M11</f>
        <v>0</v>
      </c>
      <c r="O11" s="65"/>
      <c r="P11" s="83"/>
      <c r="Q11" s="80">
        <f t="shared" ref="Q11:Q42" si="2">P11*CQ11</f>
        <v>0</v>
      </c>
      <c r="R11" s="79">
        <f t="shared" ref="R11:R42" si="3">O11*Q11</f>
        <v>0</v>
      </c>
      <c r="S11" s="66"/>
      <c r="T11" s="83"/>
      <c r="U11" s="80">
        <v>0</v>
      </c>
      <c r="V11" s="79">
        <v>0</v>
      </c>
      <c r="W11" s="66"/>
      <c r="X11" s="83"/>
      <c r="Y11" s="80">
        <v>0</v>
      </c>
      <c r="Z11" s="79">
        <v>0</v>
      </c>
      <c r="AA11" s="66"/>
      <c r="AB11" s="83"/>
      <c r="AC11" s="80">
        <v>0</v>
      </c>
      <c r="AD11" s="79">
        <v>0</v>
      </c>
      <c r="AE11" s="66"/>
      <c r="AF11" s="83"/>
      <c r="AG11" s="80">
        <f>AF11*CQ11</f>
        <v>0</v>
      </c>
      <c r="AH11" s="79">
        <f t="shared" ref="AH11:AH42" si="4">AE11*AG11</f>
        <v>0</v>
      </c>
      <c r="AI11" s="65"/>
      <c r="AJ11" s="83"/>
      <c r="AK11" s="80">
        <f t="shared" ref="AK11:AK42" si="5">AJ11*CQ11</f>
        <v>0</v>
      </c>
      <c r="AL11" s="79">
        <f t="shared" ref="AL11:AL42" si="6">AI11*AK11</f>
        <v>0</v>
      </c>
      <c r="AM11" s="65"/>
      <c r="AN11" s="83"/>
      <c r="AO11" s="80">
        <f t="shared" ref="AO11:AO42" si="7">AN11*CQ11</f>
        <v>0</v>
      </c>
      <c r="AP11" s="79">
        <f t="shared" ref="AP11:AP42" si="8">AM11*AO11</f>
        <v>0</v>
      </c>
      <c r="AQ11" s="65"/>
      <c r="AR11" s="83"/>
      <c r="AS11" s="80">
        <f t="shared" ref="AS11:AS42" si="9">AR11*CQ11</f>
        <v>0</v>
      </c>
      <c r="AT11" s="79">
        <f t="shared" ref="AT11:AT42" si="10">AQ11*AS11</f>
        <v>0</v>
      </c>
      <c r="AU11" s="66"/>
      <c r="AV11" s="83"/>
      <c r="AW11" s="80">
        <v>0</v>
      </c>
      <c r="AX11" s="79">
        <v>0</v>
      </c>
      <c r="AY11" s="66"/>
      <c r="AZ11" s="83"/>
      <c r="BA11" s="80">
        <v>0</v>
      </c>
      <c r="BB11" s="79">
        <v>0</v>
      </c>
      <c r="BC11" s="66"/>
      <c r="BD11" s="83"/>
      <c r="BE11" s="80">
        <v>0</v>
      </c>
      <c r="BF11" s="79">
        <v>0</v>
      </c>
      <c r="BG11" s="66"/>
      <c r="BH11" s="83"/>
      <c r="BI11" s="80">
        <v>0</v>
      </c>
      <c r="BJ11" s="79">
        <v>0</v>
      </c>
      <c r="BK11" s="66"/>
      <c r="BL11" s="83"/>
      <c r="BM11" s="80">
        <v>0</v>
      </c>
      <c r="BN11" s="79">
        <v>0</v>
      </c>
      <c r="BO11" s="66"/>
      <c r="BP11" s="83"/>
      <c r="BQ11" s="80">
        <v>0</v>
      </c>
      <c r="BR11" s="79">
        <v>0</v>
      </c>
      <c r="BS11" s="66"/>
      <c r="BT11" s="83"/>
      <c r="BU11" s="80">
        <f t="shared" ref="BU11:BU42" si="11">BT11*CQ11</f>
        <v>0</v>
      </c>
      <c r="BV11" s="79">
        <f t="shared" ref="BV11:BV42" si="12">BS11*BU11</f>
        <v>0</v>
      </c>
      <c r="BW11" s="65">
        <v>240</v>
      </c>
      <c r="BX11" s="83"/>
      <c r="BY11" s="80">
        <f t="shared" ref="BY11:BY42" si="13">BX11*CQ11</f>
        <v>0</v>
      </c>
      <c r="BZ11" s="79">
        <f t="shared" ref="BZ11:BZ42" si="14">BW11*BY11</f>
        <v>0</v>
      </c>
      <c r="CA11" s="65"/>
      <c r="CB11" s="83"/>
      <c r="CC11" s="80">
        <v>0</v>
      </c>
      <c r="CD11" s="79">
        <v>0</v>
      </c>
      <c r="CE11" s="66"/>
      <c r="CF11" s="83"/>
      <c r="CG11" s="80">
        <f t="shared" ref="CG11:CG42" si="15">CF11*CQ11</f>
        <v>0</v>
      </c>
      <c r="CH11" s="79">
        <f t="shared" ref="CH11:CH42" si="16">CE11*CG11</f>
        <v>0</v>
      </c>
      <c r="CI11" s="43"/>
      <c r="CJ11" s="83"/>
      <c r="CK11" s="80">
        <f t="shared" ref="CK11:CK42" si="17">CJ11*CQ11</f>
        <v>0</v>
      </c>
      <c r="CL11" s="79">
        <f t="shared" ref="CL11:CL42" si="18">CI11*CK11</f>
        <v>0</v>
      </c>
      <c r="CM11" s="67">
        <v>0.1</v>
      </c>
      <c r="CN11" s="67">
        <v>0.15</v>
      </c>
      <c r="CO11" s="67">
        <v>0.05</v>
      </c>
      <c r="CP11" s="67">
        <v>0.1</v>
      </c>
      <c r="CQ11" s="68">
        <f t="shared" ref="CQ11:CQ42" si="19">(1+CM11)*(1+CN11)*(1+CO11)*(1+CP11)</f>
        <v>1.4610750000000001</v>
      </c>
      <c r="CR11" s="77">
        <f t="shared" ref="CR11:CR42" si="20">J11+N11+R11+V11+Z11+AD11+AH11+AL11+AP11+AT11+AX11+BB11+BF11+BJ11+BN11+BR11+BV11+BZ11+CD11+CH11+CL11</f>
        <v>0</v>
      </c>
      <c r="CS11" s="35"/>
    </row>
    <row r="12" spans="1:97" s="1" customFormat="1">
      <c r="A12" s="30" t="s">
        <v>119</v>
      </c>
      <c r="B12" s="47"/>
      <c r="C12" s="31" t="s">
        <v>121</v>
      </c>
      <c r="D12" s="32"/>
      <c r="E12" s="32"/>
      <c r="F12" s="87"/>
      <c r="G12" s="48"/>
      <c r="H12" s="84"/>
      <c r="I12" s="80">
        <f t="shared" ref="I12:I59" si="21">H12*CQ12</f>
        <v>0</v>
      </c>
      <c r="J12" s="79">
        <f t="shared" ref="J12:J59" si="22">G12*I12</f>
        <v>0</v>
      </c>
      <c r="K12" s="49"/>
      <c r="L12" s="84"/>
      <c r="M12" s="81">
        <f t="shared" si="0"/>
        <v>0</v>
      </c>
      <c r="N12" s="79">
        <f t="shared" si="1"/>
        <v>0</v>
      </c>
      <c r="O12" s="48"/>
      <c r="P12" s="84"/>
      <c r="Q12" s="81">
        <f t="shared" si="2"/>
        <v>0</v>
      </c>
      <c r="R12" s="79">
        <f t="shared" si="3"/>
        <v>0</v>
      </c>
      <c r="S12" s="49"/>
      <c r="T12" s="84"/>
      <c r="U12" s="81">
        <v>0</v>
      </c>
      <c r="V12" s="79">
        <v>0</v>
      </c>
      <c r="W12" s="49"/>
      <c r="X12" s="84"/>
      <c r="Y12" s="81">
        <v>0</v>
      </c>
      <c r="Z12" s="79">
        <v>0</v>
      </c>
      <c r="AA12" s="49"/>
      <c r="AB12" s="84"/>
      <c r="AC12" s="81">
        <v>0</v>
      </c>
      <c r="AD12" s="79">
        <v>0</v>
      </c>
      <c r="AE12" s="49"/>
      <c r="AF12" s="84"/>
      <c r="AG12" s="81">
        <f t="shared" ref="AG12:AG59" si="23">AF12*CZ12</f>
        <v>0</v>
      </c>
      <c r="AH12" s="79">
        <f t="shared" si="4"/>
        <v>0</v>
      </c>
      <c r="AI12" s="48"/>
      <c r="AJ12" s="84"/>
      <c r="AK12" s="81">
        <f t="shared" si="5"/>
        <v>0</v>
      </c>
      <c r="AL12" s="79">
        <f t="shared" si="6"/>
        <v>0</v>
      </c>
      <c r="AM12" s="48"/>
      <c r="AN12" s="84"/>
      <c r="AO12" s="81">
        <f t="shared" si="7"/>
        <v>0</v>
      </c>
      <c r="AP12" s="79">
        <f t="shared" si="8"/>
        <v>0</v>
      </c>
      <c r="AQ12" s="48"/>
      <c r="AR12" s="84"/>
      <c r="AS12" s="81">
        <f t="shared" si="9"/>
        <v>0</v>
      </c>
      <c r="AT12" s="79">
        <f t="shared" si="10"/>
        <v>0</v>
      </c>
      <c r="AU12" s="49"/>
      <c r="AV12" s="84"/>
      <c r="AW12" s="81">
        <v>0</v>
      </c>
      <c r="AX12" s="79">
        <v>0</v>
      </c>
      <c r="AY12" s="49"/>
      <c r="AZ12" s="84"/>
      <c r="BA12" s="81">
        <v>0</v>
      </c>
      <c r="BB12" s="79">
        <v>0</v>
      </c>
      <c r="BC12" s="49"/>
      <c r="BD12" s="84"/>
      <c r="BE12" s="81">
        <v>0</v>
      </c>
      <c r="BF12" s="79">
        <v>0</v>
      </c>
      <c r="BG12" s="49"/>
      <c r="BH12" s="84"/>
      <c r="BI12" s="81">
        <v>0</v>
      </c>
      <c r="BJ12" s="79">
        <v>0</v>
      </c>
      <c r="BK12" s="49"/>
      <c r="BL12" s="84"/>
      <c r="BM12" s="81">
        <v>0</v>
      </c>
      <c r="BN12" s="79">
        <v>0</v>
      </c>
      <c r="BO12" s="51"/>
      <c r="BP12" s="84"/>
      <c r="BQ12" s="81">
        <v>0</v>
      </c>
      <c r="BR12" s="79">
        <v>0</v>
      </c>
      <c r="BS12" s="49"/>
      <c r="BT12" s="84"/>
      <c r="BU12" s="81">
        <f t="shared" si="11"/>
        <v>0</v>
      </c>
      <c r="BV12" s="79">
        <f t="shared" si="12"/>
        <v>0</v>
      </c>
      <c r="BW12" s="48">
        <v>240</v>
      </c>
      <c r="BX12" s="84"/>
      <c r="BY12" s="81">
        <f t="shared" si="13"/>
        <v>0</v>
      </c>
      <c r="BZ12" s="79">
        <f t="shared" si="14"/>
        <v>0</v>
      </c>
      <c r="CA12" s="48"/>
      <c r="CB12" s="84"/>
      <c r="CC12" s="81">
        <v>0</v>
      </c>
      <c r="CD12" s="79">
        <v>0</v>
      </c>
      <c r="CE12" s="49"/>
      <c r="CF12" s="84"/>
      <c r="CG12" s="81">
        <f t="shared" si="15"/>
        <v>0</v>
      </c>
      <c r="CH12" s="79">
        <f t="shared" si="16"/>
        <v>0</v>
      </c>
      <c r="CI12" s="33"/>
      <c r="CJ12" s="84"/>
      <c r="CK12" s="81">
        <f t="shared" si="17"/>
        <v>0</v>
      </c>
      <c r="CL12" s="79">
        <f t="shared" si="18"/>
        <v>0</v>
      </c>
      <c r="CM12" s="34"/>
      <c r="CN12" s="34"/>
      <c r="CO12" s="34"/>
      <c r="CP12" s="34"/>
      <c r="CQ12" s="50">
        <f t="shared" si="19"/>
        <v>1</v>
      </c>
      <c r="CR12" s="77">
        <f t="shared" si="20"/>
        <v>0</v>
      </c>
      <c r="CS12" s="35"/>
    </row>
    <row r="13" spans="1:97" s="1" customFormat="1">
      <c r="A13" s="30" t="s">
        <v>122</v>
      </c>
      <c r="B13" s="47"/>
      <c r="C13" s="31" t="s">
        <v>121</v>
      </c>
      <c r="D13" s="32"/>
      <c r="E13" s="32"/>
      <c r="F13" s="87"/>
      <c r="G13" s="48"/>
      <c r="H13" s="84"/>
      <c r="I13" s="80">
        <f t="shared" si="21"/>
        <v>0</v>
      </c>
      <c r="J13" s="79">
        <f t="shared" si="22"/>
        <v>0</v>
      </c>
      <c r="K13" s="49"/>
      <c r="L13" s="84"/>
      <c r="M13" s="81">
        <f t="shared" si="0"/>
        <v>0</v>
      </c>
      <c r="N13" s="79">
        <f t="shared" si="1"/>
        <v>0</v>
      </c>
      <c r="O13" s="48">
        <v>1920</v>
      </c>
      <c r="P13" s="84"/>
      <c r="Q13" s="81">
        <f t="shared" si="2"/>
        <v>0</v>
      </c>
      <c r="R13" s="79">
        <f t="shared" si="3"/>
        <v>0</v>
      </c>
      <c r="S13" s="49"/>
      <c r="T13" s="84"/>
      <c r="U13" s="81">
        <v>0</v>
      </c>
      <c r="V13" s="79">
        <v>0</v>
      </c>
      <c r="W13" s="49"/>
      <c r="X13" s="84"/>
      <c r="Y13" s="81">
        <v>0</v>
      </c>
      <c r="Z13" s="79">
        <v>0</v>
      </c>
      <c r="AA13" s="49"/>
      <c r="AB13" s="84"/>
      <c r="AC13" s="81">
        <v>0</v>
      </c>
      <c r="AD13" s="79">
        <v>0</v>
      </c>
      <c r="AE13" s="49"/>
      <c r="AF13" s="84"/>
      <c r="AG13" s="81">
        <f t="shared" si="23"/>
        <v>0</v>
      </c>
      <c r="AH13" s="79">
        <f t="shared" si="4"/>
        <v>0</v>
      </c>
      <c r="AI13" s="48"/>
      <c r="AJ13" s="84"/>
      <c r="AK13" s="81">
        <f t="shared" si="5"/>
        <v>0</v>
      </c>
      <c r="AL13" s="79">
        <f t="shared" si="6"/>
        <v>0</v>
      </c>
      <c r="AM13" s="48"/>
      <c r="AN13" s="84"/>
      <c r="AO13" s="81">
        <f t="shared" si="7"/>
        <v>0</v>
      </c>
      <c r="AP13" s="79">
        <f t="shared" si="8"/>
        <v>0</v>
      </c>
      <c r="AQ13" s="48"/>
      <c r="AR13" s="84"/>
      <c r="AS13" s="81">
        <f t="shared" si="9"/>
        <v>0</v>
      </c>
      <c r="AT13" s="79">
        <f t="shared" si="10"/>
        <v>0</v>
      </c>
      <c r="AU13" s="49"/>
      <c r="AV13" s="84"/>
      <c r="AW13" s="81">
        <v>0</v>
      </c>
      <c r="AX13" s="79">
        <v>0</v>
      </c>
      <c r="AY13" s="49"/>
      <c r="AZ13" s="84"/>
      <c r="BA13" s="81">
        <v>0</v>
      </c>
      <c r="BB13" s="79">
        <v>0</v>
      </c>
      <c r="BC13" s="49"/>
      <c r="BD13" s="84"/>
      <c r="BE13" s="81">
        <v>0</v>
      </c>
      <c r="BF13" s="79">
        <v>0</v>
      </c>
      <c r="BG13" s="49"/>
      <c r="BH13" s="84"/>
      <c r="BI13" s="81">
        <v>0</v>
      </c>
      <c r="BJ13" s="79">
        <v>0</v>
      </c>
      <c r="BK13" s="49"/>
      <c r="BL13" s="84"/>
      <c r="BM13" s="81">
        <v>0</v>
      </c>
      <c r="BN13" s="79">
        <v>0</v>
      </c>
      <c r="BO13" s="49"/>
      <c r="BP13" s="84"/>
      <c r="BQ13" s="81">
        <v>0</v>
      </c>
      <c r="BR13" s="79">
        <v>0</v>
      </c>
      <c r="BS13" s="49"/>
      <c r="BT13" s="84"/>
      <c r="BU13" s="81">
        <f t="shared" si="11"/>
        <v>0</v>
      </c>
      <c r="BV13" s="79">
        <f t="shared" si="12"/>
        <v>0</v>
      </c>
      <c r="BW13" s="48"/>
      <c r="BX13" s="84"/>
      <c r="BY13" s="81">
        <f t="shared" si="13"/>
        <v>0</v>
      </c>
      <c r="BZ13" s="79">
        <f t="shared" si="14"/>
        <v>0</v>
      </c>
      <c r="CA13" s="48"/>
      <c r="CB13" s="84"/>
      <c r="CC13" s="81">
        <v>0</v>
      </c>
      <c r="CD13" s="79">
        <v>0</v>
      </c>
      <c r="CE13" s="49"/>
      <c r="CF13" s="84"/>
      <c r="CG13" s="81">
        <f t="shared" si="15"/>
        <v>0</v>
      </c>
      <c r="CH13" s="79">
        <f t="shared" si="16"/>
        <v>0</v>
      </c>
      <c r="CI13" s="33"/>
      <c r="CJ13" s="84"/>
      <c r="CK13" s="81">
        <f t="shared" si="17"/>
        <v>0</v>
      </c>
      <c r="CL13" s="79">
        <f t="shared" si="18"/>
        <v>0</v>
      </c>
      <c r="CM13" s="34"/>
      <c r="CN13" s="34"/>
      <c r="CO13" s="34"/>
      <c r="CP13" s="34"/>
      <c r="CQ13" s="50">
        <f t="shared" si="19"/>
        <v>1</v>
      </c>
      <c r="CR13" s="77">
        <f t="shared" si="20"/>
        <v>0</v>
      </c>
      <c r="CS13" s="28"/>
    </row>
    <row r="14" spans="1:97" s="1" customFormat="1">
      <c r="A14" s="30" t="s">
        <v>122</v>
      </c>
      <c r="B14" s="47"/>
      <c r="C14" s="31" t="s">
        <v>123</v>
      </c>
      <c r="D14" s="32"/>
      <c r="E14" s="32"/>
      <c r="F14" s="87"/>
      <c r="G14" s="48"/>
      <c r="H14" s="84"/>
      <c r="I14" s="80">
        <f t="shared" si="21"/>
        <v>0</v>
      </c>
      <c r="J14" s="79">
        <f t="shared" si="22"/>
        <v>0</v>
      </c>
      <c r="K14" s="49"/>
      <c r="L14" s="84"/>
      <c r="M14" s="81">
        <f t="shared" si="0"/>
        <v>0</v>
      </c>
      <c r="N14" s="79">
        <f t="shared" si="1"/>
        <v>0</v>
      </c>
      <c r="O14" s="48">
        <v>960</v>
      </c>
      <c r="P14" s="84"/>
      <c r="Q14" s="81">
        <f t="shared" si="2"/>
        <v>0</v>
      </c>
      <c r="R14" s="79">
        <f t="shared" si="3"/>
        <v>0</v>
      </c>
      <c r="S14" s="49"/>
      <c r="T14" s="84"/>
      <c r="U14" s="81">
        <v>0</v>
      </c>
      <c r="V14" s="79">
        <v>0</v>
      </c>
      <c r="W14" s="49"/>
      <c r="X14" s="84"/>
      <c r="Y14" s="81">
        <v>0</v>
      </c>
      <c r="Z14" s="79">
        <v>0</v>
      </c>
      <c r="AA14" s="49"/>
      <c r="AB14" s="84"/>
      <c r="AC14" s="81">
        <v>0</v>
      </c>
      <c r="AD14" s="79">
        <v>0</v>
      </c>
      <c r="AE14" s="49"/>
      <c r="AF14" s="84"/>
      <c r="AG14" s="81">
        <f t="shared" si="23"/>
        <v>0</v>
      </c>
      <c r="AH14" s="79">
        <f t="shared" si="4"/>
        <v>0</v>
      </c>
      <c r="AI14" s="48"/>
      <c r="AJ14" s="84"/>
      <c r="AK14" s="81">
        <f t="shared" si="5"/>
        <v>0</v>
      </c>
      <c r="AL14" s="79">
        <f t="shared" si="6"/>
        <v>0</v>
      </c>
      <c r="AM14" s="48"/>
      <c r="AN14" s="84"/>
      <c r="AO14" s="81">
        <f t="shared" si="7"/>
        <v>0</v>
      </c>
      <c r="AP14" s="79">
        <f t="shared" si="8"/>
        <v>0</v>
      </c>
      <c r="AQ14" s="48"/>
      <c r="AR14" s="84"/>
      <c r="AS14" s="81">
        <f t="shared" si="9"/>
        <v>0</v>
      </c>
      <c r="AT14" s="79">
        <f t="shared" si="10"/>
        <v>0</v>
      </c>
      <c r="AU14" s="49"/>
      <c r="AV14" s="84"/>
      <c r="AW14" s="81">
        <v>0</v>
      </c>
      <c r="AX14" s="79">
        <v>0</v>
      </c>
      <c r="AY14" s="49"/>
      <c r="AZ14" s="84"/>
      <c r="BA14" s="81">
        <v>0</v>
      </c>
      <c r="BB14" s="79">
        <v>0</v>
      </c>
      <c r="BC14" s="49"/>
      <c r="BD14" s="84"/>
      <c r="BE14" s="81">
        <v>0</v>
      </c>
      <c r="BF14" s="79">
        <v>0</v>
      </c>
      <c r="BG14" s="49"/>
      <c r="BH14" s="84"/>
      <c r="BI14" s="81">
        <v>0</v>
      </c>
      <c r="BJ14" s="79">
        <v>0</v>
      </c>
      <c r="BK14" s="49"/>
      <c r="BL14" s="84"/>
      <c r="BM14" s="81">
        <v>0</v>
      </c>
      <c r="BN14" s="79">
        <v>0</v>
      </c>
      <c r="BO14" s="49"/>
      <c r="BP14" s="84"/>
      <c r="BQ14" s="81">
        <v>0</v>
      </c>
      <c r="BR14" s="79">
        <v>0</v>
      </c>
      <c r="BS14" s="49"/>
      <c r="BT14" s="84"/>
      <c r="BU14" s="81">
        <f t="shared" si="11"/>
        <v>0</v>
      </c>
      <c r="BV14" s="79">
        <f t="shared" si="12"/>
        <v>0</v>
      </c>
      <c r="BW14" s="48"/>
      <c r="BX14" s="84"/>
      <c r="BY14" s="81">
        <f t="shared" si="13"/>
        <v>0</v>
      </c>
      <c r="BZ14" s="79">
        <f t="shared" si="14"/>
        <v>0</v>
      </c>
      <c r="CA14" s="48"/>
      <c r="CB14" s="84"/>
      <c r="CC14" s="81">
        <v>0</v>
      </c>
      <c r="CD14" s="79">
        <v>0</v>
      </c>
      <c r="CE14" s="49"/>
      <c r="CF14" s="84"/>
      <c r="CG14" s="81">
        <f t="shared" si="15"/>
        <v>0</v>
      </c>
      <c r="CH14" s="79">
        <f t="shared" si="16"/>
        <v>0</v>
      </c>
      <c r="CI14" s="33"/>
      <c r="CJ14" s="84"/>
      <c r="CK14" s="81">
        <f t="shared" si="17"/>
        <v>0</v>
      </c>
      <c r="CL14" s="79">
        <f t="shared" si="18"/>
        <v>0</v>
      </c>
      <c r="CM14" s="34"/>
      <c r="CN14" s="34"/>
      <c r="CO14" s="34"/>
      <c r="CP14" s="34"/>
      <c r="CQ14" s="50">
        <f t="shared" si="19"/>
        <v>1</v>
      </c>
      <c r="CR14" s="77">
        <f t="shared" si="20"/>
        <v>0</v>
      </c>
      <c r="CS14" s="28"/>
    </row>
    <row r="15" spans="1:97" s="1" customFormat="1">
      <c r="A15" s="30" t="s">
        <v>124</v>
      </c>
      <c r="B15" s="47"/>
      <c r="C15" s="31" t="s">
        <v>123</v>
      </c>
      <c r="D15" s="32"/>
      <c r="E15" s="32"/>
      <c r="F15" s="87"/>
      <c r="G15" s="48"/>
      <c r="H15" s="84"/>
      <c r="I15" s="80">
        <f t="shared" si="21"/>
        <v>0</v>
      </c>
      <c r="J15" s="79">
        <f t="shared" si="22"/>
        <v>0</v>
      </c>
      <c r="K15" s="49"/>
      <c r="L15" s="84"/>
      <c r="M15" s="81">
        <f t="shared" si="0"/>
        <v>0</v>
      </c>
      <c r="N15" s="79">
        <f t="shared" si="1"/>
        <v>0</v>
      </c>
      <c r="O15" s="48"/>
      <c r="P15" s="84"/>
      <c r="Q15" s="81">
        <f t="shared" si="2"/>
        <v>0</v>
      </c>
      <c r="R15" s="79">
        <f t="shared" si="3"/>
        <v>0</v>
      </c>
      <c r="S15" s="49"/>
      <c r="T15" s="84"/>
      <c r="U15" s="81">
        <v>0</v>
      </c>
      <c r="V15" s="79">
        <v>0</v>
      </c>
      <c r="W15" s="49"/>
      <c r="X15" s="84"/>
      <c r="Y15" s="81">
        <v>0</v>
      </c>
      <c r="Z15" s="79">
        <v>0</v>
      </c>
      <c r="AA15" s="49"/>
      <c r="AB15" s="84"/>
      <c r="AC15" s="81">
        <v>0</v>
      </c>
      <c r="AD15" s="79">
        <v>0</v>
      </c>
      <c r="AE15" s="49"/>
      <c r="AF15" s="84"/>
      <c r="AG15" s="81">
        <f t="shared" si="23"/>
        <v>0</v>
      </c>
      <c r="AH15" s="79">
        <f t="shared" si="4"/>
        <v>0</v>
      </c>
      <c r="AI15" s="48"/>
      <c r="AJ15" s="84"/>
      <c r="AK15" s="81">
        <f t="shared" si="5"/>
        <v>0</v>
      </c>
      <c r="AL15" s="79">
        <f t="shared" si="6"/>
        <v>0</v>
      </c>
      <c r="AM15" s="48"/>
      <c r="AN15" s="84"/>
      <c r="AO15" s="81">
        <f t="shared" si="7"/>
        <v>0</v>
      </c>
      <c r="AP15" s="79">
        <f t="shared" si="8"/>
        <v>0</v>
      </c>
      <c r="AQ15" s="48"/>
      <c r="AR15" s="84"/>
      <c r="AS15" s="81">
        <f t="shared" si="9"/>
        <v>0</v>
      </c>
      <c r="AT15" s="79">
        <f t="shared" si="10"/>
        <v>0</v>
      </c>
      <c r="AU15" s="49"/>
      <c r="AV15" s="84"/>
      <c r="AW15" s="81">
        <v>0</v>
      </c>
      <c r="AX15" s="79">
        <v>0</v>
      </c>
      <c r="AY15" s="49"/>
      <c r="AZ15" s="84"/>
      <c r="BA15" s="81">
        <v>0</v>
      </c>
      <c r="BB15" s="79">
        <v>0</v>
      </c>
      <c r="BC15" s="49"/>
      <c r="BD15" s="84"/>
      <c r="BE15" s="81">
        <v>0</v>
      </c>
      <c r="BF15" s="79">
        <v>0</v>
      </c>
      <c r="BG15" s="49"/>
      <c r="BH15" s="84"/>
      <c r="BI15" s="81">
        <v>0</v>
      </c>
      <c r="BJ15" s="79">
        <v>0</v>
      </c>
      <c r="BK15" s="49"/>
      <c r="BL15" s="84"/>
      <c r="BM15" s="81">
        <v>0</v>
      </c>
      <c r="BN15" s="79">
        <v>0</v>
      </c>
      <c r="BO15" s="49"/>
      <c r="BP15" s="84"/>
      <c r="BQ15" s="81">
        <v>0</v>
      </c>
      <c r="BR15" s="79">
        <v>0</v>
      </c>
      <c r="BS15" s="49"/>
      <c r="BT15" s="84"/>
      <c r="BU15" s="81">
        <f t="shared" si="11"/>
        <v>0</v>
      </c>
      <c r="BV15" s="79">
        <f t="shared" si="12"/>
        <v>0</v>
      </c>
      <c r="BW15" s="48"/>
      <c r="BX15" s="84"/>
      <c r="BY15" s="81">
        <f t="shared" si="13"/>
        <v>0</v>
      </c>
      <c r="BZ15" s="79">
        <f t="shared" si="14"/>
        <v>0</v>
      </c>
      <c r="CA15" s="48"/>
      <c r="CB15" s="84"/>
      <c r="CC15" s="81">
        <v>0</v>
      </c>
      <c r="CD15" s="79">
        <v>0</v>
      </c>
      <c r="CE15" s="49"/>
      <c r="CF15" s="84"/>
      <c r="CG15" s="81">
        <f t="shared" si="15"/>
        <v>0</v>
      </c>
      <c r="CH15" s="79">
        <f t="shared" si="16"/>
        <v>0</v>
      </c>
      <c r="CI15" s="33"/>
      <c r="CJ15" s="84"/>
      <c r="CK15" s="81">
        <f t="shared" si="17"/>
        <v>0</v>
      </c>
      <c r="CL15" s="79">
        <f t="shared" si="18"/>
        <v>0</v>
      </c>
      <c r="CM15" s="34"/>
      <c r="CN15" s="34"/>
      <c r="CO15" s="34"/>
      <c r="CP15" s="34"/>
      <c r="CQ15" s="50">
        <f t="shared" si="19"/>
        <v>1</v>
      </c>
      <c r="CR15" s="77">
        <f t="shared" si="20"/>
        <v>0</v>
      </c>
      <c r="CS15" s="28"/>
    </row>
    <row r="16" spans="1:97" s="1" customFormat="1">
      <c r="A16" s="30" t="s">
        <v>125</v>
      </c>
      <c r="B16" s="47"/>
      <c r="C16" s="31" t="s">
        <v>123</v>
      </c>
      <c r="D16" s="32"/>
      <c r="E16" s="32"/>
      <c r="F16" s="87"/>
      <c r="G16" s="48"/>
      <c r="H16" s="84"/>
      <c r="I16" s="80">
        <f t="shared" si="21"/>
        <v>0</v>
      </c>
      <c r="J16" s="79">
        <f t="shared" si="22"/>
        <v>0</v>
      </c>
      <c r="K16" s="49"/>
      <c r="L16" s="84"/>
      <c r="M16" s="81">
        <f t="shared" si="0"/>
        <v>0</v>
      </c>
      <c r="N16" s="79">
        <f t="shared" si="1"/>
        <v>0</v>
      </c>
      <c r="O16" s="48"/>
      <c r="P16" s="84"/>
      <c r="Q16" s="81">
        <f t="shared" si="2"/>
        <v>0</v>
      </c>
      <c r="R16" s="79">
        <f t="shared" si="3"/>
        <v>0</v>
      </c>
      <c r="S16" s="49"/>
      <c r="T16" s="84"/>
      <c r="U16" s="81">
        <v>0</v>
      </c>
      <c r="V16" s="79">
        <v>0</v>
      </c>
      <c r="W16" s="49"/>
      <c r="X16" s="84"/>
      <c r="Y16" s="81">
        <v>0</v>
      </c>
      <c r="Z16" s="79">
        <v>0</v>
      </c>
      <c r="AA16" s="49"/>
      <c r="AB16" s="84"/>
      <c r="AC16" s="81">
        <v>0</v>
      </c>
      <c r="AD16" s="79">
        <v>0</v>
      </c>
      <c r="AE16" s="49"/>
      <c r="AF16" s="84"/>
      <c r="AG16" s="81">
        <f t="shared" si="23"/>
        <v>0</v>
      </c>
      <c r="AH16" s="79">
        <f t="shared" si="4"/>
        <v>0</v>
      </c>
      <c r="AI16" s="48"/>
      <c r="AJ16" s="84"/>
      <c r="AK16" s="81">
        <f t="shared" si="5"/>
        <v>0</v>
      </c>
      <c r="AL16" s="79">
        <f t="shared" si="6"/>
        <v>0</v>
      </c>
      <c r="AM16" s="48"/>
      <c r="AN16" s="84"/>
      <c r="AO16" s="81">
        <f t="shared" si="7"/>
        <v>0</v>
      </c>
      <c r="AP16" s="79">
        <f t="shared" si="8"/>
        <v>0</v>
      </c>
      <c r="AQ16" s="48"/>
      <c r="AR16" s="84"/>
      <c r="AS16" s="81">
        <f t="shared" si="9"/>
        <v>0</v>
      </c>
      <c r="AT16" s="79">
        <f t="shared" si="10"/>
        <v>0</v>
      </c>
      <c r="AU16" s="49"/>
      <c r="AV16" s="84"/>
      <c r="AW16" s="81">
        <v>0</v>
      </c>
      <c r="AX16" s="79">
        <v>0</v>
      </c>
      <c r="AY16" s="49"/>
      <c r="AZ16" s="84"/>
      <c r="BA16" s="81">
        <v>0</v>
      </c>
      <c r="BB16" s="79">
        <v>0</v>
      </c>
      <c r="BC16" s="49"/>
      <c r="BD16" s="84"/>
      <c r="BE16" s="81">
        <v>0</v>
      </c>
      <c r="BF16" s="79">
        <v>0</v>
      </c>
      <c r="BG16" s="49"/>
      <c r="BH16" s="84"/>
      <c r="BI16" s="81">
        <v>0</v>
      </c>
      <c r="BJ16" s="79">
        <v>0</v>
      </c>
      <c r="BK16" s="49"/>
      <c r="BL16" s="84"/>
      <c r="BM16" s="81">
        <v>0</v>
      </c>
      <c r="BN16" s="79">
        <v>0</v>
      </c>
      <c r="BO16" s="49"/>
      <c r="BP16" s="84"/>
      <c r="BQ16" s="81">
        <v>0</v>
      </c>
      <c r="BR16" s="79">
        <v>0</v>
      </c>
      <c r="BS16" s="49"/>
      <c r="BT16" s="84"/>
      <c r="BU16" s="81">
        <f t="shared" si="11"/>
        <v>0</v>
      </c>
      <c r="BV16" s="79">
        <f t="shared" si="12"/>
        <v>0</v>
      </c>
      <c r="BW16" s="48"/>
      <c r="BX16" s="84"/>
      <c r="BY16" s="81">
        <f t="shared" si="13"/>
        <v>0</v>
      </c>
      <c r="BZ16" s="79">
        <f t="shared" si="14"/>
        <v>0</v>
      </c>
      <c r="CA16" s="48">
        <v>960</v>
      </c>
      <c r="CB16" s="84"/>
      <c r="CC16" s="81">
        <v>0</v>
      </c>
      <c r="CD16" s="79">
        <v>0</v>
      </c>
      <c r="CE16" s="49"/>
      <c r="CF16" s="84"/>
      <c r="CG16" s="81">
        <f t="shared" si="15"/>
        <v>0</v>
      </c>
      <c r="CH16" s="79">
        <f t="shared" si="16"/>
        <v>0</v>
      </c>
      <c r="CI16" s="33"/>
      <c r="CJ16" s="84"/>
      <c r="CK16" s="81">
        <f t="shared" si="17"/>
        <v>0</v>
      </c>
      <c r="CL16" s="79">
        <f t="shared" si="18"/>
        <v>0</v>
      </c>
      <c r="CM16" s="34"/>
      <c r="CN16" s="34"/>
      <c r="CO16" s="34"/>
      <c r="CP16" s="34"/>
      <c r="CQ16" s="50">
        <f t="shared" si="19"/>
        <v>1</v>
      </c>
      <c r="CR16" s="77">
        <f t="shared" si="20"/>
        <v>0</v>
      </c>
      <c r="CS16" s="28"/>
    </row>
    <row r="17" spans="1:97" s="1" customFormat="1">
      <c r="A17" s="30" t="s">
        <v>126</v>
      </c>
      <c r="B17" s="47"/>
      <c r="C17" s="63" t="s">
        <v>120</v>
      </c>
      <c r="D17" s="32"/>
      <c r="E17" s="32"/>
      <c r="F17" s="87"/>
      <c r="G17" s="52">
        <v>960</v>
      </c>
      <c r="H17" s="84"/>
      <c r="I17" s="80">
        <f t="shared" si="21"/>
        <v>0</v>
      </c>
      <c r="J17" s="79">
        <f t="shared" si="22"/>
        <v>0</v>
      </c>
      <c r="K17" s="49"/>
      <c r="L17" s="84"/>
      <c r="M17" s="81">
        <f t="shared" si="0"/>
        <v>0</v>
      </c>
      <c r="N17" s="79">
        <f t="shared" si="1"/>
        <v>0</v>
      </c>
      <c r="O17" s="48"/>
      <c r="P17" s="84"/>
      <c r="Q17" s="81">
        <f t="shared" si="2"/>
        <v>0</v>
      </c>
      <c r="R17" s="79">
        <f t="shared" si="3"/>
        <v>0</v>
      </c>
      <c r="S17" s="49"/>
      <c r="T17" s="84"/>
      <c r="U17" s="81">
        <v>0</v>
      </c>
      <c r="V17" s="79">
        <v>0</v>
      </c>
      <c r="W17" s="49"/>
      <c r="X17" s="84"/>
      <c r="Y17" s="81">
        <v>0</v>
      </c>
      <c r="Z17" s="79">
        <v>0</v>
      </c>
      <c r="AA17" s="49"/>
      <c r="AB17" s="84"/>
      <c r="AC17" s="81">
        <v>0</v>
      </c>
      <c r="AD17" s="79">
        <v>0</v>
      </c>
      <c r="AE17" s="49"/>
      <c r="AF17" s="84"/>
      <c r="AG17" s="81">
        <f t="shared" si="23"/>
        <v>0</v>
      </c>
      <c r="AH17" s="79">
        <f t="shared" si="4"/>
        <v>0</v>
      </c>
      <c r="AI17" s="48">
        <v>1920</v>
      </c>
      <c r="AJ17" s="84"/>
      <c r="AK17" s="81">
        <f t="shared" si="5"/>
        <v>0</v>
      </c>
      <c r="AL17" s="79">
        <f t="shared" si="6"/>
        <v>0</v>
      </c>
      <c r="AM17" s="48"/>
      <c r="AN17" s="84"/>
      <c r="AO17" s="81">
        <f t="shared" si="7"/>
        <v>0</v>
      </c>
      <c r="AP17" s="79">
        <f t="shared" si="8"/>
        <v>0</v>
      </c>
      <c r="AQ17" s="48"/>
      <c r="AR17" s="84"/>
      <c r="AS17" s="81">
        <f t="shared" si="9"/>
        <v>0</v>
      </c>
      <c r="AT17" s="79">
        <f t="shared" si="10"/>
        <v>0</v>
      </c>
      <c r="AU17" s="49"/>
      <c r="AV17" s="84"/>
      <c r="AW17" s="81">
        <v>0</v>
      </c>
      <c r="AX17" s="79">
        <v>0</v>
      </c>
      <c r="AY17" s="49"/>
      <c r="AZ17" s="84"/>
      <c r="BA17" s="81">
        <v>0</v>
      </c>
      <c r="BB17" s="79">
        <v>0</v>
      </c>
      <c r="BC17" s="49"/>
      <c r="BD17" s="84"/>
      <c r="BE17" s="81">
        <v>0</v>
      </c>
      <c r="BF17" s="79">
        <v>0</v>
      </c>
      <c r="BG17" s="49"/>
      <c r="BH17" s="84"/>
      <c r="BI17" s="81">
        <v>0</v>
      </c>
      <c r="BJ17" s="79">
        <v>0</v>
      </c>
      <c r="BK17" s="49"/>
      <c r="BL17" s="84"/>
      <c r="BM17" s="81">
        <v>0</v>
      </c>
      <c r="BN17" s="79">
        <v>0</v>
      </c>
      <c r="BO17" s="49"/>
      <c r="BP17" s="84"/>
      <c r="BQ17" s="81">
        <v>0</v>
      </c>
      <c r="BR17" s="79">
        <v>0</v>
      </c>
      <c r="BS17" s="49"/>
      <c r="BT17" s="84"/>
      <c r="BU17" s="81">
        <f t="shared" si="11"/>
        <v>0</v>
      </c>
      <c r="BV17" s="79">
        <f t="shared" si="12"/>
        <v>0</v>
      </c>
      <c r="BW17" s="48"/>
      <c r="BX17" s="84"/>
      <c r="BY17" s="81">
        <f t="shared" si="13"/>
        <v>0</v>
      </c>
      <c r="BZ17" s="79">
        <f t="shared" si="14"/>
        <v>0</v>
      </c>
      <c r="CA17" s="48"/>
      <c r="CB17" s="84"/>
      <c r="CC17" s="81">
        <v>0</v>
      </c>
      <c r="CD17" s="79">
        <v>0</v>
      </c>
      <c r="CE17" s="49"/>
      <c r="CF17" s="84"/>
      <c r="CG17" s="81">
        <f t="shared" si="15"/>
        <v>0</v>
      </c>
      <c r="CH17" s="79">
        <f t="shared" si="16"/>
        <v>0</v>
      </c>
      <c r="CI17" s="33"/>
      <c r="CJ17" s="84"/>
      <c r="CK17" s="81">
        <f t="shared" si="17"/>
        <v>0</v>
      </c>
      <c r="CL17" s="79">
        <f t="shared" si="18"/>
        <v>0</v>
      </c>
      <c r="CM17" s="34"/>
      <c r="CN17" s="34"/>
      <c r="CO17" s="34"/>
      <c r="CP17" s="34"/>
      <c r="CQ17" s="50">
        <f t="shared" si="19"/>
        <v>1</v>
      </c>
      <c r="CR17" s="77">
        <f t="shared" si="20"/>
        <v>0</v>
      </c>
      <c r="CS17" s="28"/>
    </row>
    <row r="18" spans="1:97" s="1" customFormat="1">
      <c r="A18" s="30" t="s">
        <v>126</v>
      </c>
      <c r="B18" s="47"/>
      <c r="C18" s="31" t="s">
        <v>121</v>
      </c>
      <c r="D18" s="32"/>
      <c r="E18" s="32"/>
      <c r="F18" s="87"/>
      <c r="G18" s="48">
        <v>2880</v>
      </c>
      <c r="H18" s="84"/>
      <c r="I18" s="80">
        <f t="shared" si="21"/>
        <v>0</v>
      </c>
      <c r="J18" s="79">
        <f t="shared" si="22"/>
        <v>0</v>
      </c>
      <c r="K18" s="49"/>
      <c r="L18" s="84"/>
      <c r="M18" s="81">
        <f t="shared" si="0"/>
        <v>0</v>
      </c>
      <c r="N18" s="79">
        <f t="shared" si="1"/>
        <v>0</v>
      </c>
      <c r="O18" s="48"/>
      <c r="P18" s="84"/>
      <c r="Q18" s="81">
        <f t="shared" si="2"/>
        <v>0</v>
      </c>
      <c r="R18" s="79">
        <f t="shared" si="3"/>
        <v>0</v>
      </c>
      <c r="S18" s="49"/>
      <c r="T18" s="84"/>
      <c r="U18" s="81">
        <v>0</v>
      </c>
      <c r="V18" s="79">
        <v>0</v>
      </c>
      <c r="W18" s="49"/>
      <c r="X18" s="84"/>
      <c r="Y18" s="81">
        <v>0</v>
      </c>
      <c r="Z18" s="79">
        <v>0</v>
      </c>
      <c r="AA18" s="49"/>
      <c r="AB18" s="84"/>
      <c r="AC18" s="81">
        <v>0</v>
      </c>
      <c r="AD18" s="79">
        <v>0</v>
      </c>
      <c r="AE18" s="49"/>
      <c r="AF18" s="84"/>
      <c r="AG18" s="81">
        <f t="shared" si="23"/>
        <v>0</v>
      </c>
      <c r="AH18" s="79">
        <f t="shared" si="4"/>
        <v>0</v>
      </c>
      <c r="AI18" s="48"/>
      <c r="AJ18" s="84"/>
      <c r="AK18" s="81">
        <f t="shared" si="5"/>
        <v>0</v>
      </c>
      <c r="AL18" s="79">
        <f t="shared" si="6"/>
        <v>0</v>
      </c>
      <c r="AM18" s="48"/>
      <c r="AN18" s="84"/>
      <c r="AO18" s="81">
        <f t="shared" si="7"/>
        <v>0</v>
      </c>
      <c r="AP18" s="79">
        <f t="shared" si="8"/>
        <v>0</v>
      </c>
      <c r="AQ18" s="48"/>
      <c r="AR18" s="84"/>
      <c r="AS18" s="81">
        <f t="shared" si="9"/>
        <v>0</v>
      </c>
      <c r="AT18" s="79">
        <f t="shared" si="10"/>
        <v>0</v>
      </c>
      <c r="AU18" s="49"/>
      <c r="AV18" s="84"/>
      <c r="AW18" s="81">
        <v>0</v>
      </c>
      <c r="AX18" s="79">
        <v>0</v>
      </c>
      <c r="AY18" s="49"/>
      <c r="AZ18" s="84"/>
      <c r="BA18" s="81">
        <v>0</v>
      </c>
      <c r="BB18" s="79">
        <v>0</v>
      </c>
      <c r="BC18" s="49"/>
      <c r="BD18" s="84"/>
      <c r="BE18" s="81">
        <v>0</v>
      </c>
      <c r="BF18" s="79">
        <v>0</v>
      </c>
      <c r="BG18" s="49"/>
      <c r="BH18" s="84"/>
      <c r="BI18" s="81">
        <v>0</v>
      </c>
      <c r="BJ18" s="79">
        <v>0</v>
      </c>
      <c r="BK18" s="49"/>
      <c r="BL18" s="84"/>
      <c r="BM18" s="81">
        <v>0</v>
      </c>
      <c r="BN18" s="79">
        <v>0</v>
      </c>
      <c r="BO18" s="49"/>
      <c r="BP18" s="84"/>
      <c r="BQ18" s="81">
        <v>0</v>
      </c>
      <c r="BR18" s="79">
        <v>0</v>
      </c>
      <c r="BS18" s="49"/>
      <c r="BT18" s="84"/>
      <c r="BU18" s="81">
        <f t="shared" si="11"/>
        <v>0</v>
      </c>
      <c r="BV18" s="79">
        <f t="shared" si="12"/>
        <v>0</v>
      </c>
      <c r="BW18" s="48"/>
      <c r="BX18" s="84"/>
      <c r="BY18" s="81">
        <f t="shared" si="13"/>
        <v>0</v>
      </c>
      <c r="BZ18" s="79">
        <f t="shared" si="14"/>
        <v>0</v>
      </c>
      <c r="CA18" s="48"/>
      <c r="CB18" s="84"/>
      <c r="CC18" s="81">
        <v>0</v>
      </c>
      <c r="CD18" s="79">
        <v>0</v>
      </c>
      <c r="CE18" s="49"/>
      <c r="CF18" s="84"/>
      <c r="CG18" s="81">
        <f t="shared" si="15"/>
        <v>0</v>
      </c>
      <c r="CH18" s="79">
        <f t="shared" si="16"/>
        <v>0</v>
      </c>
      <c r="CI18" s="33"/>
      <c r="CJ18" s="84"/>
      <c r="CK18" s="81">
        <f t="shared" si="17"/>
        <v>0</v>
      </c>
      <c r="CL18" s="79">
        <f t="shared" si="18"/>
        <v>0</v>
      </c>
      <c r="CM18" s="34"/>
      <c r="CN18" s="34"/>
      <c r="CO18" s="34"/>
      <c r="CP18" s="34"/>
      <c r="CQ18" s="50">
        <f t="shared" si="19"/>
        <v>1</v>
      </c>
      <c r="CR18" s="77">
        <f t="shared" si="20"/>
        <v>0</v>
      </c>
      <c r="CS18" s="28"/>
    </row>
    <row r="19" spans="1:97" s="1" customFormat="1">
      <c r="A19" s="30" t="s">
        <v>126</v>
      </c>
      <c r="B19" s="47"/>
      <c r="C19" s="31" t="s">
        <v>123</v>
      </c>
      <c r="D19" s="32"/>
      <c r="E19" s="32"/>
      <c r="F19" s="87"/>
      <c r="G19" s="48">
        <v>10560</v>
      </c>
      <c r="H19" s="84"/>
      <c r="I19" s="80">
        <f t="shared" si="21"/>
        <v>0</v>
      </c>
      <c r="J19" s="79">
        <f t="shared" si="22"/>
        <v>0</v>
      </c>
      <c r="K19" s="49"/>
      <c r="L19" s="84"/>
      <c r="M19" s="81">
        <f t="shared" si="0"/>
        <v>0</v>
      </c>
      <c r="N19" s="79">
        <f t="shared" si="1"/>
        <v>0</v>
      </c>
      <c r="O19" s="48"/>
      <c r="P19" s="84"/>
      <c r="Q19" s="81">
        <f t="shared" si="2"/>
        <v>0</v>
      </c>
      <c r="R19" s="79">
        <f t="shared" si="3"/>
        <v>0</v>
      </c>
      <c r="S19" s="49"/>
      <c r="T19" s="84"/>
      <c r="U19" s="81">
        <v>0</v>
      </c>
      <c r="V19" s="79">
        <v>0</v>
      </c>
      <c r="W19" s="49"/>
      <c r="X19" s="84"/>
      <c r="Y19" s="81">
        <v>0</v>
      </c>
      <c r="Z19" s="79">
        <v>0</v>
      </c>
      <c r="AA19" s="49"/>
      <c r="AB19" s="84"/>
      <c r="AC19" s="81">
        <v>0</v>
      </c>
      <c r="AD19" s="79">
        <v>0</v>
      </c>
      <c r="AE19" s="49"/>
      <c r="AF19" s="84"/>
      <c r="AG19" s="81">
        <f t="shared" si="23"/>
        <v>0</v>
      </c>
      <c r="AH19" s="79">
        <f t="shared" si="4"/>
        <v>0</v>
      </c>
      <c r="AI19" s="48"/>
      <c r="AJ19" s="84"/>
      <c r="AK19" s="81">
        <f t="shared" si="5"/>
        <v>0</v>
      </c>
      <c r="AL19" s="79">
        <f t="shared" si="6"/>
        <v>0</v>
      </c>
      <c r="AM19" s="48"/>
      <c r="AN19" s="84"/>
      <c r="AO19" s="81">
        <f t="shared" si="7"/>
        <v>0</v>
      </c>
      <c r="AP19" s="79">
        <f t="shared" si="8"/>
        <v>0</v>
      </c>
      <c r="AQ19" s="48"/>
      <c r="AR19" s="84"/>
      <c r="AS19" s="81">
        <f t="shared" si="9"/>
        <v>0</v>
      </c>
      <c r="AT19" s="79">
        <f t="shared" si="10"/>
        <v>0</v>
      </c>
      <c r="AU19" s="49"/>
      <c r="AV19" s="84"/>
      <c r="AW19" s="81">
        <v>0</v>
      </c>
      <c r="AX19" s="79">
        <v>0</v>
      </c>
      <c r="AY19" s="49"/>
      <c r="AZ19" s="84"/>
      <c r="BA19" s="81">
        <v>0</v>
      </c>
      <c r="BB19" s="79">
        <v>0</v>
      </c>
      <c r="BC19" s="49"/>
      <c r="BD19" s="84"/>
      <c r="BE19" s="81">
        <v>0</v>
      </c>
      <c r="BF19" s="79">
        <v>0</v>
      </c>
      <c r="BG19" s="49"/>
      <c r="BH19" s="84"/>
      <c r="BI19" s="81">
        <v>0</v>
      </c>
      <c r="BJ19" s="79">
        <v>0</v>
      </c>
      <c r="BK19" s="49"/>
      <c r="BL19" s="84"/>
      <c r="BM19" s="81">
        <v>0</v>
      </c>
      <c r="BN19" s="79">
        <v>0</v>
      </c>
      <c r="BO19" s="49"/>
      <c r="BP19" s="84"/>
      <c r="BQ19" s="81">
        <v>0</v>
      </c>
      <c r="BR19" s="79">
        <v>0</v>
      </c>
      <c r="BS19" s="49"/>
      <c r="BT19" s="84"/>
      <c r="BU19" s="81">
        <f t="shared" si="11"/>
        <v>0</v>
      </c>
      <c r="BV19" s="79">
        <f t="shared" si="12"/>
        <v>0</v>
      </c>
      <c r="BW19" s="48"/>
      <c r="BX19" s="84"/>
      <c r="BY19" s="81">
        <f t="shared" si="13"/>
        <v>0</v>
      </c>
      <c r="BZ19" s="79">
        <f t="shared" si="14"/>
        <v>0</v>
      </c>
      <c r="CA19" s="48"/>
      <c r="CB19" s="84"/>
      <c r="CC19" s="81">
        <v>0</v>
      </c>
      <c r="CD19" s="79">
        <v>0</v>
      </c>
      <c r="CE19" s="49"/>
      <c r="CF19" s="84"/>
      <c r="CG19" s="81">
        <f t="shared" si="15"/>
        <v>0</v>
      </c>
      <c r="CH19" s="79">
        <f t="shared" si="16"/>
        <v>0</v>
      </c>
      <c r="CI19" s="33"/>
      <c r="CJ19" s="84"/>
      <c r="CK19" s="81">
        <f t="shared" si="17"/>
        <v>0</v>
      </c>
      <c r="CL19" s="79">
        <f t="shared" si="18"/>
        <v>0</v>
      </c>
      <c r="CM19" s="34"/>
      <c r="CN19" s="34"/>
      <c r="CO19" s="34"/>
      <c r="CP19" s="53"/>
      <c r="CQ19" s="50">
        <f t="shared" si="19"/>
        <v>1</v>
      </c>
      <c r="CR19" s="77">
        <f t="shared" si="20"/>
        <v>0</v>
      </c>
      <c r="CS19" s="28"/>
    </row>
    <row r="20" spans="1:97" s="1" customFormat="1">
      <c r="A20" s="30" t="s">
        <v>127</v>
      </c>
      <c r="B20" s="47"/>
      <c r="C20" s="31" t="s">
        <v>128</v>
      </c>
      <c r="D20" s="32"/>
      <c r="E20" s="32"/>
      <c r="F20" s="87"/>
      <c r="G20" s="48"/>
      <c r="H20" s="84"/>
      <c r="I20" s="80">
        <f t="shared" si="21"/>
        <v>0</v>
      </c>
      <c r="J20" s="79">
        <f t="shared" si="22"/>
        <v>0</v>
      </c>
      <c r="K20" s="49"/>
      <c r="L20" s="84"/>
      <c r="M20" s="81">
        <f t="shared" si="0"/>
        <v>0</v>
      </c>
      <c r="N20" s="79">
        <f t="shared" si="1"/>
        <v>0</v>
      </c>
      <c r="O20" s="48">
        <v>5760</v>
      </c>
      <c r="P20" s="84"/>
      <c r="Q20" s="81">
        <f t="shared" si="2"/>
        <v>0</v>
      </c>
      <c r="R20" s="79">
        <f t="shared" si="3"/>
        <v>0</v>
      </c>
      <c r="S20" s="49"/>
      <c r="T20" s="84"/>
      <c r="U20" s="81">
        <v>0</v>
      </c>
      <c r="V20" s="79">
        <v>0</v>
      </c>
      <c r="W20" s="49"/>
      <c r="X20" s="84"/>
      <c r="Y20" s="81">
        <v>0</v>
      </c>
      <c r="Z20" s="79">
        <v>0</v>
      </c>
      <c r="AA20" s="49"/>
      <c r="AB20" s="84"/>
      <c r="AC20" s="81">
        <v>0</v>
      </c>
      <c r="AD20" s="79">
        <v>0</v>
      </c>
      <c r="AE20" s="49"/>
      <c r="AF20" s="84"/>
      <c r="AG20" s="81">
        <f t="shared" si="23"/>
        <v>0</v>
      </c>
      <c r="AH20" s="79">
        <f t="shared" si="4"/>
        <v>0</v>
      </c>
      <c r="AI20" s="48"/>
      <c r="AJ20" s="84"/>
      <c r="AK20" s="81">
        <f t="shared" si="5"/>
        <v>0</v>
      </c>
      <c r="AL20" s="79">
        <f t="shared" si="6"/>
        <v>0</v>
      </c>
      <c r="AM20" s="48"/>
      <c r="AN20" s="84"/>
      <c r="AO20" s="81">
        <f t="shared" si="7"/>
        <v>0</v>
      </c>
      <c r="AP20" s="79">
        <f t="shared" si="8"/>
        <v>0</v>
      </c>
      <c r="AQ20" s="48"/>
      <c r="AR20" s="84"/>
      <c r="AS20" s="81">
        <f t="shared" si="9"/>
        <v>0</v>
      </c>
      <c r="AT20" s="79">
        <f t="shared" si="10"/>
        <v>0</v>
      </c>
      <c r="AU20" s="49"/>
      <c r="AV20" s="84"/>
      <c r="AW20" s="81">
        <v>0</v>
      </c>
      <c r="AX20" s="79">
        <v>0</v>
      </c>
      <c r="AY20" s="49"/>
      <c r="AZ20" s="84"/>
      <c r="BA20" s="81">
        <v>0</v>
      </c>
      <c r="BB20" s="79">
        <v>0</v>
      </c>
      <c r="BC20" s="49"/>
      <c r="BD20" s="84"/>
      <c r="BE20" s="81">
        <v>0</v>
      </c>
      <c r="BF20" s="79">
        <v>0</v>
      </c>
      <c r="BG20" s="49"/>
      <c r="BH20" s="84"/>
      <c r="BI20" s="81">
        <v>0</v>
      </c>
      <c r="BJ20" s="79">
        <v>0</v>
      </c>
      <c r="BK20" s="49"/>
      <c r="BL20" s="84"/>
      <c r="BM20" s="81">
        <v>0</v>
      </c>
      <c r="BN20" s="79">
        <v>0</v>
      </c>
      <c r="BO20" s="49"/>
      <c r="BP20" s="84"/>
      <c r="BQ20" s="81">
        <v>0</v>
      </c>
      <c r="BR20" s="79">
        <v>0</v>
      </c>
      <c r="BS20" s="49"/>
      <c r="BT20" s="84"/>
      <c r="BU20" s="81">
        <f t="shared" si="11"/>
        <v>0</v>
      </c>
      <c r="BV20" s="79">
        <f t="shared" si="12"/>
        <v>0</v>
      </c>
      <c r="BW20" s="48"/>
      <c r="BX20" s="84"/>
      <c r="BY20" s="81">
        <f t="shared" si="13"/>
        <v>0</v>
      </c>
      <c r="BZ20" s="79">
        <f t="shared" si="14"/>
        <v>0</v>
      </c>
      <c r="CA20" s="48"/>
      <c r="CB20" s="84"/>
      <c r="CC20" s="81">
        <v>0</v>
      </c>
      <c r="CD20" s="79">
        <v>0</v>
      </c>
      <c r="CE20" s="49"/>
      <c r="CF20" s="84"/>
      <c r="CG20" s="81">
        <f t="shared" si="15"/>
        <v>0</v>
      </c>
      <c r="CH20" s="79">
        <f t="shared" si="16"/>
        <v>0</v>
      </c>
      <c r="CI20" s="33"/>
      <c r="CJ20" s="84"/>
      <c r="CK20" s="81">
        <f t="shared" si="17"/>
        <v>0</v>
      </c>
      <c r="CL20" s="79">
        <f t="shared" si="18"/>
        <v>0</v>
      </c>
      <c r="CM20" s="34"/>
      <c r="CN20" s="34"/>
      <c r="CO20" s="34"/>
      <c r="CP20" s="34"/>
      <c r="CQ20" s="50">
        <f t="shared" si="19"/>
        <v>1</v>
      </c>
      <c r="CR20" s="77">
        <f t="shared" si="20"/>
        <v>0</v>
      </c>
      <c r="CS20" s="28"/>
    </row>
    <row r="21" spans="1:97" s="1" customFormat="1">
      <c r="A21" s="30" t="s">
        <v>127</v>
      </c>
      <c r="B21" s="47"/>
      <c r="C21" s="31" t="s">
        <v>123</v>
      </c>
      <c r="D21" s="32"/>
      <c r="E21" s="32"/>
      <c r="F21" s="87"/>
      <c r="G21" s="48"/>
      <c r="H21" s="84"/>
      <c r="I21" s="80">
        <f t="shared" si="21"/>
        <v>0</v>
      </c>
      <c r="J21" s="79">
        <f t="shared" si="22"/>
        <v>0</v>
      </c>
      <c r="K21" s="49"/>
      <c r="L21" s="84"/>
      <c r="M21" s="81">
        <f t="shared" si="0"/>
        <v>0</v>
      </c>
      <c r="N21" s="79">
        <f t="shared" si="1"/>
        <v>0</v>
      </c>
      <c r="O21" s="48"/>
      <c r="P21" s="84"/>
      <c r="Q21" s="81">
        <f t="shared" si="2"/>
        <v>0</v>
      </c>
      <c r="R21" s="79">
        <f t="shared" si="3"/>
        <v>0</v>
      </c>
      <c r="S21" s="49"/>
      <c r="T21" s="84"/>
      <c r="U21" s="81">
        <v>0</v>
      </c>
      <c r="V21" s="79">
        <v>0</v>
      </c>
      <c r="W21" s="49"/>
      <c r="X21" s="84"/>
      <c r="Y21" s="81">
        <v>0</v>
      </c>
      <c r="Z21" s="79">
        <v>0</v>
      </c>
      <c r="AA21" s="49"/>
      <c r="AB21" s="84"/>
      <c r="AC21" s="81">
        <v>0</v>
      </c>
      <c r="AD21" s="79">
        <v>0</v>
      </c>
      <c r="AE21" s="49"/>
      <c r="AF21" s="84"/>
      <c r="AG21" s="81">
        <f t="shared" si="23"/>
        <v>0</v>
      </c>
      <c r="AH21" s="79">
        <f t="shared" si="4"/>
        <v>0</v>
      </c>
      <c r="AI21" s="48"/>
      <c r="AJ21" s="84"/>
      <c r="AK21" s="81">
        <f t="shared" si="5"/>
        <v>0</v>
      </c>
      <c r="AL21" s="79">
        <f t="shared" si="6"/>
        <v>0</v>
      </c>
      <c r="AM21" s="48"/>
      <c r="AN21" s="84"/>
      <c r="AO21" s="81">
        <f t="shared" si="7"/>
        <v>0</v>
      </c>
      <c r="AP21" s="79">
        <f t="shared" si="8"/>
        <v>0</v>
      </c>
      <c r="AQ21" s="48"/>
      <c r="AR21" s="84"/>
      <c r="AS21" s="81">
        <f t="shared" si="9"/>
        <v>0</v>
      </c>
      <c r="AT21" s="79">
        <f t="shared" si="10"/>
        <v>0</v>
      </c>
      <c r="AU21" s="49"/>
      <c r="AV21" s="84"/>
      <c r="AW21" s="81">
        <v>0</v>
      </c>
      <c r="AX21" s="79">
        <v>0</v>
      </c>
      <c r="AY21" s="49"/>
      <c r="AZ21" s="84"/>
      <c r="BA21" s="81">
        <v>0</v>
      </c>
      <c r="BB21" s="79">
        <v>0</v>
      </c>
      <c r="BC21" s="49"/>
      <c r="BD21" s="84"/>
      <c r="BE21" s="81">
        <v>0</v>
      </c>
      <c r="BF21" s="79">
        <v>0</v>
      </c>
      <c r="BG21" s="49"/>
      <c r="BH21" s="84"/>
      <c r="BI21" s="81">
        <v>0</v>
      </c>
      <c r="BJ21" s="79">
        <v>0</v>
      </c>
      <c r="BK21" s="49"/>
      <c r="BL21" s="84"/>
      <c r="BM21" s="81">
        <v>0</v>
      </c>
      <c r="BN21" s="79">
        <v>0</v>
      </c>
      <c r="BO21" s="49"/>
      <c r="BP21" s="84"/>
      <c r="BQ21" s="81">
        <v>0</v>
      </c>
      <c r="BR21" s="79">
        <v>0</v>
      </c>
      <c r="BS21" s="49"/>
      <c r="BT21" s="84"/>
      <c r="BU21" s="81">
        <f t="shared" si="11"/>
        <v>0</v>
      </c>
      <c r="BV21" s="79">
        <f t="shared" si="12"/>
        <v>0</v>
      </c>
      <c r="BW21" s="48"/>
      <c r="BX21" s="84"/>
      <c r="BY21" s="81">
        <f t="shared" si="13"/>
        <v>0</v>
      </c>
      <c r="BZ21" s="79">
        <f t="shared" si="14"/>
        <v>0</v>
      </c>
      <c r="CA21" s="48"/>
      <c r="CB21" s="84"/>
      <c r="CC21" s="81">
        <v>0</v>
      </c>
      <c r="CD21" s="79">
        <v>0</v>
      </c>
      <c r="CE21" s="49"/>
      <c r="CF21" s="84"/>
      <c r="CG21" s="81">
        <f t="shared" si="15"/>
        <v>0</v>
      </c>
      <c r="CH21" s="79">
        <f t="shared" si="16"/>
        <v>0</v>
      </c>
      <c r="CI21" s="33"/>
      <c r="CJ21" s="84"/>
      <c r="CK21" s="81">
        <f t="shared" si="17"/>
        <v>0</v>
      </c>
      <c r="CL21" s="79">
        <f t="shared" si="18"/>
        <v>0</v>
      </c>
      <c r="CM21" s="34"/>
      <c r="CN21" s="34"/>
      <c r="CO21" s="34"/>
      <c r="CP21" s="34"/>
      <c r="CQ21" s="50">
        <f t="shared" si="19"/>
        <v>1</v>
      </c>
      <c r="CR21" s="77">
        <f t="shared" si="20"/>
        <v>0</v>
      </c>
      <c r="CS21" s="28"/>
    </row>
    <row r="22" spans="1:97" s="1" customFormat="1">
      <c r="A22" s="30" t="s">
        <v>129</v>
      </c>
      <c r="B22" s="47"/>
      <c r="C22" s="31" t="s">
        <v>123</v>
      </c>
      <c r="D22" s="32"/>
      <c r="E22" s="32"/>
      <c r="F22" s="87"/>
      <c r="G22" s="48"/>
      <c r="H22" s="84"/>
      <c r="I22" s="80">
        <f t="shared" si="21"/>
        <v>0</v>
      </c>
      <c r="J22" s="79">
        <f t="shared" si="22"/>
        <v>0</v>
      </c>
      <c r="K22" s="49"/>
      <c r="L22" s="84"/>
      <c r="M22" s="81">
        <f t="shared" si="0"/>
        <v>0</v>
      </c>
      <c r="N22" s="79">
        <f t="shared" si="1"/>
        <v>0</v>
      </c>
      <c r="O22" s="48"/>
      <c r="P22" s="84"/>
      <c r="Q22" s="81">
        <f t="shared" si="2"/>
        <v>0</v>
      </c>
      <c r="R22" s="79">
        <f t="shared" si="3"/>
        <v>0</v>
      </c>
      <c r="S22" s="49"/>
      <c r="T22" s="84"/>
      <c r="U22" s="81">
        <v>0</v>
      </c>
      <c r="V22" s="79">
        <v>0</v>
      </c>
      <c r="W22" s="49"/>
      <c r="X22" s="84"/>
      <c r="Y22" s="81">
        <v>0</v>
      </c>
      <c r="Z22" s="79">
        <v>0</v>
      </c>
      <c r="AA22" s="49"/>
      <c r="AB22" s="84"/>
      <c r="AC22" s="81">
        <v>0</v>
      </c>
      <c r="AD22" s="79">
        <v>0</v>
      </c>
      <c r="AE22" s="49"/>
      <c r="AF22" s="84"/>
      <c r="AG22" s="81">
        <f t="shared" si="23"/>
        <v>0</v>
      </c>
      <c r="AH22" s="79">
        <f t="shared" si="4"/>
        <v>0</v>
      </c>
      <c r="AI22" s="48">
        <v>1920</v>
      </c>
      <c r="AJ22" s="84"/>
      <c r="AK22" s="81">
        <f t="shared" si="5"/>
        <v>0</v>
      </c>
      <c r="AL22" s="79">
        <f t="shared" si="6"/>
        <v>0</v>
      </c>
      <c r="AM22" s="48"/>
      <c r="AN22" s="84"/>
      <c r="AO22" s="81">
        <f t="shared" si="7"/>
        <v>0</v>
      </c>
      <c r="AP22" s="79">
        <f t="shared" si="8"/>
        <v>0</v>
      </c>
      <c r="AQ22" s="48"/>
      <c r="AR22" s="84"/>
      <c r="AS22" s="81">
        <f t="shared" si="9"/>
        <v>0</v>
      </c>
      <c r="AT22" s="79">
        <f t="shared" si="10"/>
        <v>0</v>
      </c>
      <c r="AU22" s="49"/>
      <c r="AV22" s="84"/>
      <c r="AW22" s="81">
        <v>0</v>
      </c>
      <c r="AX22" s="79">
        <v>0</v>
      </c>
      <c r="AY22" s="49"/>
      <c r="AZ22" s="84"/>
      <c r="BA22" s="81">
        <v>0</v>
      </c>
      <c r="BB22" s="79">
        <v>0</v>
      </c>
      <c r="BC22" s="49"/>
      <c r="BD22" s="84"/>
      <c r="BE22" s="81">
        <v>0</v>
      </c>
      <c r="BF22" s="79">
        <v>0</v>
      </c>
      <c r="BG22" s="49"/>
      <c r="BH22" s="84"/>
      <c r="BI22" s="81">
        <v>0</v>
      </c>
      <c r="BJ22" s="79">
        <v>0</v>
      </c>
      <c r="BK22" s="49"/>
      <c r="BL22" s="84"/>
      <c r="BM22" s="81">
        <v>0</v>
      </c>
      <c r="BN22" s="79">
        <v>0</v>
      </c>
      <c r="BO22" s="49"/>
      <c r="BP22" s="84"/>
      <c r="BQ22" s="81">
        <v>0</v>
      </c>
      <c r="BR22" s="79">
        <v>0</v>
      </c>
      <c r="BS22" s="49"/>
      <c r="BT22" s="84"/>
      <c r="BU22" s="81">
        <f t="shared" si="11"/>
        <v>0</v>
      </c>
      <c r="BV22" s="79">
        <f t="shared" si="12"/>
        <v>0</v>
      </c>
      <c r="BW22" s="48"/>
      <c r="BX22" s="84"/>
      <c r="BY22" s="81">
        <f t="shared" si="13"/>
        <v>0</v>
      </c>
      <c r="BZ22" s="79">
        <f t="shared" si="14"/>
        <v>0</v>
      </c>
      <c r="CA22" s="48"/>
      <c r="CB22" s="84"/>
      <c r="CC22" s="81">
        <v>0</v>
      </c>
      <c r="CD22" s="79">
        <v>0</v>
      </c>
      <c r="CE22" s="49"/>
      <c r="CF22" s="84"/>
      <c r="CG22" s="81">
        <f t="shared" si="15"/>
        <v>0</v>
      </c>
      <c r="CH22" s="79">
        <f t="shared" si="16"/>
        <v>0</v>
      </c>
      <c r="CI22" s="33"/>
      <c r="CJ22" s="84"/>
      <c r="CK22" s="81">
        <f t="shared" si="17"/>
        <v>0</v>
      </c>
      <c r="CL22" s="79">
        <f t="shared" si="18"/>
        <v>0</v>
      </c>
      <c r="CM22" s="34"/>
      <c r="CN22" s="34"/>
      <c r="CO22" s="34"/>
      <c r="CP22" s="34"/>
      <c r="CQ22" s="50">
        <f t="shared" si="19"/>
        <v>1</v>
      </c>
      <c r="CR22" s="77">
        <f t="shared" si="20"/>
        <v>0</v>
      </c>
      <c r="CS22" s="28"/>
    </row>
    <row r="23" spans="1:97" s="1" customFormat="1">
      <c r="A23" s="30" t="s">
        <v>130</v>
      </c>
      <c r="B23" s="47"/>
      <c r="C23" s="31" t="s">
        <v>123</v>
      </c>
      <c r="D23" s="32"/>
      <c r="E23" s="32"/>
      <c r="F23" s="87"/>
      <c r="G23" s="48"/>
      <c r="H23" s="84"/>
      <c r="I23" s="80">
        <f t="shared" si="21"/>
        <v>0</v>
      </c>
      <c r="J23" s="79">
        <f t="shared" si="22"/>
        <v>0</v>
      </c>
      <c r="K23" s="48">
        <v>960</v>
      </c>
      <c r="L23" s="84"/>
      <c r="M23" s="81">
        <f t="shared" si="0"/>
        <v>0</v>
      </c>
      <c r="N23" s="79">
        <f t="shared" si="1"/>
        <v>0</v>
      </c>
      <c r="O23" s="48"/>
      <c r="P23" s="84"/>
      <c r="Q23" s="81">
        <f t="shared" si="2"/>
        <v>0</v>
      </c>
      <c r="R23" s="79">
        <f t="shared" si="3"/>
        <v>0</v>
      </c>
      <c r="S23" s="49"/>
      <c r="T23" s="84"/>
      <c r="U23" s="81">
        <v>0</v>
      </c>
      <c r="V23" s="79">
        <v>0</v>
      </c>
      <c r="W23" s="49"/>
      <c r="X23" s="84"/>
      <c r="Y23" s="81">
        <v>0</v>
      </c>
      <c r="Z23" s="79">
        <v>0</v>
      </c>
      <c r="AA23" s="49"/>
      <c r="AB23" s="84"/>
      <c r="AC23" s="81">
        <v>0</v>
      </c>
      <c r="AD23" s="79">
        <v>0</v>
      </c>
      <c r="AE23" s="49"/>
      <c r="AF23" s="84"/>
      <c r="AG23" s="81">
        <f t="shared" si="23"/>
        <v>0</v>
      </c>
      <c r="AH23" s="79">
        <f t="shared" si="4"/>
        <v>0</v>
      </c>
      <c r="AI23" s="48"/>
      <c r="AJ23" s="84"/>
      <c r="AK23" s="81">
        <f t="shared" si="5"/>
        <v>0</v>
      </c>
      <c r="AL23" s="79">
        <f t="shared" si="6"/>
        <v>0</v>
      </c>
      <c r="AM23" s="48"/>
      <c r="AN23" s="84"/>
      <c r="AO23" s="81">
        <f t="shared" si="7"/>
        <v>0</v>
      </c>
      <c r="AP23" s="79">
        <f t="shared" si="8"/>
        <v>0</v>
      </c>
      <c r="AQ23" s="48"/>
      <c r="AR23" s="84"/>
      <c r="AS23" s="81">
        <f t="shared" si="9"/>
        <v>0</v>
      </c>
      <c r="AT23" s="79">
        <f t="shared" si="10"/>
        <v>0</v>
      </c>
      <c r="AU23" s="49"/>
      <c r="AV23" s="84"/>
      <c r="AW23" s="81">
        <v>0</v>
      </c>
      <c r="AX23" s="79">
        <v>0</v>
      </c>
      <c r="AY23" s="49"/>
      <c r="AZ23" s="84"/>
      <c r="BA23" s="81">
        <v>0</v>
      </c>
      <c r="BB23" s="79">
        <v>0</v>
      </c>
      <c r="BC23" s="49"/>
      <c r="BD23" s="84"/>
      <c r="BE23" s="81">
        <v>0</v>
      </c>
      <c r="BF23" s="79">
        <v>0</v>
      </c>
      <c r="BG23" s="49"/>
      <c r="BH23" s="84"/>
      <c r="BI23" s="81">
        <v>0</v>
      </c>
      <c r="BJ23" s="79">
        <v>0</v>
      </c>
      <c r="BK23" s="49"/>
      <c r="BL23" s="84"/>
      <c r="BM23" s="81">
        <v>0</v>
      </c>
      <c r="BN23" s="79">
        <v>0</v>
      </c>
      <c r="BO23" s="49"/>
      <c r="BP23" s="84"/>
      <c r="BQ23" s="81">
        <v>0</v>
      </c>
      <c r="BR23" s="79">
        <v>0</v>
      </c>
      <c r="BS23" s="49"/>
      <c r="BT23" s="84"/>
      <c r="BU23" s="81">
        <f t="shared" si="11"/>
        <v>0</v>
      </c>
      <c r="BV23" s="79">
        <f t="shared" si="12"/>
        <v>0</v>
      </c>
      <c r="BW23" s="48"/>
      <c r="BX23" s="84"/>
      <c r="BY23" s="81">
        <f t="shared" si="13"/>
        <v>0</v>
      </c>
      <c r="BZ23" s="79">
        <f t="shared" si="14"/>
        <v>0</v>
      </c>
      <c r="CA23" s="48"/>
      <c r="CB23" s="84"/>
      <c r="CC23" s="81">
        <v>0</v>
      </c>
      <c r="CD23" s="79">
        <v>0</v>
      </c>
      <c r="CE23" s="49"/>
      <c r="CF23" s="84"/>
      <c r="CG23" s="81">
        <f t="shared" si="15"/>
        <v>0</v>
      </c>
      <c r="CH23" s="79">
        <f t="shared" si="16"/>
        <v>0</v>
      </c>
      <c r="CI23" s="33"/>
      <c r="CJ23" s="84"/>
      <c r="CK23" s="81">
        <f t="shared" si="17"/>
        <v>0</v>
      </c>
      <c r="CL23" s="79">
        <f t="shared" si="18"/>
        <v>0</v>
      </c>
      <c r="CM23" s="34"/>
      <c r="CN23" s="34"/>
      <c r="CO23" s="34"/>
      <c r="CP23" s="34"/>
      <c r="CQ23" s="50">
        <f t="shared" si="19"/>
        <v>1</v>
      </c>
      <c r="CR23" s="77">
        <f t="shared" si="20"/>
        <v>0</v>
      </c>
      <c r="CS23" s="28"/>
    </row>
    <row r="24" spans="1:97" s="1" customFormat="1">
      <c r="A24" s="30" t="s">
        <v>131</v>
      </c>
      <c r="B24" s="47"/>
      <c r="C24" s="31" t="s">
        <v>121</v>
      </c>
      <c r="D24" s="32"/>
      <c r="E24" s="32"/>
      <c r="F24" s="87"/>
      <c r="G24" s="48"/>
      <c r="H24" s="84"/>
      <c r="I24" s="80">
        <f t="shared" si="21"/>
        <v>0</v>
      </c>
      <c r="J24" s="79">
        <f t="shared" si="22"/>
        <v>0</v>
      </c>
      <c r="K24" s="49"/>
      <c r="L24" s="84"/>
      <c r="M24" s="81">
        <f t="shared" si="0"/>
        <v>0</v>
      </c>
      <c r="N24" s="79">
        <f t="shared" si="1"/>
        <v>0</v>
      </c>
      <c r="O24" s="48">
        <v>960</v>
      </c>
      <c r="P24" s="84"/>
      <c r="Q24" s="81">
        <f t="shared" si="2"/>
        <v>0</v>
      </c>
      <c r="R24" s="79">
        <f t="shared" si="3"/>
        <v>0</v>
      </c>
      <c r="S24" s="49"/>
      <c r="T24" s="84"/>
      <c r="U24" s="81">
        <v>0</v>
      </c>
      <c r="V24" s="79">
        <v>0</v>
      </c>
      <c r="W24" s="49"/>
      <c r="X24" s="84"/>
      <c r="Y24" s="81">
        <v>0</v>
      </c>
      <c r="Z24" s="79">
        <v>0</v>
      </c>
      <c r="AA24" s="49"/>
      <c r="AB24" s="84"/>
      <c r="AC24" s="81">
        <v>0</v>
      </c>
      <c r="AD24" s="79">
        <v>0</v>
      </c>
      <c r="AE24" s="49"/>
      <c r="AF24" s="84"/>
      <c r="AG24" s="81">
        <f t="shared" si="23"/>
        <v>0</v>
      </c>
      <c r="AH24" s="79">
        <f t="shared" si="4"/>
        <v>0</v>
      </c>
      <c r="AI24" s="48"/>
      <c r="AJ24" s="84"/>
      <c r="AK24" s="81">
        <f t="shared" si="5"/>
        <v>0</v>
      </c>
      <c r="AL24" s="79">
        <f t="shared" si="6"/>
        <v>0</v>
      </c>
      <c r="AM24" s="48"/>
      <c r="AN24" s="84"/>
      <c r="AO24" s="81">
        <f t="shared" si="7"/>
        <v>0</v>
      </c>
      <c r="AP24" s="79">
        <f t="shared" si="8"/>
        <v>0</v>
      </c>
      <c r="AQ24" s="48"/>
      <c r="AR24" s="84"/>
      <c r="AS24" s="81">
        <f t="shared" si="9"/>
        <v>0</v>
      </c>
      <c r="AT24" s="79">
        <f t="shared" si="10"/>
        <v>0</v>
      </c>
      <c r="AU24" s="49"/>
      <c r="AV24" s="84"/>
      <c r="AW24" s="81">
        <v>0</v>
      </c>
      <c r="AX24" s="79">
        <v>0</v>
      </c>
      <c r="AY24" s="49"/>
      <c r="AZ24" s="84"/>
      <c r="BA24" s="81">
        <v>0</v>
      </c>
      <c r="BB24" s="79">
        <v>0</v>
      </c>
      <c r="BC24" s="49"/>
      <c r="BD24" s="84"/>
      <c r="BE24" s="81">
        <v>0</v>
      </c>
      <c r="BF24" s="79">
        <v>0</v>
      </c>
      <c r="BG24" s="49"/>
      <c r="BH24" s="84"/>
      <c r="BI24" s="81">
        <v>0</v>
      </c>
      <c r="BJ24" s="79">
        <v>0</v>
      </c>
      <c r="BK24" s="49"/>
      <c r="BL24" s="84"/>
      <c r="BM24" s="81">
        <v>0</v>
      </c>
      <c r="BN24" s="79">
        <v>0</v>
      </c>
      <c r="BO24" s="49"/>
      <c r="BP24" s="84"/>
      <c r="BQ24" s="81">
        <v>0</v>
      </c>
      <c r="BR24" s="79">
        <v>0</v>
      </c>
      <c r="BS24" s="49"/>
      <c r="BT24" s="84"/>
      <c r="BU24" s="81">
        <f t="shared" si="11"/>
        <v>0</v>
      </c>
      <c r="BV24" s="79">
        <f t="shared" si="12"/>
        <v>0</v>
      </c>
      <c r="BW24" s="48"/>
      <c r="BX24" s="84"/>
      <c r="BY24" s="81">
        <f t="shared" si="13"/>
        <v>0</v>
      </c>
      <c r="BZ24" s="79">
        <f t="shared" si="14"/>
        <v>0</v>
      </c>
      <c r="CA24" s="48"/>
      <c r="CB24" s="84"/>
      <c r="CC24" s="81">
        <v>0</v>
      </c>
      <c r="CD24" s="79">
        <v>0</v>
      </c>
      <c r="CE24" s="49"/>
      <c r="CF24" s="84"/>
      <c r="CG24" s="81">
        <f t="shared" si="15"/>
        <v>0</v>
      </c>
      <c r="CH24" s="79">
        <f t="shared" si="16"/>
        <v>0</v>
      </c>
      <c r="CI24" s="33"/>
      <c r="CJ24" s="84"/>
      <c r="CK24" s="81">
        <f t="shared" si="17"/>
        <v>0</v>
      </c>
      <c r="CL24" s="79">
        <f t="shared" si="18"/>
        <v>0</v>
      </c>
      <c r="CM24" s="34"/>
      <c r="CN24" s="34"/>
      <c r="CO24" s="34"/>
      <c r="CP24" s="34"/>
      <c r="CQ24" s="50">
        <f t="shared" si="19"/>
        <v>1</v>
      </c>
      <c r="CR24" s="77">
        <f t="shared" si="20"/>
        <v>0</v>
      </c>
      <c r="CS24" s="28"/>
    </row>
    <row r="25" spans="1:97" s="1" customFormat="1">
      <c r="A25" s="30" t="s">
        <v>131</v>
      </c>
      <c r="B25" s="47"/>
      <c r="C25" s="31" t="s">
        <v>123</v>
      </c>
      <c r="D25" s="32"/>
      <c r="E25" s="32"/>
      <c r="F25" s="87"/>
      <c r="G25" s="48"/>
      <c r="H25" s="84"/>
      <c r="I25" s="80">
        <f t="shared" si="21"/>
        <v>0</v>
      </c>
      <c r="J25" s="79">
        <f t="shared" si="22"/>
        <v>0</v>
      </c>
      <c r="K25" s="49"/>
      <c r="L25" s="84"/>
      <c r="M25" s="81">
        <f t="shared" si="0"/>
        <v>0</v>
      </c>
      <c r="N25" s="79">
        <f t="shared" si="1"/>
        <v>0</v>
      </c>
      <c r="O25" s="48">
        <v>1920</v>
      </c>
      <c r="P25" s="84"/>
      <c r="Q25" s="81">
        <f t="shared" si="2"/>
        <v>0</v>
      </c>
      <c r="R25" s="79">
        <f t="shared" si="3"/>
        <v>0</v>
      </c>
      <c r="S25" s="49"/>
      <c r="T25" s="84"/>
      <c r="U25" s="81">
        <v>0</v>
      </c>
      <c r="V25" s="79">
        <v>0</v>
      </c>
      <c r="W25" s="49"/>
      <c r="X25" s="84"/>
      <c r="Y25" s="81">
        <v>0</v>
      </c>
      <c r="Z25" s="79">
        <v>0</v>
      </c>
      <c r="AA25" s="49"/>
      <c r="AB25" s="84"/>
      <c r="AC25" s="81">
        <v>0</v>
      </c>
      <c r="AD25" s="79">
        <v>0</v>
      </c>
      <c r="AE25" s="49"/>
      <c r="AF25" s="84"/>
      <c r="AG25" s="81">
        <f t="shared" si="23"/>
        <v>0</v>
      </c>
      <c r="AH25" s="79">
        <f t="shared" si="4"/>
        <v>0</v>
      </c>
      <c r="AI25" s="48"/>
      <c r="AJ25" s="84"/>
      <c r="AK25" s="81">
        <f t="shared" si="5"/>
        <v>0</v>
      </c>
      <c r="AL25" s="79">
        <f t="shared" si="6"/>
        <v>0</v>
      </c>
      <c r="AM25" s="48"/>
      <c r="AN25" s="84"/>
      <c r="AO25" s="81">
        <f t="shared" si="7"/>
        <v>0</v>
      </c>
      <c r="AP25" s="79">
        <f t="shared" si="8"/>
        <v>0</v>
      </c>
      <c r="AQ25" s="48"/>
      <c r="AR25" s="84"/>
      <c r="AS25" s="81">
        <f t="shared" si="9"/>
        <v>0</v>
      </c>
      <c r="AT25" s="79">
        <f t="shared" si="10"/>
        <v>0</v>
      </c>
      <c r="AU25" s="49"/>
      <c r="AV25" s="84"/>
      <c r="AW25" s="81">
        <v>0</v>
      </c>
      <c r="AX25" s="79">
        <v>0</v>
      </c>
      <c r="AY25" s="49"/>
      <c r="AZ25" s="84"/>
      <c r="BA25" s="81">
        <v>0</v>
      </c>
      <c r="BB25" s="79">
        <v>0</v>
      </c>
      <c r="BC25" s="49"/>
      <c r="BD25" s="84"/>
      <c r="BE25" s="81">
        <v>0</v>
      </c>
      <c r="BF25" s="79">
        <v>0</v>
      </c>
      <c r="BG25" s="49"/>
      <c r="BH25" s="84"/>
      <c r="BI25" s="81">
        <v>0</v>
      </c>
      <c r="BJ25" s="79">
        <v>0</v>
      </c>
      <c r="BK25" s="49"/>
      <c r="BL25" s="84"/>
      <c r="BM25" s="81">
        <v>0</v>
      </c>
      <c r="BN25" s="79">
        <v>0</v>
      </c>
      <c r="BO25" s="49"/>
      <c r="BP25" s="84"/>
      <c r="BQ25" s="81">
        <v>0</v>
      </c>
      <c r="BR25" s="79">
        <v>0</v>
      </c>
      <c r="BS25" s="49"/>
      <c r="BT25" s="84"/>
      <c r="BU25" s="81">
        <f t="shared" si="11"/>
        <v>0</v>
      </c>
      <c r="BV25" s="79">
        <f t="shared" si="12"/>
        <v>0</v>
      </c>
      <c r="BW25" s="48"/>
      <c r="BX25" s="84"/>
      <c r="BY25" s="81">
        <f t="shared" si="13"/>
        <v>0</v>
      </c>
      <c r="BZ25" s="79">
        <f t="shared" si="14"/>
        <v>0</v>
      </c>
      <c r="CA25" s="48"/>
      <c r="CB25" s="84"/>
      <c r="CC25" s="81">
        <v>0</v>
      </c>
      <c r="CD25" s="79">
        <v>0</v>
      </c>
      <c r="CE25" s="49"/>
      <c r="CF25" s="84"/>
      <c r="CG25" s="81">
        <f t="shared" si="15"/>
        <v>0</v>
      </c>
      <c r="CH25" s="79">
        <f t="shared" si="16"/>
        <v>0</v>
      </c>
      <c r="CI25" s="33"/>
      <c r="CJ25" s="84"/>
      <c r="CK25" s="81">
        <f t="shared" si="17"/>
        <v>0</v>
      </c>
      <c r="CL25" s="79">
        <f t="shared" si="18"/>
        <v>0</v>
      </c>
      <c r="CM25" s="34"/>
      <c r="CN25" s="34"/>
      <c r="CO25" s="34"/>
      <c r="CP25" s="34"/>
      <c r="CQ25" s="50">
        <f t="shared" si="19"/>
        <v>1</v>
      </c>
      <c r="CR25" s="77">
        <f t="shared" si="20"/>
        <v>0</v>
      </c>
      <c r="CS25" s="28"/>
    </row>
    <row r="26" spans="1:97" s="1" customFormat="1">
      <c r="A26" s="30" t="s">
        <v>132</v>
      </c>
      <c r="B26" s="47"/>
      <c r="C26" s="31" t="s">
        <v>123</v>
      </c>
      <c r="D26" s="32"/>
      <c r="E26" s="32"/>
      <c r="F26" s="87"/>
      <c r="G26" s="48"/>
      <c r="H26" s="84"/>
      <c r="I26" s="80">
        <f t="shared" si="21"/>
        <v>0</v>
      </c>
      <c r="J26" s="79">
        <f t="shared" si="22"/>
        <v>0</v>
      </c>
      <c r="K26" s="49"/>
      <c r="L26" s="84"/>
      <c r="M26" s="81">
        <f t="shared" si="0"/>
        <v>0</v>
      </c>
      <c r="N26" s="79">
        <f t="shared" si="1"/>
        <v>0</v>
      </c>
      <c r="O26" s="48"/>
      <c r="P26" s="84"/>
      <c r="Q26" s="81">
        <f t="shared" si="2"/>
        <v>0</v>
      </c>
      <c r="R26" s="79">
        <f t="shared" si="3"/>
        <v>0</v>
      </c>
      <c r="S26" s="49"/>
      <c r="T26" s="84"/>
      <c r="U26" s="81">
        <v>0</v>
      </c>
      <c r="V26" s="79">
        <v>0</v>
      </c>
      <c r="W26" s="49"/>
      <c r="X26" s="84"/>
      <c r="Y26" s="81">
        <v>0</v>
      </c>
      <c r="Z26" s="79">
        <v>0</v>
      </c>
      <c r="AA26" s="49"/>
      <c r="AB26" s="84"/>
      <c r="AC26" s="81">
        <v>0</v>
      </c>
      <c r="AD26" s="79">
        <v>0</v>
      </c>
      <c r="AE26" s="49"/>
      <c r="AF26" s="84"/>
      <c r="AG26" s="81">
        <f t="shared" si="23"/>
        <v>0</v>
      </c>
      <c r="AH26" s="79">
        <f t="shared" si="4"/>
        <v>0</v>
      </c>
      <c r="AI26" s="48"/>
      <c r="AJ26" s="84"/>
      <c r="AK26" s="81">
        <f t="shared" si="5"/>
        <v>0</v>
      </c>
      <c r="AL26" s="79">
        <f t="shared" si="6"/>
        <v>0</v>
      </c>
      <c r="AM26" s="48"/>
      <c r="AN26" s="84"/>
      <c r="AO26" s="81">
        <f t="shared" si="7"/>
        <v>0</v>
      </c>
      <c r="AP26" s="79">
        <f t="shared" si="8"/>
        <v>0</v>
      </c>
      <c r="AQ26" s="48"/>
      <c r="AR26" s="84"/>
      <c r="AS26" s="81">
        <f t="shared" si="9"/>
        <v>0</v>
      </c>
      <c r="AT26" s="79">
        <f t="shared" si="10"/>
        <v>0</v>
      </c>
      <c r="AU26" s="49"/>
      <c r="AV26" s="84"/>
      <c r="AW26" s="81">
        <v>0</v>
      </c>
      <c r="AX26" s="79">
        <v>0</v>
      </c>
      <c r="AY26" s="49"/>
      <c r="AZ26" s="84"/>
      <c r="BA26" s="81">
        <v>0</v>
      </c>
      <c r="BB26" s="79">
        <v>0</v>
      </c>
      <c r="BC26" s="49"/>
      <c r="BD26" s="84"/>
      <c r="BE26" s="81">
        <v>0</v>
      </c>
      <c r="BF26" s="79">
        <v>0</v>
      </c>
      <c r="BG26" s="49"/>
      <c r="BH26" s="84"/>
      <c r="BI26" s="81">
        <v>0</v>
      </c>
      <c r="BJ26" s="79">
        <v>0</v>
      </c>
      <c r="BK26" s="49"/>
      <c r="BL26" s="84"/>
      <c r="BM26" s="81">
        <v>0</v>
      </c>
      <c r="BN26" s="79">
        <v>0</v>
      </c>
      <c r="BO26" s="49"/>
      <c r="BP26" s="84"/>
      <c r="BQ26" s="81">
        <v>0</v>
      </c>
      <c r="BR26" s="79">
        <v>0</v>
      </c>
      <c r="BS26" s="49"/>
      <c r="BT26" s="84"/>
      <c r="BU26" s="81">
        <f t="shared" si="11"/>
        <v>0</v>
      </c>
      <c r="BV26" s="79">
        <f t="shared" si="12"/>
        <v>0</v>
      </c>
      <c r="BW26" s="48">
        <v>960</v>
      </c>
      <c r="BX26" s="84"/>
      <c r="BY26" s="81">
        <f t="shared" si="13"/>
        <v>0</v>
      </c>
      <c r="BZ26" s="79">
        <f t="shared" si="14"/>
        <v>0</v>
      </c>
      <c r="CA26" s="48"/>
      <c r="CB26" s="84"/>
      <c r="CC26" s="81">
        <v>0</v>
      </c>
      <c r="CD26" s="79">
        <v>0</v>
      </c>
      <c r="CE26" s="49"/>
      <c r="CF26" s="84"/>
      <c r="CG26" s="81">
        <f t="shared" si="15"/>
        <v>0</v>
      </c>
      <c r="CH26" s="79">
        <f t="shared" si="16"/>
        <v>0</v>
      </c>
      <c r="CI26" s="33"/>
      <c r="CJ26" s="84"/>
      <c r="CK26" s="81">
        <f t="shared" si="17"/>
        <v>0</v>
      </c>
      <c r="CL26" s="79">
        <f t="shared" si="18"/>
        <v>0</v>
      </c>
      <c r="CM26" s="34"/>
      <c r="CN26" s="34"/>
      <c r="CO26" s="34"/>
      <c r="CP26" s="34"/>
      <c r="CQ26" s="50">
        <f t="shared" si="19"/>
        <v>1</v>
      </c>
      <c r="CR26" s="77">
        <f t="shared" si="20"/>
        <v>0</v>
      </c>
      <c r="CS26" s="28"/>
    </row>
    <row r="27" spans="1:97" s="1" customFormat="1">
      <c r="A27" s="30" t="s">
        <v>133</v>
      </c>
      <c r="B27" s="47"/>
      <c r="C27" s="31" t="s">
        <v>123</v>
      </c>
      <c r="D27" s="32"/>
      <c r="E27" s="32"/>
      <c r="F27" s="87"/>
      <c r="G27" s="48"/>
      <c r="H27" s="84"/>
      <c r="I27" s="80">
        <f t="shared" si="21"/>
        <v>0</v>
      </c>
      <c r="J27" s="79">
        <f t="shared" si="22"/>
        <v>0</v>
      </c>
      <c r="K27" s="49"/>
      <c r="L27" s="84"/>
      <c r="M27" s="81">
        <v>87</v>
      </c>
      <c r="N27" s="79">
        <f t="shared" si="1"/>
        <v>0</v>
      </c>
      <c r="O27" s="48">
        <v>1920</v>
      </c>
      <c r="P27" s="84"/>
      <c r="Q27" s="81">
        <f t="shared" si="2"/>
        <v>0</v>
      </c>
      <c r="R27" s="79">
        <f t="shared" si="3"/>
        <v>0</v>
      </c>
      <c r="S27" s="49"/>
      <c r="T27" s="84"/>
      <c r="U27" s="81">
        <v>0</v>
      </c>
      <c r="V27" s="79">
        <v>0</v>
      </c>
      <c r="W27" s="49"/>
      <c r="X27" s="84"/>
      <c r="Y27" s="81">
        <v>0</v>
      </c>
      <c r="Z27" s="79">
        <v>0</v>
      </c>
      <c r="AA27" s="49"/>
      <c r="AB27" s="84"/>
      <c r="AC27" s="81">
        <v>0</v>
      </c>
      <c r="AD27" s="79">
        <v>0</v>
      </c>
      <c r="AE27" s="49"/>
      <c r="AF27" s="84"/>
      <c r="AG27" s="81">
        <f t="shared" si="23"/>
        <v>0</v>
      </c>
      <c r="AH27" s="79">
        <f t="shared" si="4"/>
        <v>0</v>
      </c>
      <c r="AI27" s="48"/>
      <c r="AJ27" s="84"/>
      <c r="AK27" s="81">
        <f t="shared" si="5"/>
        <v>0</v>
      </c>
      <c r="AL27" s="79">
        <f t="shared" si="6"/>
        <v>0</v>
      </c>
      <c r="AM27" s="48"/>
      <c r="AN27" s="84"/>
      <c r="AO27" s="81">
        <f t="shared" si="7"/>
        <v>0</v>
      </c>
      <c r="AP27" s="79">
        <f t="shared" si="8"/>
        <v>0</v>
      </c>
      <c r="AQ27" s="48"/>
      <c r="AR27" s="84"/>
      <c r="AS27" s="81">
        <f t="shared" si="9"/>
        <v>0</v>
      </c>
      <c r="AT27" s="79">
        <f t="shared" si="10"/>
        <v>0</v>
      </c>
      <c r="AU27" s="49"/>
      <c r="AV27" s="84"/>
      <c r="AW27" s="81">
        <v>0</v>
      </c>
      <c r="AX27" s="79">
        <v>0</v>
      </c>
      <c r="AY27" s="49"/>
      <c r="AZ27" s="84"/>
      <c r="BA27" s="81">
        <v>0</v>
      </c>
      <c r="BB27" s="79">
        <v>0</v>
      </c>
      <c r="BC27" s="49"/>
      <c r="BD27" s="84"/>
      <c r="BE27" s="81">
        <v>0</v>
      </c>
      <c r="BF27" s="79">
        <v>0</v>
      </c>
      <c r="BG27" s="49"/>
      <c r="BH27" s="84"/>
      <c r="BI27" s="81">
        <v>0</v>
      </c>
      <c r="BJ27" s="79">
        <v>0</v>
      </c>
      <c r="BK27" s="49"/>
      <c r="BL27" s="84"/>
      <c r="BM27" s="81">
        <v>0</v>
      </c>
      <c r="BN27" s="79">
        <v>0</v>
      </c>
      <c r="BO27" s="49"/>
      <c r="BP27" s="84"/>
      <c r="BQ27" s="81">
        <v>0</v>
      </c>
      <c r="BR27" s="79">
        <v>0</v>
      </c>
      <c r="BS27" s="49"/>
      <c r="BT27" s="84"/>
      <c r="BU27" s="81">
        <f t="shared" si="11"/>
        <v>0</v>
      </c>
      <c r="BV27" s="79">
        <f t="shared" si="12"/>
        <v>0</v>
      </c>
      <c r="BW27" s="48"/>
      <c r="BX27" s="84"/>
      <c r="BY27" s="81">
        <f t="shared" si="13"/>
        <v>0</v>
      </c>
      <c r="BZ27" s="79">
        <f t="shared" si="14"/>
        <v>0</v>
      </c>
      <c r="CA27" s="48"/>
      <c r="CB27" s="84"/>
      <c r="CC27" s="81">
        <v>0</v>
      </c>
      <c r="CD27" s="79">
        <v>0</v>
      </c>
      <c r="CE27" s="49"/>
      <c r="CF27" s="84"/>
      <c r="CG27" s="81">
        <f t="shared" si="15"/>
        <v>0</v>
      </c>
      <c r="CH27" s="79">
        <f t="shared" si="16"/>
        <v>0</v>
      </c>
      <c r="CI27" s="33"/>
      <c r="CJ27" s="84"/>
      <c r="CK27" s="81">
        <f t="shared" si="17"/>
        <v>0</v>
      </c>
      <c r="CL27" s="79">
        <f t="shared" si="18"/>
        <v>0</v>
      </c>
      <c r="CM27" s="34"/>
      <c r="CN27" s="34"/>
      <c r="CO27" s="34"/>
      <c r="CP27" s="34"/>
      <c r="CQ27" s="50">
        <f t="shared" si="19"/>
        <v>1</v>
      </c>
      <c r="CR27" s="77">
        <f t="shared" si="20"/>
        <v>0</v>
      </c>
      <c r="CS27" s="28"/>
    </row>
    <row r="28" spans="1:97" s="1" customFormat="1">
      <c r="A28" s="30" t="s">
        <v>134</v>
      </c>
      <c r="B28" s="47"/>
      <c r="C28" s="36" t="s">
        <v>123</v>
      </c>
      <c r="D28" s="32"/>
      <c r="E28" s="32"/>
      <c r="F28" s="87"/>
      <c r="G28" s="48"/>
      <c r="H28" s="84"/>
      <c r="I28" s="80">
        <f t="shared" si="21"/>
        <v>0</v>
      </c>
      <c r="J28" s="79">
        <f t="shared" si="22"/>
        <v>0</v>
      </c>
      <c r="K28" s="48">
        <v>960</v>
      </c>
      <c r="L28" s="84"/>
      <c r="M28" s="81">
        <f t="shared" ref="M28:M59" si="24">L28*CQ28</f>
        <v>0</v>
      </c>
      <c r="N28" s="79">
        <f t="shared" si="1"/>
        <v>0</v>
      </c>
      <c r="O28" s="48"/>
      <c r="P28" s="84"/>
      <c r="Q28" s="81">
        <f t="shared" si="2"/>
        <v>0</v>
      </c>
      <c r="R28" s="79">
        <f t="shared" si="3"/>
        <v>0</v>
      </c>
      <c r="S28" s="49"/>
      <c r="T28" s="84"/>
      <c r="U28" s="81">
        <v>0</v>
      </c>
      <c r="V28" s="79">
        <v>0</v>
      </c>
      <c r="W28" s="49"/>
      <c r="X28" s="84"/>
      <c r="Y28" s="81">
        <v>0</v>
      </c>
      <c r="Z28" s="79">
        <v>0</v>
      </c>
      <c r="AA28" s="49"/>
      <c r="AB28" s="84"/>
      <c r="AC28" s="81">
        <v>0</v>
      </c>
      <c r="AD28" s="79">
        <v>0</v>
      </c>
      <c r="AE28" s="49"/>
      <c r="AF28" s="84"/>
      <c r="AG28" s="81">
        <f t="shared" si="23"/>
        <v>0</v>
      </c>
      <c r="AH28" s="79">
        <f t="shared" si="4"/>
        <v>0</v>
      </c>
      <c r="AI28" s="48"/>
      <c r="AJ28" s="84"/>
      <c r="AK28" s="81">
        <f t="shared" si="5"/>
        <v>0</v>
      </c>
      <c r="AL28" s="79">
        <f t="shared" si="6"/>
        <v>0</v>
      </c>
      <c r="AM28" s="48"/>
      <c r="AN28" s="84"/>
      <c r="AO28" s="81">
        <f t="shared" si="7"/>
        <v>0</v>
      </c>
      <c r="AP28" s="79">
        <f t="shared" si="8"/>
        <v>0</v>
      </c>
      <c r="AQ28" s="48"/>
      <c r="AR28" s="84"/>
      <c r="AS28" s="81">
        <f t="shared" si="9"/>
        <v>0</v>
      </c>
      <c r="AT28" s="79">
        <f t="shared" si="10"/>
        <v>0</v>
      </c>
      <c r="AU28" s="49"/>
      <c r="AV28" s="84"/>
      <c r="AW28" s="81">
        <v>0</v>
      </c>
      <c r="AX28" s="79">
        <v>0</v>
      </c>
      <c r="AY28" s="49"/>
      <c r="AZ28" s="84"/>
      <c r="BA28" s="81">
        <v>0</v>
      </c>
      <c r="BB28" s="79">
        <v>0</v>
      </c>
      <c r="BC28" s="49"/>
      <c r="BD28" s="84"/>
      <c r="BE28" s="81">
        <v>0</v>
      </c>
      <c r="BF28" s="79">
        <v>0</v>
      </c>
      <c r="BG28" s="49"/>
      <c r="BH28" s="84"/>
      <c r="BI28" s="81">
        <v>0</v>
      </c>
      <c r="BJ28" s="79">
        <v>0</v>
      </c>
      <c r="BK28" s="49"/>
      <c r="BL28" s="84"/>
      <c r="BM28" s="81">
        <v>0</v>
      </c>
      <c r="BN28" s="79">
        <v>0</v>
      </c>
      <c r="BO28" s="49"/>
      <c r="BP28" s="84"/>
      <c r="BQ28" s="81">
        <v>0</v>
      </c>
      <c r="BR28" s="79">
        <v>0</v>
      </c>
      <c r="BS28" s="49"/>
      <c r="BT28" s="84"/>
      <c r="BU28" s="81">
        <f t="shared" si="11"/>
        <v>0</v>
      </c>
      <c r="BV28" s="79">
        <f t="shared" si="12"/>
        <v>0</v>
      </c>
      <c r="BW28" s="48"/>
      <c r="BX28" s="84"/>
      <c r="BY28" s="81">
        <f t="shared" si="13"/>
        <v>0</v>
      </c>
      <c r="BZ28" s="79">
        <f t="shared" si="14"/>
        <v>0</v>
      </c>
      <c r="CA28" s="48"/>
      <c r="CB28" s="84"/>
      <c r="CC28" s="81">
        <v>0</v>
      </c>
      <c r="CD28" s="79">
        <v>0</v>
      </c>
      <c r="CE28" s="49"/>
      <c r="CF28" s="84"/>
      <c r="CG28" s="81">
        <f t="shared" si="15"/>
        <v>0</v>
      </c>
      <c r="CH28" s="79">
        <f t="shared" si="16"/>
        <v>0</v>
      </c>
      <c r="CI28" s="33"/>
      <c r="CJ28" s="84"/>
      <c r="CK28" s="81">
        <f t="shared" si="17"/>
        <v>0</v>
      </c>
      <c r="CL28" s="79">
        <f t="shared" si="18"/>
        <v>0</v>
      </c>
      <c r="CM28" s="34"/>
      <c r="CN28" s="34"/>
      <c r="CO28" s="34"/>
      <c r="CP28" s="34"/>
      <c r="CQ28" s="50">
        <f t="shared" si="19"/>
        <v>1</v>
      </c>
      <c r="CR28" s="77">
        <f t="shared" si="20"/>
        <v>0</v>
      </c>
      <c r="CS28" s="28"/>
    </row>
    <row r="29" spans="1:97" s="1" customFormat="1">
      <c r="A29" s="30" t="s">
        <v>135</v>
      </c>
      <c r="B29" s="47"/>
      <c r="C29" s="31" t="s">
        <v>121</v>
      </c>
      <c r="D29" s="32"/>
      <c r="E29" s="32"/>
      <c r="F29" s="87"/>
      <c r="G29" s="48"/>
      <c r="H29" s="84"/>
      <c r="I29" s="80">
        <f t="shared" si="21"/>
        <v>0</v>
      </c>
      <c r="J29" s="79">
        <f t="shared" si="22"/>
        <v>0</v>
      </c>
      <c r="K29" s="49"/>
      <c r="L29" s="84"/>
      <c r="M29" s="81">
        <f t="shared" si="24"/>
        <v>0</v>
      </c>
      <c r="N29" s="79">
        <f t="shared" si="1"/>
        <v>0</v>
      </c>
      <c r="O29" s="48">
        <v>960</v>
      </c>
      <c r="P29" s="84"/>
      <c r="Q29" s="81">
        <f t="shared" si="2"/>
        <v>0</v>
      </c>
      <c r="R29" s="79">
        <f t="shared" si="3"/>
        <v>0</v>
      </c>
      <c r="S29" s="49"/>
      <c r="T29" s="84"/>
      <c r="U29" s="81">
        <v>0</v>
      </c>
      <c r="V29" s="79">
        <v>0</v>
      </c>
      <c r="W29" s="49"/>
      <c r="X29" s="84"/>
      <c r="Y29" s="81">
        <v>0</v>
      </c>
      <c r="Z29" s="79">
        <v>0</v>
      </c>
      <c r="AA29" s="49"/>
      <c r="AB29" s="84"/>
      <c r="AC29" s="81">
        <v>0</v>
      </c>
      <c r="AD29" s="79">
        <v>0</v>
      </c>
      <c r="AE29" s="49"/>
      <c r="AF29" s="84"/>
      <c r="AG29" s="81">
        <f t="shared" si="23"/>
        <v>0</v>
      </c>
      <c r="AH29" s="79">
        <f t="shared" si="4"/>
        <v>0</v>
      </c>
      <c r="AI29" s="48"/>
      <c r="AJ29" s="84"/>
      <c r="AK29" s="81">
        <f t="shared" si="5"/>
        <v>0</v>
      </c>
      <c r="AL29" s="79">
        <f t="shared" si="6"/>
        <v>0</v>
      </c>
      <c r="AM29" s="48"/>
      <c r="AN29" s="84"/>
      <c r="AO29" s="81">
        <f t="shared" si="7"/>
        <v>0</v>
      </c>
      <c r="AP29" s="79">
        <f t="shared" si="8"/>
        <v>0</v>
      </c>
      <c r="AQ29" s="48"/>
      <c r="AR29" s="84"/>
      <c r="AS29" s="81">
        <f t="shared" si="9"/>
        <v>0</v>
      </c>
      <c r="AT29" s="79">
        <f t="shared" si="10"/>
        <v>0</v>
      </c>
      <c r="AU29" s="49"/>
      <c r="AV29" s="84"/>
      <c r="AW29" s="81">
        <v>0</v>
      </c>
      <c r="AX29" s="79">
        <v>0</v>
      </c>
      <c r="AY29" s="49"/>
      <c r="AZ29" s="84"/>
      <c r="BA29" s="81">
        <v>0</v>
      </c>
      <c r="BB29" s="79">
        <v>0</v>
      </c>
      <c r="BC29" s="49"/>
      <c r="BD29" s="84"/>
      <c r="BE29" s="81">
        <v>0</v>
      </c>
      <c r="BF29" s="79">
        <v>0</v>
      </c>
      <c r="BG29" s="49"/>
      <c r="BH29" s="84"/>
      <c r="BI29" s="81">
        <v>0</v>
      </c>
      <c r="BJ29" s="79">
        <v>0</v>
      </c>
      <c r="BK29" s="49"/>
      <c r="BL29" s="84"/>
      <c r="BM29" s="81">
        <v>0</v>
      </c>
      <c r="BN29" s="79">
        <v>0</v>
      </c>
      <c r="BO29" s="49"/>
      <c r="BP29" s="84"/>
      <c r="BQ29" s="81">
        <v>0</v>
      </c>
      <c r="BR29" s="79">
        <v>0</v>
      </c>
      <c r="BS29" s="49"/>
      <c r="BT29" s="84"/>
      <c r="BU29" s="81">
        <f t="shared" si="11"/>
        <v>0</v>
      </c>
      <c r="BV29" s="79">
        <f t="shared" si="12"/>
        <v>0</v>
      </c>
      <c r="BW29" s="48"/>
      <c r="BX29" s="84"/>
      <c r="BY29" s="81">
        <f t="shared" si="13"/>
        <v>0</v>
      </c>
      <c r="BZ29" s="79">
        <f t="shared" si="14"/>
        <v>0</v>
      </c>
      <c r="CA29" s="48"/>
      <c r="CB29" s="84"/>
      <c r="CC29" s="81">
        <v>0</v>
      </c>
      <c r="CD29" s="79">
        <v>0</v>
      </c>
      <c r="CE29" s="49"/>
      <c r="CF29" s="84"/>
      <c r="CG29" s="81">
        <f t="shared" si="15"/>
        <v>0</v>
      </c>
      <c r="CH29" s="79">
        <f t="shared" si="16"/>
        <v>0</v>
      </c>
      <c r="CI29" s="33"/>
      <c r="CJ29" s="84"/>
      <c r="CK29" s="81">
        <f t="shared" si="17"/>
        <v>0</v>
      </c>
      <c r="CL29" s="79">
        <f t="shared" si="18"/>
        <v>0</v>
      </c>
      <c r="CM29" s="34"/>
      <c r="CN29" s="34"/>
      <c r="CO29" s="34"/>
      <c r="CP29" s="34"/>
      <c r="CQ29" s="50">
        <f t="shared" si="19"/>
        <v>1</v>
      </c>
      <c r="CR29" s="77">
        <f t="shared" si="20"/>
        <v>0</v>
      </c>
      <c r="CS29" s="28"/>
    </row>
    <row r="30" spans="1:97" s="1" customFormat="1">
      <c r="A30" s="30" t="s">
        <v>136</v>
      </c>
      <c r="B30" s="47"/>
      <c r="C30" s="31" t="s">
        <v>123</v>
      </c>
      <c r="D30" s="32"/>
      <c r="E30" s="32"/>
      <c r="F30" s="87"/>
      <c r="G30" s="48"/>
      <c r="H30" s="84"/>
      <c r="I30" s="80">
        <f t="shared" si="21"/>
        <v>0</v>
      </c>
      <c r="J30" s="79">
        <f t="shared" si="22"/>
        <v>0</v>
      </c>
      <c r="K30" s="49"/>
      <c r="L30" s="84"/>
      <c r="M30" s="81">
        <f t="shared" si="24"/>
        <v>0</v>
      </c>
      <c r="N30" s="79">
        <f t="shared" si="1"/>
        <v>0</v>
      </c>
      <c r="O30" s="48">
        <v>960</v>
      </c>
      <c r="P30" s="84"/>
      <c r="Q30" s="81">
        <f t="shared" si="2"/>
        <v>0</v>
      </c>
      <c r="R30" s="79">
        <f t="shared" si="3"/>
        <v>0</v>
      </c>
      <c r="S30" s="49"/>
      <c r="T30" s="84"/>
      <c r="U30" s="81">
        <v>0</v>
      </c>
      <c r="V30" s="79">
        <v>0</v>
      </c>
      <c r="W30" s="49"/>
      <c r="X30" s="84"/>
      <c r="Y30" s="81">
        <v>0</v>
      </c>
      <c r="Z30" s="79">
        <v>0</v>
      </c>
      <c r="AA30" s="49"/>
      <c r="AB30" s="84"/>
      <c r="AC30" s="81">
        <v>0</v>
      </c>
      <c r="AD30" s="79">
        <v>0</v>
      </c>
      <c r="AE30" s="49"/>
      <c r="AF30" s="84"/>
      <c r="AG30" s="81">
        <f t="shared" si="23"/>
        <v>0</v>
      </c>
      <c r="AH30" s="79">
        <f t="shared" si="4"/>
        <v>0</v>
      </c>
      <c r="AI30" s="48"/>
      <c r="AJ30" s="84"/>
      <c r="AK30" s="81">
        <f t="shared" si="5"/>
        <v>0</v>
      </c>
      <c r="AL30" s="79">
        <f t="shared" si="6"/>
        <v>0</v>
      </c>
      <c r="AM30" s="48"/>
      <c r="AN30" s="84"/>
      <c r="AO30" s="81">
        <f t="shared" si="7"/>
        <v>0</v>
      </c>
      <c r="AP30" s="79">
        <f t="shared" si="8"/>
        <v>0</v>
      </c>
      <c r="AQ30" s="48"/>
      <c r="AR30" s="84"/>
      <c r="AS30" s="81">
        <f t="shared" si="9"/>
        <v>0</v>
      </c>
      <c r="AT30" s="79">
        <f t="shared" si="10"/>
        <v>0</v>
      </c>
      <c r="AU30" s="49"/>
      <c r="AV30" s="84"/>
      <c r="AW30" s="81">
        <v>0</v>
      </c>
      <c r="AX30" s="79">
        <v>0</v>
      </c>
      <c r="AY30" s="49"/>
      <c r="AZ30" s="84"/>
      <c r="BA30" s="81">
        <v>0</v>
      </c>
      <c r="BB30" s="79">
        <v>0</v>
      </c>
      <c r="BC30" s="49"/>
      <c r="BD30" s="84"/>
      <c r="BE30" s="81">
        <v>0</v>
      </c>
      <c r="BF30" s="79">
        <v>0</v>
      </c>
      <c r="BG30" s="49"/>
      <c r="BH30" s="84"/>
      <c r="BI30" s="81">
        <v>0</v>
      </c>
      <c r="BJ30" s="79">
        <v>0</v>
      </c>
      <c r="BK30" s="49"/>
      <c r="BL30" s="84"/>
      <c r="BM30" s="81">
        <v>0</v>
      </c>
      <c r="BN30" s="79">
        <v>0</v>
      </c>
      <c r="BO30" s="49"/>
      <c r="BP30" s="84"/>
      <c r="BQ30" s="81">
        <v>0</v>
      </c>
      <c r="BR30" s="79">
        <v>0</v>
      </c>
      <c r="BS30" s="49"/>
      <c r="BT30" s="84"/>
      <c r="BU30" s="81">
        <f t="shared" si="11"/>
        <v>0</v>
      </c>
      <c r="BV30" s="79">
        <f t="shared" si="12"/>
        <v>0</v>
      </c>
      <c r="BW30" s="48"/>
      <c r="BX30" s="84"/>
      <c r="BY30" s="81">
        <f t="shared" si="13"/>
        <v>0</v>
      </c>
      <c r="BZ30" s="79">
        <f t="shared" si="14"/>
        <v>0</v>
      </c>
      <c r="CA30" s="48"/>
      <c r="CB30" s="84"/>
      <c r="CC30" s="81">
        <v>0</v>
      </c>
      <c r="CD30" s="79">
        <v>0</v>
      </c>
      <c r="CE30" s="49"/>
      <c r="CF30" s="84"/>
      <c r="CG30" s="81">
        <f t="shared" si="15"/>
        <v>0</v>
      </c>
      <c r="CH30" s="79">
        <f t="shared" si="16"/>
        <v>0</v>
      </c>
      <c r="CI30" s="33"/>
      <c r="CJ30" s="84"/>
      <c r="CK30" s="81">
        <f t="shared" si="17"/>
        <v>0</v>
      </c>
      <c r="CL30" s="79">
        <f t="shared" si="18"/>
        <v>0</v>
      </c>
      <c r="CM30" s="34"/>
      <c r="CN30" s="34"/>
      <c r="CO30" s="34"/>
      <c r="CP30" s="34"/>
      <c r="CQ30" s="50">
        <f t="shared" si="19"/>
        <v>1</v>
      </c>
      <c r="CR30" s="77">
        <f t="shared" si="20"/>
        <v>0</v>
      </c>
      <c r="CS30" s="28"/>
    </row>
    <row r="31" spans="1:97" s="1" customFormat="1">
      <c r="A31" s="30" t="s">
        <v>137</v>
      </c>
      <c r="B31" s="47"/>
      <c r="C31" s="31" t="s">
        <v>123</v>
      </c>
      <c r="D31" s="32"/>
      <c r="E31" s="32"/>
      <c r="F31" s="87"/>
      <c r="G31" s="48">
        <v>480</v>
      </c>
      <c r="H31" s="84"/>
      <c r="I31" s="80">
        <f t="shared" si="21"/>
        <v>0</v>
      </c>
      <c r="J31" s="79">
        <f t="shared" si="22"/>
        <v>0</v>
      </c>
      <c r="K31" s="49"/>
      <c r="L31" s="84"/>
      <c r="M31" s="81">
        <f t="shared" si="24"/>
        <v>0</v>
      </c>
      <c r="N31" s="79">
        <f t="shared" si="1"/>
        <v>0</v>
      </c>
      <c r="O31" s="48">
        <v>960</v>
      </c>
      <c r="P31" s="84"/>
      <c r="Q31" s="81">
        <f t="shared" si="2"/>
        <v>0</v>
      </c>
      <c r="R31" s="79">
        <f t="shared" si="3"/>
        <v>0</v>
      </c>
      <c r="S31" s="49"/>
      <c r="T31" s="84"/>
      <c r="U31" s="81">
        <v>0</v>
      </c>
      <c r="V31" s="79">
        <v>0</v>
      </c>
      <c r="W31" s="49"/>
      <c r="X31" s="84"/>
      <c r="Y31" s="81">
        <v>0</v>
      </c>
      <c r="Z31" s="79">
        <v>0</v>
      </c>
      <c r="AA31" s="49"/>
      <c r="AB31" s="84"/>
      <c r="AC31" s="81">
        <v>0</v>
      </c>
      <c r="AD31" s="79">
        <v>0</v>
      </c>
      <c r="AE31" s="49"/>
      <c r="AF31" s="84"/>
      <c r="AG31" s="81">
        <f t="shared" si="23"/>
        <v>0</v>
      </c>
      <c r="AH31" s="79">
        <f t="shared" si="4"/>
        <v>0</v>
      </c>
      <c r="AI31" s="48"/>
      <c r="AJ31" s="84"/>
      <c r="AK31" s="81">
        <f t="shared" si="5"/>
        <v>0</v>
      </c>
      <c r="AL31" s="79">
        <f t="shared" si="6"/>
        <v>0</v>
      </c>
      <c r="AM31" s="48"/>
      <c r="AN31" s="84"/>
      <c r="AO31" s="81">
        <f t="shared" si="7"/>
        <v>0</v>
      </c>
      <c r="AP31" s="79">
        <f t="shared" si="8"/>
        <v>0</v>
      </c>
      <c r="AQ31" s="48"/>
      <c r="AR31" s="84"/>
      <c r="AS31" s="81">
        <f t="shared" si="9"/>
        <v>0</v>
      </c>
      <c r="AT31" s="79">
        <f t="shared" si="10"/>
        <v>0</v>
      </c>
      <c r="AU31" s="49"/>
      <c r="AV31" s="84"/>
      <c r="AW31" s="81">
        <v>0</v>
      </c>
      <c r="AX31" s="79">
        <v>0</v>
      </c>
      <c r="AY31" s="49"/>
      <c r="AZ31" s="84"/>
      <c r="BA31" s="81">
        <v>0</v>
      </c>
      <c r="BB31" s="79">
        <v>0</v>
      </c>
      <c r="BC31" s="49"/>
      <c r="BD31" s="84"/>
      <c r="BE31" s="81">
        <v>0</v>
      </c>
      <c r="BF31" s="79">
        <v>0</v>
      </c>
      <c r="BG31" s="49"/>
      <c r="BH31" s="84"/>
      <c r="BI31" s="81">
        <v>0</v>
      </c>
      <c r="BJ31" s="79">
        <v>0</v>
      </c>
      <c r="BK31" s="49"/>
      <c r="BL31" s="84"/>
      <c r="BM31" s="81">
        <v>0</v>
      </c>
      <c r="BN31" s="79">
        <v>0</v>
      </c>
      <c r="BO31" s="49"/>
      <c r="BP31" s="84"/>
      <c r="BQ31" s="81">
        <v>0</v>
      </c>
      <c r="BR31" s="79">
        <v>0</v>
      </c>
      <c r="BS31" s="49"/>
      <c r="BT31" s="84"/>
      <c r="BU31" s="81">
        <f t="shared" si="11"/>
        <v>0</v>
      </c>
      <c r="BV31" s="79">
        <f t="shared" si="12"/>
        <v>0</v>
      </c>
      <c r="BW31" s="48"/>
      <c r="BX31" s="84"/>
      <c r="BY31" s="81">
        <f t="shared" si="13"/>
        <v>0</v>
      </c>
      <c r="BZ31" s="79">
        <f t="shared" si="14"/>
        <v>0</v>
      </c>
      <c r="CA31" s="48"/>
      <c r="CB31" s="84"/>
      <c r="CC31" s="81">
        <v>0</v>
      </c>
      <c r="CD31" s="79">
        <v>0</v>
      </c>
      <c r="CE31" s="49"/>
      <c r="CF31" s="84"/>
      <c r="CG31" s="81">
        <f t="shared" si="15"/>
        <v>0</v>
      </c>
      <c r="CH31" s="79">
        <f t="shared" si="16"/>
        <v>0</v>
      </c>
      <c r="CI31" s="33"/>
      <c r="CJ31" s="84"/>
      <c r="CK31" s="81">
        <f t="shared" si="17"/>
        <v>0</v>
      </c>
      <c r="CL31" s="79">
        <f t="shared" si="18"/>
        <v>0</v>
      </c>
      <c r="CM31" s="34"/>
      <c r="CN31" s="34"/>
      <c r="CO31" s="34"/>
      <c r="CP31" s="34"/>
      <c r="CQ31" s="50">
        <f t="shared" si="19"/>
        <v>1</v>
      </c>
      <c r="CR31" s="77">
        <f t="shared" si="20"/>
        <v>0</v>
      </c>
      <c r="CS31" s="28"/>
    </row>
    <row r="32" spans="1:97" s="1" customFormat="1">
      <c r="A32" s="30" t="s">
        <v>138</v>
      </c>
      <c r="B32" s="47"/>
      <c r="C32" s="31" t="s">
        <v>121</v>
      </c>
      <c r="D32" s="32"/>
      <c r="E32" s="32"/>
      <c r="F32" s="87"/>
      <c r="G32" s="48"/>
      <c r="H32" s="84"/>
      <c r="I32" s="80">
        <f t="shared" si="21"/>
        <v>0</v>
      </c>
      <c r="J32" s="79">
        <f t="shared" si="22"/>
        <v>0</v>
      </c>
      <c r="K32" s="49"/>
      <c r="L32" s="84"/>
      <c r="M32" s="81">
        <f t="shared" si="24"/>
        <v>0</v>
      </c>
      <c r="N32" s="79">
        <f t="shared" si="1"/>
        <v>0</v>
      </c>
      <c r="O32" s="48">
        <v>960</v>
      </c>
      <c r="P32" s="84"/>
      <c r="Q32" s="81">
        <f t="shared" si="2"/>
        <v>0</v>
      </c>
      <c r="R32" s="79">
        <f t="shared" si="3"/>
        <v>0</v>
      </c>
      <c r="S32" s="49"/>
      <c r="T32" s="84"/>
      <c r="U32" s="81">
        <v>0</v>
      </c>
      <c r="V32" s="79">
        <v>0</v>
      </c>
      <c r="W32" s="49"/>
      <c r="X32" s="84"/>
      <c r="Y32" s="81">
        <v>0</v>
      </c>
      <c r="Z32" s="79">
        <v>0</v>
      </c>
      <c r="AA32" s="49"/>
      <c r="AB32" s="84"/>
      <c r="AC32" s="81">
        <v>0</v>
      </c>
      <c r="AD32" s="79">
        <v>0</v>
      </c>
      <c r="AE32" s="49"/>
      <c r="AF32" s="84"/>
      <c r="AG32" s="81">
        <f t="shared" si="23"/>
        <v>0</v>
      </c>
      <c r="AH32" s="79">
        <f t="shared" si="4"/>
        <v>0</v>
      </c>
      <c r="AI32" s="48"/>
      <c r="AJ32" s="84"/>
      <c r="AK32" s="81">
        <f t="shared" si="5"/>
        <v>0</v>
      </c>
      <c r="AL32" s="79">
        <f t="shared" si="6"/>
        <v>0</v>
      </c>
      <c r="AM32" s="48"/>
      <c r="AN32" s="84"/>
      <c r="AO32" s="81">
        <f t="shared" si="7"/>
        <v>0</v>
      </c>
      <c r="AP32" s="79">
        <f t="shared" si="8"/>
        <v>0</v>
      </c>
      <c r="AQ32" s="48"/>
      <c r="AR32" s="84"/>
      <c r="AS32" s="81">
        <f t="shared" si="9"/>
        <v>0</v>
      </c>
      <c r="AT32" s="79">
        <f t="shared" si="10"/>
        <v>0</v>
      </c>
      <c r="AU32" s="49"/>
      <c r="AV32" s="84"/>
      <c r="AW32" s="81">
        <v>0</v>
      </c>
      <c r="AX32" s="79">
        <v>0</v>
      </c>
      <c r="AY32" s="49"/>
      <c r="AZ32" s="84"/>
      <c r="BA32" s="81">
        <v>0</v>
      </c>
      <c r="BB32" s="79">
        <v>0</v>
      </c>
      <c r="BC32" s="49"/>
      <c r="BD32" s="84"/>
      <c r="BE32" s="81">
        <v>0</v>
      </c>
      <c r="BF32" s="79">
        <v>0</v>
      </c>
      <c r="BG32" s="49"/>
      <c r="BH32" s="84"/>
      <c r="BI32" s="81">
        <v>0</v>
      </c>
      <c r="BJ32" s="79">
        <v>0</v>
      </c>
      <c r="BK32" s="49"/>
      <c r="BL32" s="84"/>
      <c r="BM32" s="81">
        <v>0</v>
      </c>
      <c r="BN32" s="79">
        <v>0</v>
      </c>
      <c r="BO32" s="49"/>
      <c r="BP32" s="84"/>
      <c r="BQ32" s="81">
        <v>0</v>
      </c>
      <c r="BR32" s="79">
        <v>0</v>
      </c>
      <c r="BS32" s="49"/>
      <c r="BT32" s="84"/>
      <c r="BU32" s="81">
        <f t="shared" si="11"/>
        <v>0</v>
      </c>
      <c r="BV32" s="79">
        <f t="shared" si="12"/>
        <v>0</v>
      </c>
      <c r="BW32" s="48"/>
      <c r="BX32" s="84"/>
      <c r="BY32" s="81">
        <f t="shared" si="13"/>
        <v>0</v>
      </c>
      <c r="BZ32" s="79">
        <f t="shared" si="14"/>
        <v>0</v>
      </c>
      <c r="CA32" s="48"/>
      <c r="CB32" s="84"/>
      <c r="CC32" s="81">
        <v>0</v>
      </c>
      <c r="CD32" s="79">
        <v>0</v>
      </c>
      <c r="CE32" s="49"/>
      <c r="CF32" s="84"/>
      <c r="CG32" s="81">
        <f t="shared" si="15"/>
        <v>0</v>
      </c>
      <c r="CH32" s="79">
        <f t="shared" si="16"/>
        <v>0</v>
      </c>
      <c r="CI32" s="33"/>
      <c r="CJ32" s="84"/>
      <c r="CK32" s="81">
        <f t="shared" si="17"/>
        <v>0</v>
      </c>
      <c r="CL32" s="79">
        <f t="shared" si="18"/>
        <v>0</v>
      </c>
      <c r="CM32" s="34"/>
      <c r="CN32" s="34"/>
      <c r="CO32" s="34"/>
      <c r="CP32" s="34"/>
      <c r="CQ32" s="50">
        <f t="shared" si="19"/>
        <v>1</v>
      </c>
      <c r="CR32" s="77">
        <f t="shared" si="20"/>
        <v>0</v>
      </c>
      <c r="CS32" s="28"/>
    </row>
    <row r="33" spans="1:97" s="1" customFormat="1">
      <c r="A33" s="30" t="s">
        <v>138</v>
      </c>
      <c r="B33" s="47"/>
      <c r="C33" s="31" t="s">
        <v>123</v>
      </c>
      <c r="D33" s="32"/>
      <c r="E33" s="32"/>
      <c r="F33" s="87"/>
      <c r="G33" s="48"/>
      <c r="H33" s="84"/>
      <c r="I33" s="80">
        <f t="shared" si="21"/>
        <v>0</v>
      </c>
      <c r="J33" s="79">
        <f t="shared" si="22"/>
        <v>0</v>
      </c>
      <c r="K33" s="49"/>
      <c r="L33" s="84"/>
      <c r="M33" s="81">
        <f t="shared" si="24"/>
        <v>0</v>
      </c>
      <c r="N33" s="79">
        <f t="shared" si="1"/>
        <v>0</v>
      </c>
      <c r="O33" s="48"/>
      <c r="P33" s="84"/>
      <c r="Q33" s="81">
        <f t="shared" si="2"/>
        <v>0</v>
      </c>
      <c r="R33" s="79">
        <f t="shared" si="3"/>
        <v>0</v>
      </c>
      <c r="S33" s="49"/>
      <c r="T33" s="84"/>
      <c r="U33" s="81">
        <v>0</v>
      </c>
      <c r="V33" s="79">
        <v>0</v>
      </c>
      <c r="W33" s="49"/>
      <c r="X33" s="84"/>
      <c r="Y33" s="81">
        <v>0</v>
      </c>
      <c r="Z33" s="79">
        <v>0</v>
      </c>
      <c r="AA33" s="49"/>
      <c r="AB33" s="84"/>
      <c r="AC33" s="81">
        <v>0</v>
      </c>
      <c r="AD33" s="79">
        <v>0</v>
      </c>
      <c r="AE33" s="49"/>
      <c r="AF33" s="84"/>
      <c r="AG33" s="81">
        <f t="shared" si="23"/>
        <v>0</v>
      </c>
      <c r="AH33" s="79">
        <f t="shared" si="4"/>
        <v>0</v>
      </c>
      <c r="AI33" s="48">
        <v>1920</v>
      </c>
      <c r="AJ33" s="84"/>
      <c r="AK33" s="81">
        <f t="shared" si="5"/>
        <v>0</v>
      </c>
      <c r="AL33" s="79">
        <f t="shared" si="6"/>
        <v>0</v>
      </c>
      <c r="AM33" s="48"/>
      <c r="AN33" s="84"/>
      <c r="AO33" s="81">
        <f t="shared" si="7"/>
        <v>0</v>
      </c>
      <c r="AP33" s="79">
        <f t="shared" si="8"/>
        <v>0</v>
      </c>
      <c r="AQ33" s="48"/>
      <c r="AR33" s="84"/>
      <c r="AS33" s="81">
        <f t="shared" si="9"/>
        <v>0</v>
      </c>
      <c r="AT33" s="79">
        <f t="shared" si="10"/>
        <v>0</v>
      </c>
      <c r="AU33" s="49"/>
      <c r="AV33" s="84"/>
      <c r="AW33" s="81">
        <v>0</v>
      </c>
      <c r="AX33" s="79">
        <v>0</v>
      </c>
      <c r="AY33" s="49"/>
      <c r="AZ33" s="84"/>
      <c r="BA33" s="81">
        <v>0</v>
      </c>
      <c r="BB33" s="79">
        <v>0</v>
      </c>
      <c r="BC33" s="49"/>
      <c r="BD33" s="84"/>
      <c r="BE33" s="81">
        <v>0</v>
      </c>
      <c r="BF33" s="79">
        <v>0</v>
      </c>
      <c r="BG33" s="49"/>
      <c r="BH33" s="84"/>
      <c r="BI33" s="81">
        <v>0</v>
      </c>
      <c r="BJ33" s="79">
        <v>0</v>
      </c>
      <c r="BK33" s="49"/>
      <c r="BL33" s="84"/>
      <c r="BM33" s="81">
        <v>0</v>
      </c>
      <c r="BN33" s="79">
        <v>0</v>
      </c>
      <c r="BO33" s="49"/>
      <c r="BP33" s="84"/>
      <c r="BQ33" s="81">
        <v>0</v>
      </c>
      <c r="BR33" s="79">
        <v>0</v>
      </c>
      <c r="BS33" s="49"/>
      <c r="BT33" s="84"/>
      <c r="BU33" s="81">
        <f t="shared" si="11"/>
        <v>0</v>
      </c>
      <c r="BV33" s="79">
        <f t="shared" si="12"/>
        <v>0</v>
      </c>
      <c r="BW33" s="48"/>
      <c r="BX33" s="84"/>
      <c r="BY33" s="81">
        <f t="shared" si="13"/>
        <v>0</v>
      </c>
      <c r="BZ33" s="79">
        <f t="shared" si="14"/>
        <v>0</v>
      </c>
      <c r="CA33" s="48"/>
      <c r="CB33" s="84"/>
      <c r="CC33" s="81">
        <v>0</v>
      </c>
      <c r="CD33" s="79">
        <v>0</v>
      </c>
      <c r="CE33" s="49"/>
      <c r="CF33" s="84"/>
      <c r="CG33" s="81">
        <f t="shared" si="15"/>
        <v>0</v>
      </c>
      <c r="CH33" s="79">
        <f t="shared" si="16"/>
        <v>0</v>
      </c>
      <c r="CI33" s="33"/>
      <c r="CJ33" s="84"/>
      <c r="CK33" s="81">
        <f t="shared" si="17"/>
        <v>0</v>
      </c>
      <c r="CL33" s="79">
        <f t="shared" si="18"/>
        <v>0</v>
      </c>
      <c r="CM33" s="34"/>
      <c r="CN33" s="34"/>
      <c r="CO33" s="34"/>
      <c r="CP33" s="34"/>
      <c r="CQ33" s="50">
        <f t="shared" si="19"/>
        <v>1</v>
      </c>
      <c r="CR33" s="77">
        <f t="shared" si="20"/>
        <v>0</v>
      </c>
      <c r="CS33" s="28"/>
    </row>
    <row r="34" spans="1:97" s="1" customFormat="1">
      <c r="A34" s="30" t="s">
        <v>139</v>
      </c>
      <c r="B34" s="47"/>
      <c r="C34" s="31" t="s">
        <v>140</v>
      </c>
      <c r="D34" s="32"/>
      <c r="E34" s="32"/>
      <c r="F34" s="87"/>
      <c r="G34" s="48">
        <v>960</v>
      </c>
      <c r="H34" s="84"/>
      <c r="I34" s="80">
        <f t="shared" si="21"/>
        <v>0</v>
      </c>
      <c r="J34" s="79">
        <f t="shared" si="22"/>
        <v>0</v>
      </c>
      <c r="K34" s="49"/>
      <c r="L34" s="84"/>
      <c r="M34" s="81">
        <f t="shared" si="24"/>
        <v>0</v>
      </c>
      <c r="N34" s="79">
        <f t="shared" si="1"/>
        <v>0</v>
      </c>
      <c r="O34" s="48"/>
      <c r="P34" s="84"/>
      <c r="Q34" s="81">
        <f t="shared" si="2"/>
        <v>0</v>
      </c>
      <c r="R34" s="79">
        <f t="shared" si="3"/>
        <v>0</v>
      </c>
      <c r="S34" s="49"/>
      <c r="T34" s="84"/>
      <c r="U34" s="81">
        <v>0</v>
      </c>
      <c r="V34" s="79">
        <v>0</v>
      </c>
      <c r="W34" s="49"/>
      <c r="X34" s="84"/>
      <c r="Y34" s="81">
        <v>0</v>
      </c>
      <c r="Z34" s="79">
        <v>0</v>
      </c>
      <c r="AA34" s="49"/>
      <c r="AB34" s="84"/>
      <c r="AC34" s="81">
        <v>0</v>
      </c>
      <c r="AD34" s="79">
        <v>0</v>
      </c>
      <c r="AE34" s="49"/>
      <c r="AF34" s="84"/>
      <c r="AG34" s="81">
        <f t="shared" si="23"/>
        <v>0</v>
      </c>
      <c r="AH34" s="79">
        <f t="shared" si="4"/>
        <v>0</v>
      </c>
      <c r="AI34" s="48"/>
      <c r="AJ34" s="84"/>
      <c r="AK34" s="81">
        <f t="shared" si="5"/>
        <v>0</v>
      </c>
      <c r="AL34" s="79">
        <f t="shared" si="6"/>
        <v>0</v>
      </c>
      <c r="AM34" s="48"/>
      <c r="AN34" s="84"/>
      <c r="AO34" s="81">
        <f t="shared" si="7"/>
        <v>0</v>
      </c>
      <c r="AP34" s="79">
        <f t="shared" si="8"/>
        <v>0</v>
      </c>
      <c r="AQ34" s="48"/>
      <c r="AR34" s="84"/>
      <c r="AS34" s="81">
        <f t="shared" si="9"/>
        <v>0</v>
      </c>
      <c r="AT34" s="79">
        <f t="shared" si="10"/>
        <v>0</v>
      </c>
      <c r="AU34" s="49"/>
      <c r="AV34" s="84"/>
      <c r="AW34" s="81">
        <v>0</v>
      </c>
      <c r="AX34" s="79">
        <v>0</v>
      </c>
      <c r="AY34" s="49"/>
      <c r="AZ34" s="84"/>
      <c r="BA34" s="81">
        <v>0</v>
      </c>
      <c r="BB34" s="79">
        <v>0</v>
      </c>
      <c r="BC34" s="49"/>
      <c r="BD34" s="84"/>
      <c r="BE34" s="81">
        <v>0</v>
      </c>
      <c r="BF34" s="79">
        <v>0</v>
      </c>
      <c r="BG34" s="49"/>
      <c r="BH34" s="84"/>
      <c r="BI34" s="81">
        <v>0</v>
      </c>
      <c r="BJ34" s="79">
        <v>0</v>
      </c>
      <c r="BK34" s="49"/>
      <c r="BL34" s="84"/>
      <c r="BM34" s="81">
        <v>0</v>
      </c>
      <c r="BN34" s="79">
        <v>0</v>
      </c>
      <c r="BO34" s="49"/>
      <c r="BP34" s="84"/>
      <c r="BQ34" s="81">
        <v>0</v>
      </c>
      <c r="BR34" s="79">
        <v>0</v>
      </c>
      <c r="BS34" s="49"/>
      <c r="BT34" s="84"/>
      <c r="BU34" s="81">
        <f t="shared" si="11"/>
        <v>0</v>
      </c>
      <c r="BV34" s="79">
        <f t="shared" si="12"/>
        <v>0</v>
      </c>
      <c r="BW34" s="48"/>
      <c r="BX34" s="84"/>
      <c r="BY34" s="81">
        <f t="shared" si="13"/>
        <v>0</v>
      </c>
      <c r="BZ34" s="79">
        <f t="shared" si="14"/>
        <v>0</v>
      </c>
      <c r="CA34" s="48"/>
      <c r="CB34" s="84"/>
      <c r="CC34" s="81">
        <v>0</v>
      </c>
      <c r="CD34" s="79">
        <v>0</v>
      </c>
      <c r="CE34" s="49"/>
      <c r="CF34" s="84"/>
      <c r="CG34" s="81">
        <f t="shared" si="15"/>
        <v>0</v>
      </c>
      <c r="CH34" s="79">
        <f t="shared" si="16"/>
        <v>0</v>
      </c>
      <c r="CI34" s="33"/>
      <c r="CJ34" s="84"/>
      <c r="CK34" s="81">
        <f t="shared" si="17"/>
        <v>0</v>
      </c>
      <c r="CL34" s="79">
        <f t="shared" si="18"/>
        <v>0</v>
      </c>
      <c r="CM34" s="34"/>
      <c r="CN34" s="34"/>
      <c r="CO34" s="34"/>
      <c r="CP34" s="34"/>
      <c r="CQ34" s="50">
        <f t="shared" si="19"/>
        <v>1</v>
      </c>
      <c r="CR34" s="77">
        <f t="shared" si="20"/>
        <v>0</v>
      </c>
      <c r="CS34" s="28"/>
    </row>
    <row r="35" spans="1:97" s="1" customFormat="1">
      <c r="A35" s="30" t="s">
        <v>141</v>
      </c>
      <c r="B35" s="47"/>
      <c r="C35" s="63" t="s">
        <v>120</v>
      </c>
      <c r="D35" s="32"/>
      <c r="E35" s="32"/>
      <c r="F35" s="87"/>
      <c r="G35" s="48"/>
      <c r="H35" s="84"/>
      <c r="I35" s="80">
        <f t="shared" si="21"/>
        <v>0</v>
      </c>
      <c r="J35" s="79">
        <f t="shared" si="22"/>
        <v>0</v>
      </c>
      <c r="K35" s="49">
        <v>5760</v>
      </c>
      <c r="L35" s="84"/>
      <c r="M35" s="81">
        <f t="shared" si="24"/>
        <v>0</v>
      </c>
      <c r="N35" s="79">
        <f t="shared" si="1"/>
        <v>0</v>
      </c>
      <c r="O35" s="48"/>
      <c r="P35" s="84"/>
      <c r="Q35" s="81">
        <f t="shared" si="2"/>
        <v>0</v>
      </c>
      <c r="R35" s="79">
        <f t="shared" si="3"/>
        <v>0</v>
      </c>
      <c r="S35" s="49"/>
      <c r="T35" s="84"/>
      <c r="U35" s="81">
        <v>0</v>
      </c>
      <c r="V35" s="79">
        <v>0</v>
      </c>
      <c r="W35" s="49"/>
      <c r="X35" s="84"/>
      <c r="Y35" s="81">
        <v>0</v>
      </c>
      <c r="Z35" s="79">
        <v>0</v>
      </c>
      <c r="AA35" s="49"/>
      <c r="AB35" s="84"/>
      <c r="AC35" s="81">
        <v>0</v>
      </c>
      <c r="AD35" s="79">
        <v>0</v>
      </c>
      <c r="AE35" s="49"/>
      <c r="AF35" s="84"/>
      <c r="AG35" s="81">
        <f t="shared" si="23"/>
        <v>0</v>
      </c>
      <c r="AH35" s="79">
        <f t="shared" si="4"/>
        <v>0</v>
      </c>
      <c r="AI35" s="48"/>
      <c r="AJ35" s="84"/>
      <c r="AK35" s="81">
        <f t="shared" si="5"/>
        <v>0</v>
      </c>
      <c r="AL35" s="79">
        <f t="shared" si="6"/>
        <v>0</v>
      </c>
      <c r="AM35" s="48">
        <v>960</v>
      </c>
      <c r="AN35" s="84"/>
      <c r="AO35" s="81">
        <f t="shared" si="7"/>
        <v>0</v>
      </c>
      <c r="AP35" s="79">
        <f t="shared" si="8"/>
        <v>0</v>
      </c>
      <c r="AQ35" s="48"/>
      <c r="AR35" s="84"/>
      <c r="AS35" s="81">
        <f t="shared" si="9"/>
        <v>0</v>
      </c>
      <c r="AT35" s="79">
        <f t="shared" si="10"/>
        <v>0</v>
      </c>
      <c r="AU35" s="49"/>
      <c r="AV35" s="84"/>
      <c r="AW35" s="81">
        <v>0</v>
      </c>
      <c r="AX35" s="79">
        <v>0</v>
      </c>
      <c r="AY35" s="49"/>
      <c r="AZ35" s="84"/>
      <c r="BA35" s="81">
        <v>0</v>
      </c>
      <c r="BB35" s="79">
        <v>0</v>
      </c>
      <c r="BC35" s="49"/>
      <c r="BD35" s="84"/>
      <c r="BE35" s="81">
        <v>0</v>
      </c>
      <c r="BF35" s="79">
        <v>0</v>
      </c>
      <c r="BG35" s="49"/>
      <c r="BH35" s="84"/>
      <c r="BI35" s="81">
        <v>0</v>
      </c>
      <c r="BJ35" s="79">
        <v>0</v>
      </c>
      <c r="BK35" s="49"/>
      <c r="BL35" s="84"/>
      <c r="BM35" s="81">
        <v>0</v>
      </c>
      <c r="BN35" s="79">
        <v>0</v>
      </c>
      <c r="BO35" s="49"/>
      <c r="BP35" s="84"/>
      <c r="BQ35" s="81">
        <v>0</v>
      </c>
      <c r="BR35" s="79">
        <v>0</v>
      </c>
      <c r="BS35" s="49"/>
      <c r="BT35" s="84"/>
      <c r="BU35" s="81">
        <f t="shared" si="11"/>
        <v>0</v>
      </c>
      <c r="BV35" s="79">
        <f t="shared" si="12"/>
        <v>0</v>
      </c>
      <c r="BW35" s="48"/>
      <c r="BX35" s="84"/>
      <c r="BY35" s="81">
        <f t="shared" si="13"/>
        <v>0</v>
      </c>
      <c r="BZ35" s="79">
        <f t="shared" si="14"/>
        <v>0</v>
      </c>
      <c r="CA35" s="48"/>
      <c r="CB35" s="84"/>
      <c r="CC35" s="81">
        <v>0</v>
      </c>
      <c r="CD35" s="79">
        <v>0</v>
      </c>
      <c r="CE35" s="49"/>
      <c r="CF35" s="84"/>
      <c r="CG35" s="81">
        <f t="shared" si="15"/>
        <v>0</v>
      </c>
      <c r="CH35" s="79">
        <f t="shared" si="16"/>
        <v>0</v>
      </c>
      <c r="CI35" s="33"/>
      <c r="CJ35" s="84"/>
      <c r="CK35" s="81">
        <f t="shared" si="17"/>
        <v>0</v>
      </c>
      <c r="CL35" s="79">
        <f t="shared" si="18"/>
        <v>0</v>
      </c>
      <c r="CM35" s="34"/>
      <c r="CN35" s="34"/>
      <c r="CO35" s="34"/>
      <c r="CP35" s="34"/>
      <c r="CQ35" s="50">
        <f t="shared" si="19"/>
        <v>1</v>
      </c>
      <c r="CR35" s="77">
        <f t="shared" si="20"/>
        <v>0</v>
      </c>
      <c r="CS35" s="28"/>
    </row>
    <row r="36" spans="1:97" s="1" customFormat="1">
      <c r="A36" s="30" t="s">
        <v>141</v>
      </c>
      <c r="B36" s="47"/>
      <c r="C36" s="31" t="s">
        <v>121</v>
      </c>
      <c r="D36" s="32"/>
      <c r="E36" s="32"/>
      <c r="F36" s="87"/>
      <c r="G36" s="48">
        <v>1920</v>
      </c>
      <c r="H36" s="84"/>
      <c r="I36" s="80">
        <f t="shared" si="21"/>
        <v>0</v>
      </c>
      <c r="J36" s="79">
        <f t="shared" si="22"/>
        <v>0</v>
      </c>
      <c r="K36" s="49"/>
      <c r="L36" s="84"/>
      <c r="M36" s="81">
        <f t="shared" si="24"/>
        <v>0</v>
      </c>
      <c r="N36" s="79">
        <f t="shared" si="1"/>
        <v>0</v>
      </c>
      <c r="O36" s="48"/>
      <c r="P36" s="84"/>
      <c r="Q36" s="81">
        <f t="shared" si="2"/>
        <v>0</v>
      </c>
      <c r="R36" s="79">
        <f t="shared" si="3"/>
        <v>0</v>
      </c>
      <c r="S36" s="49"/>
      <c r="T36" s="84"/>
      <c r="U36" s="81">
        <v>0</v>
      </c>
      <c r="V36" s="79">
        <v>0</v>
      </c>
      <c r="W36" s="49"/>
      <c r="X36" s="84"/>
      <c r="Y36" s="81">
        <v>0</v>
      </c>
      <c r="Z36" s="79">
        <v>0</v>
      </c>
      <c r="AA36" s="49"/>
      <c r="AB36" s="84"/>
      <c r="AC36" s="81">
        <v>0</v>
      </c>
      <c r="AD36" s="79">
        <v>0</v>
      </c>
      <c r="AE36" s="49"/>
      <c r="AF36" s="84"/>
      <c r="AG36" s="81">
        <f t="shared" si="23"/>
        <v>0</v>
      </c>
      <c r="AH36" s="79">
        <f t="shared" si="4"/>
        <v>0</v>
      </c>
      <c r="AI36" s="48">
        <v>1920</v>
      </c>
      <c r="AJ36" s="84"/>
      <c r="AK36" s="81">
        <f t="shared" si="5"/>
        <v>0</v>
      </c>
      <c r="AL36" s="79">
        <f t="shared" si="6"/>
        <v>0</v>
      </c>
      <c r="AM36" s="48"/>
      <c r="AN36" s="84"/>
      <c r="AO36" s="81">
        <f t="shared" si="7"/>
        <v>0</v>
      </c>
      <c r="AP36" s="79">
        <f t="shared" si="8"/>
        <v>0</v>
      </c>
      <c r="AQ36" s="48"/>
      <c r="AR36" s="84"/>
      <c r="AS36" s="81">
        <f t="shared" si="9"/>
        <v>0</v>
      </c>
      <c r="AT36" s="79">
        <f t="shared" si="10"/>
        <v>0</v>
      </c>
      <c r="AU36" s="49"/>
      <c r="AV36" s="84"/>
      <c r="AW36" s="81">
        <v>0</v>
      </c>
      <c r="AX36" s="79">
        <v>0</v>
      </c>
      <c r="AY36" s="49"/>
      <c r="AZ36" s="84"/>
      <c r="BA36" s="81">
        <v>0</v>
      </c>
      <c r="BB36" s="79">
        <v>0</v>
      </c>
      <c r="BC36" s="49"/>
      <c r="BD36" s="84"/>
      <c r="BE36" s="81">
        <v>0</v>
      </c>
      <c r="BF36" s="79">
        <v>0</v>
      </c>
      <c r="BG36" s="49"/>
      <c r="BH36" s="84"/>
      <c r="BI36" s="81">
        <v>0</v>
      </c>
      <c r="BJ36" s="79">
        <v>0</v>
      </c>
      <c r="BK36" s="49"/>
      <c r="BL36" s="84"/>
      <c r="BM36" s="81">
        <v>0</v>
      </c>
      <c r="BN36" s="79">
        <v>0</v>
      </c>
      <c r="BO36" s="49"/>
      <c r="BP36" s="84"/>
      <c r="BQ36" s="81">
        <v>0</v>
      </c>
      <c r="BR36" s="79">
        <v>0</v>
      </c>
      <c r="BS36" s="49"/>
      <c r="BT36" s="84"/>
      <c r="BU36" s="81">
        <f t="shared" si="11"/>
        <v>0</v>
      </c>
      <c r="BV36" s="79">
        <f t="shared" si="12"/>
        <v>0</v>
      </c>
      <c r="BW36" s="48"/>
      <c r="BX36" s="84"/>
      <c r="BY36" s="81">
        <f t="shared" si="13"/>
        <v>0</v>
      </c>
      <c r="BZ36" s="79">
        <f t="shared" si="14"/>
        <v>0</v>
      </c>
      <c r="CA36" s="48"/>
      <c r="CB36" s="84"/>
      <c r="CC36" s="81">
        <v>0</v>
      </c>
      <c r="CD36" s="79">
        <v>0</v>
      </c>
      <c r="CE36" s="49"/>
      <c r="CF36" s="84"/>
      <c r="CG36" s="81">
        <f t="shared" si="15"/>
        <v>0</v>
      </c>
      <c r="CH36" s="79">
        <f t="shared" si="16"/>
        <v>0</v>
      </c>
      <c r="CI36" s="33"/>
      <c r="CJ36" s="84"/>
      <c r="CK36" s="81">
        <f t="shared" si="17"/>
        <v>0</v>
      </c>
      <c r="CL36" s="79">
        <f t="shared" si="18"/>
        <v>0</v>
      </c>
      <c r="CM36" s="34"/>
      <c r="CN36" s="34"/>
      <c r="CO36" s="34"/>
      <c r="CP36" s="34"/>
      <c r="CQ36" s="50">
        <f t="shared" si="19"/>
        <v>1</v>
      </c>
      <c r="CR36" s="77">
        <f t="shared" si="20"/>
        <v>0</v>
      </c>
      <c r="CS36" s="28"/>
    </row>
    <row r="37" spans="1:97" s="1" customFormat="1">
      <c r="A37" s="30" t="s">
        <v>141</v>
      </c>
      <c r="B37" s="47"/>
      <c r="C37" s="36" t="s">
        <v>123</v>
      </c>
      <c r="D37" s="32"/>
      <c r="E37" s="32"/>
      <c r="F37" s="87"/>
      <c r="G37" s="48">
        <v>5760</v>
      </c>
      <c r="H37" s="84"/>
      <c r="I37" s="80">
        <f t="shared" si="21"/>
        <v>0</v>
      </c>
      <c r="J37" s="79">
        <f t="shared" si="22"/>
        <v>0</v>
      </c>
      <c r="K37" s="49">
        <v>960</v>
      </c>
      <c r="L37" s="84"/>
      <c r="M37" s="81">
        <f t="shared" si="24"/>
        <v>0</v>
      </c>
      <c r="N37" s="79">
        <f t="shared" si="1"/>
        <v>0</v>
      </c>
      <c r="O37" s="48"/>
      <c r="P37" s="84"/>
      <c r="Q37" s="81">
        <f t="shared" si="2"/>
        <v>0</v>
      </c>
      <c r="R37" s="79">
        <f t="shared" si="3"/>
        <v>0</v>
      </c>
      <c r="S37" s="49"/>
      <c r="T37" s="84"/>
      <c r="U37" s="81">
        <v>0</v>
      </c>
      <c r="V37" s="79">
        <v>0</v>
      </c>
      <c r="W37" s="49"/>
      <c r="X37" s="84"/>
      <c r="Y37" s="81">
        <v>0</v>
      </c>
      <c r="Z37" s="79">
        <v>0</v>
      </c>
      <c r="AA37" s="49"/>
      <c r="AB37" s="84"/>
      <c r="AC37" s="81">
        <v>0</v>
      </c>
      <c r="AD37" s="79">
        <v>0</v>
      </c>
      <c r="AE37" s="49"/>
      <c r="AF37" s="84"/>
      <c r="AG37" s="81">
        <f t="shared" si="23"/>
        <v>0</v>
      </c>
      <c r="AH37" s="79">
        <f t="shared" si="4"/>
        <v>0</v>
      </c>
      <c r="AI37" s="48">
        <v>1920</v>
      </c>
      <c r="AJ37" s="84"/>
      <c r="AK37" s="81">
        <f t="shared" si="5"/>
        <v>0</v>
      </c>
      <c r="AL37" s="79">
        <f t="shared" si="6"/>
        <v>0</v>
      </c>
      <c r="AM37" s="48"/>
      <c r="AN37" s="84"/>
      <c r="AO37" s="81">
        <f t="shared" si="7"/>
        <v>0</v>
      </c>
      <c r="AP37" s="79">
        <f t="shared" si="8"/>
        <v>0</v>
      </c>
      <c r="AQ37" s="48"/>
      <c r="AR37" s="84"/>
      <c r="AS37" s="81">
        <f t="shared" si="9"/>
        <v>0</v>
      </c>
      <c r="AT37" s="79">
        <f t="shared" si="10"/>
        <v>0</v>
      </c>
      <c r="AU37" s="49"/>
      <c r="AV37" s="84"/>
      <c r="AW37" s="81">
        <v>0</v>
      </c>
      <c r="AX37" s="79">
        <v>0</v>
      </c>
      <c r="AY37" s="49"/>
      <c r="AZ37" s="84"/>
      <c r="BA37" s="81">
        <v>0</v>
      </c>
      <c r="BB37" s="79">
        <v>0</v>
      </c>
      <c r="BC37" s="49"/>
      <c r="BD37" s="84"/>
      <c r="BE37" s="81">
        <v>0</v>
      </c>
      <c r="BF37" s="79">
        <v>0</v>
      </c>
      <c r="BG37" s="49"/>
      <c r="BH37" s="84"/>
      <c r="BI37" s="81">
        <v>0</v>
      </c>
      <c r="BJ37" s="79">
        <v>0</v>
      </c>
      <c r="BK37" s="49"/>
      <c r="BL37" s="84"/>
      <c r="BM37" s="81">
        <v>0</v>
      </c>
      <c r="BN37" s="79">
        <v>0</v>
      </c>
      <c r="BO37" s="49"/>
      <c r="BP37" s="84"/>
      <c r="BQ37" s="81">
        <v>0</v>
      </c>
      <c r="BR37" s="79">
        <v>0</v>
      </c>
      <c r="BS37" s="49"/>
      <c r="BT37" s="84"/>
      <c r="BU37" s="81">
        <f t="shared" si="11"/>
        <v>0</v>
      </c>
      <c r="BV37" s="79">
        <f t="shared" si="12"/>
        <v>0</v>
      </c>
      <c r="BW37" s="48"/>
      <c r="BX37" s="84"/>
      <c r="BY37" s="81">
        <f t="shared" si="13"/>
        <v>0</v>
      </c>
      <c r="BZ37" s="79">
        <f t="shared" si="14"/>
        <v>0</v>
      </c>
      <c r="CA37" s="48"/>
      <c r="CB37" s="84"/>
      <c r="CC37" s="81">
        <v>0</v>
      </c>
      <c r="CD37" s="79">
        <v>0</v>
      </c>
      <c r="CE37" s="49"/>
      <c r="CF37" s="84"/>
      <c r="CG37" s="81">
        <f t="shared" si="15"/>
        <v>0</v>
      </c>
      <c r="CH37" s="79">
        <f t="shared" si="16"/>
        <v>0</v>
      </c>
      <c r="CI37" s="33"/>
      <c r="CJ37" s="84"/>
      <c r="CK37" s="81">
        <f t="shared" si="17"/>
        <v>0</v>
      </c>
      <c r="CL37" s="79">
        <f t="shared" si="18"/>
        <v>0</v>
      </c>
      <c r="CM37" s="34"/>
      <c r="CN37" s="34"/>
      <c r="CO37" s="34"/>
      <c r="CP37" s="34"/>
      <c r="CQ37" s="50">
        <f t="shared" si="19"/>
        <v>1</v>
      </c>
      <c r="CR37" s="77">
        <f t="shared" si="20"/>
        <v>0</v>
      </c>
      <c r="CS37" s="28"/>
    </row>
    <row r="38" spans="1:97" s="1" customFormat="1">
      <c r="A38" s="30" t="s">
        <v>142</v>
      </c>
      <c r="B38" s="47"/>
      <c r="C38" s="31" t="s">
        <v>143</v>
      </c>
      <c r="D38" s="32"/>
      <c r="E38" s="32"/>
      <c r="F38" s="87"/>
      <c r="G38" s="48"/>
      <c r="H38" s="84"/>
      <c r="I38" s="80">
        <f t="shared" si="21"/>
        <v>0</v>
      </c>
      <c r="J38" s="79">
        <f t="shared" si="22"/>
        <v>0</v>
      </c>
      <c r="K38" s="49"/>
      <c r="L38" s="84"/>
      <c r="M38" s="81">
        <f t="shared" si="24"/>
        <v>0</v>
      </c>
      <c r="N38" s="79">
        <f t="shared" si="1"/>
        <v>0</v>
      </c>
      <c r="O38" s="48"/>
      <c r="P38" s="84"/>
      <c r="Q38" s="81">
        <f t="shared" si="2"/>
        <v>0</v>
      </c>
      <c r="R38" s="79">
        <f t="shared" si="3"/>
        <v>0</v>
      </c>
      <c r="S38" s="49"/>
      <c r="T38" s="84"/>
      <c r="U38" s="81">
        <v>0</v>
      </c>
      <c r="V38" s="79">
        <v>0</v>
      </c>
      <c r="W38" s="49"/>
      <c r="X38" s="84"/>
      <c r="Y38" s="81">
        <v>0</v>
      </c>
      <c r="Z38" s="79">
        <v>0</v>
      </c>
      <c r="AA38" s="49"/>
      <c r="AB38" s="84"/>
      <c r="AC38" s="81">
        <v>0</v>
      </c>
      <c r="AD38" s="79">
        <v>0</v>
      </c>
      <c r="AE38" s="49"/>
      <c r="AF38" s="84"/>
      <c r="AG38" s="81">
        <f t="shared" si="23"/>
        <v>0</v>
      </c>
      <c r="AH38" s="79">
        <f t="shared" si="4"/>
        <v>0</v>
      </c>
      <c r="AI38" s="48"/>
      <c r="AJ38" s="84"/>
      <c r="AK38" s="81">
        <f t="shared" si="5"/>
        <v>0</v>
      </c>
      <c r="AL38" s="79">
        <f t="shared" si="6"/>
        <v>0</v>
      </c>
      <c r="AM38" s="48"/>
      <c r="AN38" s="84"/>
      <c r="AO38" s="81">
        <f t="shared" si="7"/>
        <v>0</v>
      </c>
      <c r="AP38" s="79">
        <f t="shared" si="8"/>
        <v>0</v>
      </c>
      <c r="AQ38" s="48">
        <v>1920</v>
      </c>
      <c r="AR38" s="84"/>
      <c r="AS38" s="81">
        <f t="shared" si="9"/>
        <v>0</v>
      </c>
      <c r="AT38" s="79">
        <f t="shared" si="10"/>
        <v>0</v>
      </c>
      <c r="AU38" s="49"/>
      <c r="AV38" s="84"/>
      <c r="AW38" s="81">
        <v>0</v>
      </c>
      <c r="AX38" s="79">
        <v>0</v>
      </c>
      <c r="AY38" s="49"/>
      <c r="AZ38" s="84"/>
      <c r="BA38" s="81">
        <v>0</v>
      </c>
      <c r="BB38" s="79">
        <v>0</v>
      </c>
      <c r="BC38" s="49"/>
      <c r="BD38" s="84"/>
      <c r="BE38" s="81">
        <v>0</v>
      </c>
      <c r="BF38" s="79">
        <v>0</v>
      </c>
      <c r="BG38" s="49"/>
      <c r="BH38" s="84"/>
      <c r="BI38" s="81">
        <v>0</v>
      </c>
      <c r="BJ38" s="79">
        <v>0</v>
      </c>
      <c r="BK38" s="49"/>
      <c r="BL38" s="84"/>
      <c r="BM38" s="81">
        <v>0</v>
      </c>
      <c r="BN38" s="79">
        <v>0</v>
      </c>
      <c r="BO38" s="49"/>
      <c r="BP38" s="84"/>
      <c r="BQ38" s="81">
        <v>0</v>
      </c>
      <c r="BR38" s="79">
        <v>0</v>
      </c>
      <c r="BS38" s="49"/>
      <c r="BT38" s="84"/>
      <c r="BU38" s="81">
        <f t="shared" si="11"/>
        <v>0</v>
      </c>
      <c r="BV38" s="79">
        <f t="shared" si="12"/>
        <v>0</v>
      </c>
      <c r="BW38" s="48"/>
      <c r="BX38" s="84"/>
      <c r="BY38" s="81">
        <f t="shared" si="13"/>
        <v>0</v>
      </c>
      <c r="BZ38" s="79">
        <f t="shared" si="14"/>
        <v>0</v>
      </c>
      <c r="CA38" s="48"/>
      <c r="CB38" s="84"/>
      <c r="CC38" s="81">
        <v>0</v>
      </c>
      <c r="CD38" s="79">
        <v>0</v>
      </c>
      <c r="CE38" s="49"/>
      <c r="CF38" s="84"/>
      <c r="CG38" s="81">
        <f t="shared" si="15"/>
        <v>0</v>
      </c>
      <c r="CH38" s="79">
        <f t="shared" si="16"/>
        <v>0</v>
      </c>
      <c r="CI38" s="33"/>
      <c r="CJ38" s="84"/>
      <c r="CK38" s="81">
        <f t="shared" si="17"/>
        <v>0</v>
      </c>
      <c r="CL38" s="79">
        <f t="shared" si="18"/>
        <v>0</v>
      </c>
      <c r="CM38" s="34"/>
      <c r="CN38" s="34"/>
      <c r="CO38" s="34"/>
      <c r="CP38" s="34"/>
      <c r="CQ38" s="50">
        <f t="shared" si="19"/>
        <v>1</v>
      </c>
      <c r="CR38" s="77">
        <f t="shared" si="20"/>
        <v>0</v>
      </c>
      <c r="CS38" s="28"/>
    </row>
    <row r="39" spans="1:97" s="1" customFormat="1">
      <c r="A39" s="30" t="s">
        <v>144</v>
      </c>
      <c r="B39" s="47"/>
      <c r="C39" s="63" t="s">
        <v>120</v>
      </c>
      <c r="D39" s="32"/>
      <c r="E39" s="32"/>
      <c r="F39" s="87"/>
      <c r="G39" s="48">
        <v>2880</v>
      </c>
      <c r="H39" s="84"/>
      <c r="I39" s="80">
        <f t="shared" si="21"/>
        <v>0</v>
      </c>
      <c r="J39" s="79">
        <f t="shared" si="22"/>
        <v>0</v>
      </c>
      <c r="K39" s="49"/>
      <c r="L39" s="84"/>
      <c r="M39" s="81">
        <f t="shared" si="24"/>
        <v>0</v>
      </c>
      <c r="N39" s="79">
        <f t="shared" si="1"/>
        <v>0</v>
      </c>
      <c r="O39" s="48"/>
      <c r="P39" s="84"/>
      <c r="Q39" s="81">
        <f t="shared" si="2"/>
        <v>0</v>
      </c>
      <c r="R39" s="79">
        <f t="shared" si="3"/>
        <v>0</v>
      </c>
      <c r="S39" s="49"/>
      <c r="T39" s="84"/>
      <c r="U39" s="81">
        <v>0</v>
      </c>
      <c r="V39" s="79">
        <v>0</v>
      </c>
      <c r="W39" s="49"/>
      <c r="X39" s="84"/>
      <c r="Y39" s="81">
        <v>0</v>
      </c>
      <c r="Z39" s="79">
        <v>0</v>
      </c>
      <c r="AA39" s="49"/>
      <c r="AB39" s="84"/>
      <c r="AC39" s="81">
        <v>0</v>
      </c>
      <c r="AD39" s="79">
        <v>0</v>
      </c>
      <c r="AE39" s="49"/>
      <c r="AF39" s="84"/>
      <c r="AG39" s="81">
        <f t="shared" si="23"/>
        <v>0</v>
      </c>
      <c r="AH39" s="79">
        <f t="shared" si="4"/>
        <v>0</v>
      </c>
      <c r="AI39" s="48">
        <v>5760</v>
      </c>
      <c r="AJ39" s="84"/>
      <c r="AK39" s="81">
        <f t="shared" si="5"/>
        <v>0</v>
      </c>
      <c r="AL39" s="79">
        <f t="shared" si="6"/>
        <v>0</v>
      </c>
      <c r="AM39" s="48"/>
      <c r="AN39" s="84"/>
      <c r="AO39" s="81">
        <f t="shared" si="7"/>
        <v>0</v>
      </c>
      <c r="AP39" s="79">
        <f t="shared" si="8"/>
        <v>0</v>
      </c>
      <c r="AQ39" s="48"/>
      <c r="AR39" s="84"/>
      <c r="AS39" s="81">
        <f t="shared" si="9"/>
        <v>0</v>
      </c>
      <c r="AT39" s="79">
        <f t="shared" si="10"/>
        <v>0</v>
      </c>
      <c r="AU39" s="54">
        <v>960</v>
      </c>
      <c r="AV39" s="84"/>
      <c r="AW39" s="81">
        <v>0</v>
      </c>
      <c r="AX39" s="79">
        <v>0</v>
      </c>
      <c r="AY39" s="54">
        <v>960</v>
      </c>
      <c r="AZ39" s="84"/>
      <c r="BA39" s="81">
        <v>0</v>
      </c>
      <c r="BB39" s="79">
        <v>0</v>
      </c>
      <c r="BC39" s="54">
        <v>4800</v>
      </c>
      <c r="BD39" s="84"/>
      <c r="BE39" s="81">
        <v>0</v>
      </c>
      <c r="BF39" s="79">
        <v>0</v>
      </c>
      <c r="BG39" s="49"/>
      <c r="BH39" s="84"/>
      <c r="BI39" s="81">
        <v>0</v>
      </c>
      <c r="BJ39" s="79">
        <v>0</v>
      </c>
      <c r="BK39" s="49"/>
      <c r="BL39" s="84"/>
      <c r="BM39" s="81">
        <v>0</v>
      </c>
      <c r="BN39" s="79">
        <v>0</v>
      </c>
      <c r="BO39" s="49"/>
      <c r="BP39" s="84"/>
      <c r="BQ39" s="81">
        <v>0</v>
      </c>
      <c r="BR39" s="79">
        <v>0</v>
      </c>
      <c r="BS39" s="49"/>
      <c r="BT39" s="84"/>
      <c r="BU39" s="81">
        <f t="shared" si="11"/>
        <v>0</v>
      </c>
      <c r="BV39" s="79">
        <f t="shared" si="12"/>
        <v>0</v>
      </c>
      <c r="BW39" s="48"/>
      <c r="BX39" s="84"/>
      <c r="BY39" s="81">
        <f t="shared" si="13"/>
        <v>0</v>
      </c>
      <c r="BZ39" s="79">
        <f t="shared" si="14"/>
        <v>0</v>
      </c>
      <c r="CA39" s="48"/>
      <c r="CB39" s="84"/>
      <c r="CC39" s="81">
        <v>0</v>
      </c>
      <c r="CD39" s="79">
        <v>0</v>
      </c>
      <c r="CE39" s="49"/>
      <c r="CF39" s="84"/>
      <c r="CG39" s="81">
        <f t="shared" si="15"/>
        <v>0</v>
      </c>
      <c r="CH39" s="79">
        <f t="shared" si="16"/>
        <v>0</v>
      </c>
      <c r="CI39" s="33"/>
      <c r="CJ39" s="84"/>
      <c r="CK39" s="81">
        <f t="shared" si="17"/>
        <v>0</v>
      </c>
      <c r="CL39" s="79">
        <f t="shared" si="18"/>
        <v>0</v>
      </c>
      <c r="CM39" s="34"/>
      <c r="CN39" s="34"/>
      <c r="CO39" s="34"/>
      <c r="CP39" s="34"/>
      <c r="CQ39" s="50">
        <f t="shared" si="19"/>
        <v>1</v>
      </c>
      <c r="CR39" s="77">
        <f t="shared" si="20"/>
        <v>0</v>
      </c>
      <c r="CS39" s="28"/>
    </row>
    <row r="40" spans="1:97" s="1" customFormat="1">
      <c r="A40" s="30" t="s">
        <v>144</v>
      </c>
      <c r="B40" s="47"/>
      <c r="C40" s="31" t="s">
        <v>123</v>
      </c>
      <c r="D40" s="32"/>
      <c r="E40" s="32"/>
      <c r="F40" s="87"/>
      <c r="G40" s="48">
        <v>960</v>
      </c>
      <c r="H40" s="84"/>
      <c r="I40" s="80">
        <f t="shared" si="21"/>
        <v>0</v>
      </c>
      <c r="J40" s="79">
        <f t="shared" si="22"/>
        <v>0</v>
      </c>
      <c r="K40" s="49"/>
      <c r="L40" s="84"/>
      <c r="M40" s="81">
        <f t="shared" si="24"/>
        <v>0</v>
      </c>
      <c r="N40" s="79">
        <f t="shared" si="1"/>
        <v>0</v>
      </c>
      <c r="O40" s="48">
        <v>12480</v>
      </c>
      <c r="P40" s="84"/>
      <c r="Q40" s="81">
        <f t="shared" si="2"/>
        <v>0</v>
      </c>
      <c r="R40" s="79">
        <f t="shared" si="3"/>
        <v>0</v>
      </c>
      <c r="S40" s="49"/>
      <c r="T40" s="84"/>
      <c r="U40" s="81">
        <v>0</v>
      </c>
      <c r="V40" s="79">
        <v>0</v>
      </c>
      <c r="W40" s="49"/>
      <c r="X40" s="84"/>
      <c r="Y40" s="81">
        <v>0</v>
      </c>
      <c r="Z40" s="79">
        <v>0</v>
      </c>
      <c r="AA40" s="49"/>
      <c r="AB40" s="84"/>
      <c r="AC40" s="81">
        <v>0</v>
      </c>
      <c r="AD40" s="79">
        <v>0</v>
      </c>
      <c r="AE40" s="49"/>
      <c r="AF40" s="84"/>
      <c r="AG40" s="81">
        <f t="shared" si="23"/>
        <v>0</v>
      </c>
      <c r="AH40" s="79">
        <f t="shared" si="4"/>
        <v>0</v>
      </c>
      <c r="AI40" s="48"/>
      <c r="AJ40" s="84"/>
      <c r="AK40" s="81">
        <f t="shared" si="5"/>
        <v>0</v>
      </c>
      <c r="AL40" s="79">
        <f t="shared" si="6"/>
        <v>0</v>
      </c>
      <c r="AM40" s="48"/>
      <c r="AN40" s="84"/>
      <c r="AO40" s="81">
        <f t="shared" si="7"/>
        <v>0</v>
      </c>
      <c r="AP40" s="79">
        <f t="shared" si="8"/>
        <v>0</v>
      </c>
      <c r="AQ40" s="48"/>
      <c r="AR40" s="84"/>
      <c r="AS40" s="81">
        <f t="shared" si="9"/>
        <v>0</v>
      </c>
      <c r="AT40" s="79">
        <f t="shared" si="10"/>
        <v>0</v>
      </c>
      <c r="AU40" s="49"/>
      <c r="AV40" s="84"/>
      <c r="AW40" s="81">
        <v>0</v>
      </c>
      <c r="AX40" s="79">
        <v>0</v>
      </c>
      <c r="AY40" s="49"/>
      <c r="AZ40" s="84"/>
      <c r="BA40" s="81">
        <v>0</v>
      </c>
      <c r="BB40" s="79">
        <v>0</v>
      </c>
      <c r="BC40" s="49"/>
      <c r="BD40" s="84"/>
      <c r="BE40" s="81">
        <v>0</v>
      </c>
      <c r="BF40" s="79">
        <v>0</v>
      </c>
      <c r="BG40" s="49"/>
      <c r="BH40" s="84"/>
      <c r="BI40" s="81">
        <v>0</v>
      </c>
      <c r="BJ40" s="79">
        <v>0</v>
      </c>
      <c r="BK40" s="49"/>
      <c r="BL40" s="84"/>
      <c r="BM40" s="81">
        <v>0</v>
      </c>
      <c r="BN40" s="79">
        <v>0</v>
      </c>
      <c r="BO40" s="49"/>
      <c r="BP40" s="84"/>
      <c r="BQ40" s="81">
        <v>0</v>
      </c>
      <c r="BR40" s="79">
        <v>0</v>
      </c>
      <c r="BS40" s="49"/>
      <c r="BT40" s="84"/>
      <c r="BU40" s="81">
        <f t="shared" si="11"/>
        <v>0</v>
      </c>
      <c r="BV40" s="79">
        <f t="shared" si="12"/>
        <v>0</v>
      </c>
      <c r="BW40" s="48"/>
      <c r="BX40" s="84"/>
      <c r="BY40" s="81">
        <f t="shared" si="13"/>
        <v>0</v>
      </c>
      <c r="BZ40" s="79">
        <f t="shared" si="14"/>
        <v>0</v>
      </c>
      <c r="CA40" s="48"/>
      <c r="CB40" s="84"/>
      <c r="CC40" s="81">
        <v>0</v>
      </c>
      <c r="CD40" s="79">
        <v>0</v>
      </c>
      <c r="CE40" s="49"/>
      <c r="CF40" s="84"/>
      <c r="CG40" s="81">
        <f t="shared" si="15"/>
        <v>0</v>
      </c>
      <c r="CH40" s="79">
        <f t="shared" si="16"/>
        <v>0</v>
      </c>
      <c r="CI40" s="33"/>
      <c r="CJ40" s="84"/>
      <c r="CK40" s="81">
        <f t="shared" si="17"/>
        <v>0</v>
      </c>
      <c r="CL40" s="79">
        <f t="shared" si="18"/>
        <v>0</v>
      </c>
      <c r="CM40" s="34"/>
      <c r="CN40" s="34"/>
      <c r="CO40" s="34"/>
      <c r="CP40" s="34"/>
      <c r="CQ40" s="50">
        <f t="shared" si="19"/>
        <v>1</v>
      </c>
      <c r="CR40" s="77">
        <f t="shared" si="20"/>
        <v>0</v>
      </c>
      <c r="CS40" s="28"/>
    </row>
    <row r="41" spans="1:97" s="1" customFormat="1">
      <c r="A41" s="30" t="s">
        <v>145</v>
      </c>
      <c r="B41" s="47"/>
      <c r="C41" s="31" t="s">
        <v>121</v>
      </c>
      <c r="D41" s="32"/>
      <c r="E41" s="32"/>
      <c r="F41" s="87"/>
      <c r="G41" s="48"/>
      <c r="H41" s="84"/>
      <c r="I41" s="80">
        <f t="shared" si="21"/>
        <v>0</v>
      </c>
      <c r="J41" s="79">
        <f t="shared" si="22"/>
        <v>0</v>
      </c>
      <c r="K41" s="49"/>
      <c r="L41" s="84"/>
      <c r="M41" s="81">
        <f t="shared" si="24"/>
        <v>0</v>
      </c>
      <c r="N41" s="79">
        <f t="shared" si="1"/>
        <v>0</v>
      </c>
      <c r="O41" s="48">
        <v>5760</v>
      </c>
      <c r="P41" s="84"/>
      <c r="Q41" s="81">
        <f t="shared" si="2"/>
        <v>0</v>
      </c>
      <c r="R41" s="79">
        <f t="shared" si="3"/>
        <v>0</v>
      </c>
      <c r="S41" s="49"/>
      <c r="T41" s="84"/>
      <c r="U41" s="81">
        <v>0</v>
      </c>
      <c r="V41" s="79">
        <v>0</v>
      </c>
      <c r="W41" s="49"/>
      <c r="X41" s="84"/>
      <c r="Y41" s="81">
        <v>0</v>
      </c>
      <c r="Z41" s="79">
        <v>0</v>
      </c>
      <c r="AA41" s="49"/>
      <c r="AB41" s="84"/>
      <c r="AC41" s="81">
        <v>0</v>
      </c>
      <c r="AD41" s="79">
        <v>0</v>
      </c>
      <c r="AE41" s="49"/>
      <c r="AF41" s="84"/>
      <c r="AG41" s="81">
        <f t="shared" si="23"/>
        <v>0</v>
      </c>
      <c r="AH41" s="79">
        <f t="shared" si="4"/>
        <v>0</v>
      </c>
      <c r="AI41" s="48"/>
      <c r="AJ41" s="84"/>
      <c r="AK41" s="81">
        <f t="shared" si="5"/>
        <v>0</v>
      </c>
      <c r="AL41" s="79">
        <f t="shared" si="6"/>
        <v>0</v>
      </c>
      <c r="AM41" s="48"/>
      <c r="AN41" s="84"/>
      <c r="AO41" s="81">
        <f t="shared" si="7"/>
        <v>0</v>
      </c>
      <c r="AP41" s="79">
        <f t="shared" si="8"/>
        <v>0</v>
      </c>
      <c r="AQ41" s="48"/>
      <c r="AR41" s="84"/>
      <c r="AS41" s="81">
        <f t="shared" si="9"/>
        <v>0</v>
      </c>
      <c r="AT41" s="79">
        <f t="shared" si="10"/>
        <v>0</v>
      </c>
      <c r="AU41" s="49"/>
      <c r="AV41" s="84"/>
      <c r="AW41" s="81">
        <v>0</v>
      </c>
      <c r="AX41" s="79">
        <v>0</v>
      </c>
      <c r="AY41" s="49"/>
      <c r="AZ41" s="84"/>
      <c r="BA41" s="81">
        <v>0</v>
      </c>
      <c r="BB41" s="79">
        <v>0</v>
      </c>
      <c r="BC41" s="49"/>
      <c r="BD41" s="84"/>
      <c r="BE41" s="81">
        <v>0</v>
      </c>
      <c r="BF41" s="79">
        <v>0</v>
      </c>
      <c r="BG41" s="49"/>
      <c r="BH41" s="84"/>
      <c r="BI41" s="81">
        <v>0</v>
      </c>
      <c r="BJ41" s="79">
        <v>0</v>
      </c>
      <c r="BK41" s="49"/>
      <c r="BL41" s="84"/>
      <c r="BM41" s="81">
        <v>0</v>
      </c>
      <c r="BN41" s="79">
        <v>0</v>
      </c>
      <c r="BO41" s="49"/>
      <c r="BP41" s="84"/>
      <c r="BQ41" s="81">
        <v>0</v>
      </c>
      <c r="BR41" s="79">
        <v>0</v>
      </c>
      <c r="BS41" s="49"/>
      <c r="BT41" s="84"/>
      <c r="BU41" s="81">
        <f t="shared" si="11"/>
        <v>0</v>
      </c>
      <c r="BV41" s="79">
        <f t="shared" si="12"/>
        <v>0</v>
      </c>
      <c r="BW41" s="48"/>
      <c r="BX41" s="84"/>
      <c r="BY41" s="81">
        <f t="shared" si="13"/>
        <v>0</v>
      </c>
      <c r="BZ41" s="79">
        <f t="shared" si="14"/>
        <v>0</v>
      </c>
      <c r="CA41" s="48"/>
      <c r="CB41" s="84"/>
      <c r="CC41" s="81">
        <v>0</v>
      </c>
      <c r="CD41" s="79">
        <v>0</v>
      </c>
      <c r="CE41" s="49">
        <v>960</v>
      </c>
      <c r="CF41" s="84"/>
      <c r="CG41" s="81">
        <f t="shared" si="15"/>
        <v>0</v>
      </c>
      <c r="CH41" s="79">
        <f t="shared" si="16"/>
        <v>0</v>
      </c>
      <c r="CI41" s="33"/>
      <c r="CJ41" s="84"/>
      <c r="CK41" s="81">
        <f t="shared" si="17"/>
        <v>0</v>
      </c>
      <c r="CL41" s="79">
        <f t="shared" si="18"/>
        <v>0</v>
      </c>
      <c r="CM41" s="34"/>
      <c r="CN41" s="34"/>
      <c r="CO41" s="34"/>
      <c r="CP41" s="34"/>
      <c r="CQ41" s="50">
        <f t="shared" si="19"/>
        <v>1</v>
      </c>
      <c r="CR41" s="77">
        <f t="shared" si="20"/>
        <v>0</v>
      </c>
      <c r="CS41" s="28"/>
    </row>
    <row r="42" spans="1:97" s="1" customFormat="1">
      <c r="A42" s="30" t="s">
        <v>146</v>
      </c>
      <c r="B42" s="47"/>
      <c r="C42" s="63" t="s">
        <v>120</v>
      </c>
      <c r="D42" s="32"/>
      <c r="E42" s="32"/>
      <c r="F42" s="87"/>
      <c r="G42" s="48">
        <v>2880</v>
      </c>
      <c r="H42" s="84"/>
      <c r="I42" s="80">
        <f t="shared" si="21"/>
        <v>0</v>
      </c>
      <c r="J42" s="79">
        <f t="shared" si="22"/>
        <v>0</v>
      </c>
      <c r="K42" s="49"/>
      <c r="L42" s="84"/>
      <c r="M42" s="81">
        <f t="shared" si="24"/>
        <v>0</v>
      </c>
      <c r="N42" s="79">
        <f t="shared" si="1"/>
        <v>0</v>
      </c>
      <c r="O42" s="48"/>
      <c r="P42" s="84"/>
      <c r="Q42" s="81">
        <f t="shared" si="2"/>
        <v>0</v>
      </c>
      <c r="R42" s="79">
        <f t="shared" si="3"/>
        <v>0</v>
      </c>
      <c r="S42" s="49"/>
      <c r="T42" s="84"/>
      <c r="U42" s="81">
        <v>0</v>
      </c>
      <c r="V42" s="79">
        <v>0</v>
      </c>
      <c r="W42" s="54">
        <v>960</v>
      </c>
      <c r="X42" s="84"/>
      <c r="Y42" s="81">
        <v>0</v>
      </c>
      <c r="Z42" s="79">
        <v>0</v>
      </c>
      <c r="AA42" s="54"/>
      <c r="AB42" s="84"/>
      <c r="AC42" s="81">
        <v>0</v>
      </c>
      <c r="AD42" s="79">
        <v>0</v>
      </c>
      <c r="AE42" s="54"/>
      <c r="AF42" s="84"/>
      <c r="AG42" s="81">
        <f t="shared" si="23"/>
        <v>0</v>
      </c>
      <c r="AH42" s="79">
        <f t="shared" si="4"/>
        <v>0</v>
      </c>
      <c r="AI42" s="48">
        <v>7680</v>
      </c>
      <c r="AJ42" s="84"/>
      <c r="AK42" s="81">
        <f t="shared" si="5"/>
        <v>0</v>
      </c>
      <c r="AL42" s="79">
        <f t="shared" si="6"/>
        <v>0</v>
      </c>
      <c r="AM42" s="48"/>
      <c r="AN42" s="84"/>
      <c r="AO42" s="81">
        <f t="shared" si="7"/>
        <v>0</v>
      </c>
      <c r="AP42" s="79">
        <f t="shared" si="8"/>
        <v>0</v>
      </c>
      <c r="AQ42" s="48"/>
      <c r="AR42" s="84"/>
      <c r="AS42" s="81">
        <f t="shared" si="9"/>
        <v>0</v>
      </c>
      <c r="AT42" s="79">
        <f t="shared" si="10"/>
        <v>0</v>
      </c>
      <c r="AU42" s="49"/>
      <c r="AV42" s="84"/>
      <c r="AW42" s="81">
        <v>0</v>
      </c>
      <c r="AX42" s="79">
        <v>0</v>
      </c>
      <c r="AY42" s="49"/>
      <c r="AZ42" s="84"/>
      <c r="BA42" s="81">
        <v>0</v>
      </c>
      <c r="BB42" s="79">
        <v>0</v>
      </c>
      <c r="BC42" s="49"/>
      <c r="BD42" s="84"/>
      <c r="BE42" s="81">
        <v>0</v>
      </c>
      <c r="BF42" s="79">
        <v>0</v>
      </c>
      <c r="BG42" s="49"/>
      <c r="BH42" s="84"/>
      <c r="BI42" s="81">
        <v>0</v>
      </c>
      <c r="BJ42" s="79">
        <v>0</v>
      </c>
      <c r="BK42" s="49"/>
      <c r="BL42" s="84"/>
      <c r="BM42" s="81">
        <v>0</v>
      </c>
      <c r="BN42" s="79">
        <v>0</v>
      </c>
      <c r="BO42" s="49"/>
      <c r="BP42" s="84"/>
      <c r="BQ42" s="81">
        <v>0</v>
      </c>
      <c r="BR42" s="79">
        <v>0</v>
      </c>
      <c r="BS42" s="49"/>
      <c r="BT42" s="84"/>
      <c r="BU42" s="81">
        <f t="shared" si="11"/>
        <v>0</v>
      </c>
      <c r="BV42" s="79">
        <f t="shared" si="12"/>
        <v>0</v>
      </c>
      <c r="BW42" s="48"/>
      <c r="BX42" s="84"/>
      <c r="BY42" s="81">
        <f t="shared" si="13"/>
        <v>0</v>
      </c>
      <c r="BZ42" s="79">
        <f t="shared" si="14"/>
        <v>0</v>
      </c>
      <c r="CA42" s="48"/>
      <c r="CB42" s="84"/>
      <c r="CC42" s="81">
        <v>0</v>
      </c>
      <c r="CD42" s="79">
        <v>0</v>
      </c>
      <c r="CE42" s="49"/>
      <c r="CF42" s="84"/>
      <c r="CG42" s="81">
        <f t="shared" si="15"/>
        <v>0</v>
      </c>
      <c r="CH42" s="79">
        <f t="shared" si="16"/>
        <v>0</v>
      </c>
      <c r="CI42" s="33"/>
      <c r="CJ42" s="84"/>
      <c r="CK42" s="81">
        <f t="shared" si="17"/>
        <v>0</v>
      </c>
      <c r="CL42" s="79">
        <f t="shared" si="18"/>
        <v>0</v>
      </c>
      <c r="CM42" s="34"/>
      <c r="CN42" s="34"/>
      <c r="CO42" s="34"/>
      <c r="CP42" s="34"/>
      <c r="CQ42" s="50">
        <f t="shared" si="19"/>
        <v>1</v>
      </c>
      <c r="CR42" s="77">
        <f t="shared" si="20"/>
        <v>0</v>
      </c>
      <c r="CS42" s="28"/>
    </row>
    <row r="43" spans="1:97" s="1" customFormat="1">
      <c r="A43" s="30" t="s">
        <v>146</v>
      </c>
      <c r="B43" s="47"/>
      <c r="C43" s="31" t="s">
        <v>121</v>
      </c>
      <c r="D43" s="32"/>
      <c r="E43" s="32"/>
      <c r="F43" s="87"/>
      <c r="G43" s="48">
        <v>960</v>
      </c>
      <c r="H43" s="84"/>
      <c r="I43" s="80">
        <f t="shared" si="21"/>
        <v>0</v>
      </c>
      <c r="J43" s="79">
        <f t="shared" si="22"/>
        <v>0</v>
      </c>
      <c r="K43" s="49"/>
      <c r="L43" s="84"/>
      <c r="M43" s="81">
        <f t="shared" si="24"/>
        <v>0</v>
      </c>
      <c r="N43" s="79">
        <f t="shared" ref="N43:N59" si="25">K43*M43</f>
        <v>0</v>
      </c>
      <c r="O43" s="48">
        <v>2880</v>
      </c>
      <c r="P43" s="84"/>
      <c r="Q43" s="81">
        <f t="shared" ref="Q43:Q59" si="26">P43*CQ43</f>
        <v>0</v>
      </c>
      <c r="R43" s="79">
        <f t="shared" ref="R43:R59" si="27">O43*Q43</f>
        <v>0</v>
      </c>
      <c r="S43" s="49"/>
      <c r="T43" s="84"/>
      <c r="U43" s="81">
        <v>0</v>
      </c>
      <c r="V43" s="79">
        <v>0</v>
      </c>
      <c r="W43" s="49"/>
      <c r="X43" s="84"/>
      <c r="Y43" s="81">
        <v>0</v>
      </c>
      <c r="Z43" s="79">
        <v>0</v>
      </c>
      <c r="AA43" s="49"/>
      <c r="AB43" s="84"/>
      <c r="AC43" s="81">
        <v>0</v>
      </c>
      <c r="AD43" s="79">
        <v>0</v>
      </c>
      <c r="AE43" s="49"/>
      <c r="AF43" s="84"/>
      <c r="AG43" s="81">
        <f t="shared" si="23"/>
        <v>0</v>
      </c>
      <c r="AH43" s="79">
        <f t="shared" ref="AH43:AH59" si="28">AE43*AG43</f>
        <v>0</v>
      </c>
      <c r="AI43" s="48">
        <v>13440</v>
      </c>
      <c r="AJ43" s="84"/>
      <c r="AK43" s="81">
        <f t="shared" ref="AK43:AK59" si="29">AJ43*CQ43</f>
        <v>0</v>
      </c>
      <c r="AL43" s="79">
        <f t="shared" ref="AL43:AL59" si="30">AI43*AK43</f>
        <v>0</v>
      </c>
      <c r="AM43" s="48"/>
      <c r="AN43" s="84"/>
      <c r="AO43" s="81">
        <f t="shared" ref="AO43:AO59" si="31">AN43*CQ43</f>
        <v>0</v>
      </c>
      <c r="AP43" s="79">
        <f t="shared" ref="AP43:AP59" si="32">AM43*AO43</f>
        <v>0</v>
      </c>
      <c r="AQ43" s="48"/>
      <c r="AR43" s="84"/>
      <c r="AS43" s="81">
        <f t="shared" ref="AS43:AS59" si="33">AR43*CQ43</f>
        <v>0</v>
      </c>
      <c r="AT43" s="79">
        <f t="shared" ref="AT43:AT59" si="34">AQ43*AS43</f>
        <v>0</v>
      </c>
      <c r="AU43" s="49"/>
      <c r="AV43" s="84"/>
      <c r="AW43" s="81">
        <v>0</v>
      </c>
      <c r="AX43" s="79">
        <v>0</v>
      </c>
      <c r="AY43" s="49"/>
      <c r="AZ43" s="84"/>
      <c r="BA43" s="81">
        <v>0</v>
      </c>
      <c r="BB43" s="79">
        <v>0</v>
      </c>
      <c r="BC43" s="49"/>
      <c r="BD43" s="84"/>
      <c r="BE43" s="81">
        <v>0</v>
      </c>
      <c r="BF43" s="79">
        <v>0</v>
      </c>
      <c r="BG43" s="49"/>
      <c r="BH43" s="84"/>
      <c r="BI43" s="81">
        <v>0</v>
      </c>
      <c r="BJ43" s="79">
        <v>0</v>
      </c>
      <c r="BK43" s="49"/>
      <c r="BL43" s="84"/>
      <c r="BM43" s="81">
        <v>0</v>
      </c>
      <c r="BN43" s="79">
        <v>0</v>
      </c>
      <c r="BO43" s="49"/>
      <c r="BP43" s="84"/>
      <c r="BQ43" s="81">
        <v>0</v>
      </c>
      <c r="BR43" s="79">
        <v>0</v>
      </c>
      <c r="BS43" s="49"/>
      <c r="BT43" s="84"/>
      <c r="BU43" s="81">
        <f t="shared" ref="BU43:BU59" si="35">BT43*CQ43</f>
        <v>0</v>
      </c>
      <c r="BV43" s="79">
        <f t="shared" ref="BV43:BV59" si="36">BS43*BU43</f>
        <v>0</v>
      </c>
      <c r="BW43" s="48">
        <v>480</v>
      </c>
      <c r="BX43" s="84"/>
      <c r="BY43" s="81">
        <f t="shared" ref="BY43:BY59" si="37">BX43*CQ43</f>
        <v>0</v>
      </c>
      <c r="BZ43" s="79">
        <f t="shared" ref="BZ43:BZ59" si="38">BW43*BY43</f>
        <v>0</v>
      </c>
      <c r="CA43" s="48"/>
      <c r="CB43" s="84"/>
      <c r="CC43" s="81">
        <v>0</v>
      </c>
      <c r="CD43" s="79">
        <v>0</v>
      </c>
      <c r="CE43" s="49"/>
      <c r="CF43" s="84"/>
      <c r="CG43" s="81">
        <f t="shared" ref="CG43:CG59" si="39">CF43*CQ43</f>
        <v>0</v>
      </c>
      <c r="CH43" s="79">
        <f t="shared" ref="CH43:CH59" si="40">CE43*CG43</f>
        <v>0</v>
      </c>
      <c r="CI43" s="33"/>
      <c r="CJ43" s="84"/>
      <c r="CK43" s="81">
        <f t="shared" ref="CK43:CK59" si="41">CJ43*CQ43</f>
        <v>0</v>
      </c>
      <c r="CL43" s="79">
        <f t="shared" ref="CL43:CL59" si="42">CI43*CK43</f>
        <v>0</v>
      </c>
      <c r="CM43" s="34"/>
      <c r="CN43" s="34"/>
      <c r="CO43" s="34"/>
      <c r="CP43" s="34"/>
      <c r="CQ43" s="50">
        <f t="shared" ref="CQ43:CQ59" si="43">(1+CM43)*(1+CN43)*(1+CO43)*(1+CP43)</f>
        <v>1</v>
      </c>
      <c r="CR43" s="77">
        <f t="shared" ref="CR43:CR59" si="44">J43+N43+R43+V43+Z43+AD43+AH43+AL43+AP43+AT43+AX43+BB43+BF43+BJ43+BN43+BR43+BV43+BZ43+CD43+CH43+CL43</f>
        <v>0</v>
      </c>
      <c r="CS43" s="28"/>
    </row>
    <row r="44" spans="1:97" s="1" customFormat="1">
      <c r="A44" s="30" t="s">
        <v>146</v>
      </c>
      <c r="B44" s="47"/>
      <c r="C44" s="31" t="s">
        <v>123</v>
      </c>
      <c r="D44" s="32"/>
      <c r="E44" s="32"/>
      <c r="F44" s="87"/>
      <c r="G44" s="48">
        <v>960</v>
      </c>
      <c r="H44" s="84"/>
      <c r="I44" s="80">
        <f t="shared" si="21"/>
        <v>0</v>
      </c>
      <c r="J44" s="79">
        <f t="shared" si="22"/>
        <v>0</v>
      </c>
      <c r="K44" s="49"/>
      <c r="L44" s="84"/>
      <c r="M44" s="81">
        <f t="shared" si="24"/>
        <v>0</v>
      </c>
      <c r="N44" s="79">
        <f t="shared" si="25"/>
        <v>0</v>
      </c>
      <c r="O44" s="48">
        <v>23040</v>
      </c>
      <c r="P44" s="84"/>
      <c r="Q44" s="81">
        <f t="shared" si="26"/>
        <v>0</v>
      </c>
      <c r="R44" s="79">
        <f t="shared" si="27"/>
        <v>0</v>
      </c>
      <c r="S44" s="49"/>
      <c r="T44" s="84"/>
      <c r="U44" s="81">
        <v>0</v>
      </c>
      <c r="V44" s="79">
        <v>0</v>
      </c>
      <c r="W44" s="49"/>
      <c r="X44" s="84"/>
      <c r="Y44" s="81">
        <v>0</v>
      </c>
      <c r="Z44" s="79">
        <v>0</v>
      </c>
      <c r="AA44" s="54">
        <v>960</v>
      </c>
      <c r="AB44" s="84"/>
      <c r="AC44" s="81">
        <v>0</v>
      </c>
      <c r="AD44" s="79">
        <v>0</v>
      </c>
      <c r="AE44" s="54">
        <v>960</v>
      </c>
      <c r="AF44" s="84"/>
      <c r="AG44" s="81">
        <f t="shared" si="23"/>
        <v>0</v>
      </c>
      <c r="AH44" s="79">
        <f t="shared" si="28"/>
        <v>0</v>
      </c>
      <c r="AI44" s="48"/>
      <c r="AJ44" s="84"/>
      <c r="AK44" s="81">
        <f t="shared" si="29"/>
        <v>0</v>
      </c>
      <c r="AL44" s="79">
        <f t="shared" si="30"/>
        <v>0</v>
      </c>
      <c r="AM44" s="48"/>
      <c r="AN44" s="84"/>
      <c r="AO44" s="81">
        <f t="shared" si="31"/>
        <v>0</v>
      </c>
      <c r="AP44" s="79">
        <f t="shared" si="32"/>
        <v>0</v>
      </c>
      <c r="AQ44" s="48"/>
      <c r="AR44" s="84"/>
      <c r="AS44" s="81">
        <f t="shared" si="33"/>
        <v>0</v>
      </c>
      <c r="AT44" s="79">
        <f t="shared" si="34"/>
        <v>0</v>
      </c>
      <c r="AU44" s="49"/>
      <c r="AV44" s="84"/>
      <c r="AW44" s="81">
        <v>0</v>
      </c>
      <c r="AX44" s="79">
        <v>0</v>
      </c>
      <c r="AY44" s="49"/>
      <c r="AZ44" s="84"/>
      <c r="BA44" s="81">
        <v>0</v>
      </c>
      <c r="BB44" s="79">
        <v>0</v>
      </c>
      <c r="BC44" s="49"/>
      <c r="BD44" s="84"/>
      <c r="BE44" s="81">
        <v>0</v>
      </c>
      <c r="BF44" s="79">
        <v>0</v>
      </c>
      <c r="BG44" s="54">
        <v>960</v>
      </c>
      <c r="BH44" s="84"/>
      <c r="BI44" s="81">
        <v>0</v>
      </c>
      <c r="BJ44" s="79">
        <v>0</v>
      </c>
      <c r="BK44" s="54">
        <v>960</v>
      </c>
      <c r="BL44" s="84"/>
      <c r="BM44" s="81">
        <v>0</v>
      </c>
      <c r="BN44" s="79">
        <v>0</v>
      </c>
      <c r="BO44" s="54">
        <v>960</v>
      </c>
      <c r="BP44" s="84"/>
      <c r="BQ44" s="81">
        <v>0</v>
      </c>
      <c r="BR44" s="79">
        <v>0</v>
      </c>
      <c r="BS44" s="54">
        <v>960</v>
      </c>
      <c r="BT44" s="84"/>
      <c r="BU44" s="81">
        <f t="shared" si="35"/>
        <v>0</v>
      </c>
      <c r="BV44" s="79">
        <f t="shared" si="36"/>
        <v>0</v>
      </c>
      <c r="BW44" s="48"/>
      <c r="BX44" s="84"/>
      <c r="BY44" s="81">
        <f t="shared" si="37"/>
        <v>0</v>
      </c>
      <c r="BZ44" s="79">
        <f t="shared" si="38"/>
        <v>0</v>
      </c>
      <c r="CA44" s="48"/>
      <c r="CB44" s="84"/>
      <c r="CC44" s="81">
        <v>0</v>
      </c>
      <c r="CD44" s="79">
        <v>0</v>
      </c>
      <c r="CE44" s="49"/>
      <c r="CF44" s="84"/>
      <c r="CG44" s="81">
        <f t="shared" si="39"/>
        <v>0</v>
      </c>
      <c r="CH44" s="79">
        <f t="shared" si="40"/>
        <v>0</v>
      </c>
      <c r="CI44" s="33"/>
      <c r="CJ44" s="84"/>
      <c r="CK44" s="81">
        <f t="shared" si="41"/>
        <v>0</v>
      </c>
      <c r="CL44" s="79">
        <f t="shared" si="42"/>
        <v>0</v>
      </c>
      <c r="CM44" s="34"/>
      <c r="CN44" s="34"/>
      <c r="CO44" s="34"/>
      <c r="CP44" s="34"/>
      <c r="CQ44" s="50">
        <f t="shared" si="43"/>
        <v>1</v>
      </c>
      <c r="CR44" s="77">
        <f t="shared" si="44"/>
        <v>0</v>
      </c>
      <c r="CS44" s="28"/>
    </row>
    <row r="45" spans="1:97" s="1" customFormat="1">
      <c r="A45" s="30" t="s">
        <v>147</v>
      </c>
      <c r="B45" s="47"/>
      <c r="C45" s="63" t="s">
        <v>120</v>
      </c>
      <c r="D45" s="32"/>
      <c r="E45" s="32"/>
      <c r="F45" s="87"/>
      <c r="G45" s="48"/>
      <c r="H45" s="84"/>
      <c r="I45" s="80">
        <f t="shared" si="21"/>
        <v>0</v>
      </c>
      <c r="J45" s="79">
        <f t="shared" si="22"/>
        <v>0</v>
      </c>
      <c r="K45" s="49"/>
      <c r="L45" s="84"/>
      <c r="M45" s="81">
        <f t="shared" si="24"/>
        <v>0</v>
      </c>
      <c r="N45" s="79">
        <f t="shared" si="25"/>
        <v>0</v>
      </c>
      <c r="O45" s="48"/>
      <c r="P45" s="84"/>
      <c r="Q45" s="81">
        <f t="shared" si="26"/>
        <v>0</v>
      </c>
      <c r="R45" s="79">
        <f t="shared" si="27"/>
        <v>0</v>
      </c>
      <c r="S45" s="54">
        <v>960</v>
      </c>
      <c r="T45" s="89"/>
      <c r="U45" s="81">
        <v>0</v>
      </c>
      <c r="V45" s="79">
        <v>0</v>
      </c>
      <c r="W45" s="49"/>
      <c r="X45" s="89"/>
      <c r="Y45" s="81">
        <v>0</v>
      </c>
      <c r="Z45" s="79">
        <v>0</v>
      </c>
      <c r="AA45" s="49"/>
      <c r="AB45" s="89"/>
      <c r="AC45" s="81">
        <v>0</v>
      </c>
      <c r="AD45" s="79">
        <v>0</v>
      </c>
      <c r="AE45" s="49"/>
      <c r="AF45" s="89"/>
      <c r="AG45" s="81">
        <f t="shared" si="23"/>
        <v>0</v>
      </c>
      <c r="AH45" s="79">
        <f t="shared" si="28"/>
        <v>0</v>
      </c>
      <c r="AI45" s="48"/>
      <c r="AJ45" s="84"/>
      <c r="AK45" s="81">
        <f t="shared" si="29"/>
        <v>0</v>
      </c>
      <c r="AL45" s="79">
        <f t="shared" si="30"/>
        <v>0</v>
      </c>
      <c r="AM45" s="48"/>
      <c r="AN45" s="84"/>
      <c r="AO45" s="81">
        <f t="shared" si="31"/>
        <v>0</v>
      </c>
      <c r="AP45" s="79">
        <f t="shared" si="32"/>
        <v>0</v>
      </c>
      <c r="AQ45" s="48"/>
      <c r="AR45" s="84"/>
      <c r="AS45" s="81">
        <f t="shared" si="33"/>
        <v>0</v>
      </c>
      <c r="AT45" s="79">
        <f t="shared" si="34"/>
        <v>0</v>
      </c>
      <c r="AU45" s="49"/>
      <c r="AV45" s="84"/>
      <c r="AW45" s="81">
        <v>0</v>
      </c>
      <c r="AX45" s="79">
        <v>0</v>
      </c>
      <c r="AY45" s="49"/>
      <c r="AZ45" s="84"/>
      <c r="BA45" s="81">
        <v>0</v>
      </c>
      <c r="BB45" s="79">
        <v>0</v>
      </c>
      <c r="BC45" s="49"/>
      <c r="BD45" s="84"/>
      <c r="BE45" s="81">
        <v>0</v>
      </c>
      <c r="BF45" s="79">
        <v>0</v>
      </c>
      <c r="BG45" s="49"/>
      <c r="BH45" s="84"/>
      <c r="BI45" s="81">
        <v>0</v>
      </c>
      <c r="BJ45" s="79">
        <v>0</v>
      </c>
      <c r="BK45" s="49"/>
      <c r="BL45" s="84"/>
      <c r="BM45" s="81">
        <v>0</v>
      </c>
      <c r="BN45" s="79">
        <v>0</v>
      </c>
      <c r="BO45" s="49"/>
      <c r="BP45" s="84"/>
      <c r="BQ45" s="81">
        <v>0</v>
      </c>
      <c r="BR45" s="79">
        <v>0</v>
      </c>
      <c r="BS45" s="49"/>
      <c r="BT45" s="84"/>
      <c r="BU45" s="81">
        <f t="shared" si="35"/>
        <v>0</v>
      </c>
      <c r="BV45" s="79">
        <f t="shared" si="36"/>
        <v>0</v>
      </c>
      <c r="BW45" s="48"/>
      <c r="BX45" s="84"/>
      <c r="BY45" s="81">
        <f t="shared" si="37"/>
        <v>0</v>
      </c>
      <c r="BZ45" s="79">
        <f t="shared" si="38"/>
        <v>0</v>
      </c>
      <c r="CA45" s="48"/>
      <c r="CB45" s="84"/>
      <c r="CC45" s="81">
        <v>0</v>
      </c>
      <c r="CD45" s="79">
        <v>0</v>
      </c>
      <c r="CE45" s="49"/>
      <c r="CF45" s="84"/>
      <c r="CG45" s="81">
        <f t="shared" si="39"/>
        <v>0</v>
      </c>
      <c r="CH45" s="79">
        <f t="shared" si="40"/>
        <v>0</v>
      </c>
      <c r="CI45" s="33"/>
      <c r="CJ45" s="84"/>
      <c r="CK45" s="81">
        <f t="shared" si="41"/>
        <v>0</v>
      </c>
      <c r="CL45" s="79">
        <f t="shared" si="42"/>
        <v>0</v>
      </c>
      <c r="CM45" s="34"/>
      <c r="CN45" s="34"/>
      <c r="CO45" s="34"/>
      <c r="CP45" s="34"/>
      <c r="CQ45" s="50">
        <f t="shared" si="43"/>
        <v>1</v>
      </c>
      <c r="CR45" s="77">
        <f t="shared" si="44"/>
        <v>0</v>
      </c>
      <c r="CS45" s="28"/>
    </row>
    <row r="46" spans="1:97" s="1" customFormat="1">
      <c r="A46" s="30" t="s">
        <v>148</v>
      </c>
      <c r="B46" s="47"/>
      <c r="C46" s="31" t="s">
        <v>121</v>
      </c>
      <c r="D46" s="32"/>
      <c r="E46" s="32"/>
      <c r="F46" s="87"/>
      <c r="G46" s="48"/>
      <c r="H46" s="84"/>
      <c r="I46" s="80">
        <f t="shared" si="21"/>
        <v>0</v>
      </c>
      <c r="J46" s="79">
        <f t="shared" si="22"/>
        <v>0</v>
      </c>
      <c r="K46" s="49"/>
      <c r="L46" s="84"/>
      <c r="M46" s="81">
        <f t="shared" si="24"/>
        <v>0</v>
      </c>
      <c r="N46" s="79">
        <f t="shared" si="25"/>
        <v>0</v>
      </c>
      <c r="O46" s="48">
        <v>1920</v>
      </c>
      <c r="P46" s="84"/>
      <c r="Q46" s="81">
        <f t="shared" si="26"/>
        <v>0</v>
      </c>
      <c r="R46" s="79">
        <f t="shared" si="27"/>
        <v>0</v>
      </c>
      <c r="S46" s="49"/>
      <c r="T46" s="84"/>
      <c r="U46" s="81">
        <v>0</v>
      </c>
      <c r="V46" s="79">
        <v>0</v>
      </c>
      <c r="W46" s="49"/>
      <c r="X46" s="84"/>
      <c r="Y46" s="81">
        <v>0</v>
      </c>
      <c r="Z46" s="79">
        <v>0</v>
      </c>
      <c r="AA46" s="49"/>
      <c r="AB46" s="84"/>
      <c r="AC46" s="81">
        <v>0</v>
      </c>
      <c r="AD46" s="79">
        <v>0</v>
      </c>
      <c r="AE46" s="49"/>
      <c r="AF46" s="84"/>
      <c r="AG46" s="81">
        <f t="shared" si="23"/>
        <v>0</v>
      </c>
      <c r="AH46" s="79">
        <f t="shared" si="28"/>
        <v>0</v>
      </c>
      <c r="AI46" s="48"/>
      <c r="AJ46" s="84"/>
      <c r="AK46" s="81">
        <f t="shared" si="29"/>
        <v>0</v>
      </c>
      <c r="AL46" s="79">
        <f t="shared" si="30"/>
        <v>0</v>
      </c>
      <c r="AM46" s="48"/>
      <c r="AN46" s="84"/>
      <c r="AO46" s="81">
        <f t="shared" si="31"/>
        <v>0</v>
      </c>
      <c r="AP46" s="79">
        <f t="shared" si="32"/>
        <v>0</v>
      </c>
      <c r="AQ46" s="48">
        <v>24960</v>
      </c>
      <c r="AR46" s="84"/>
      <c r="AS46" s="81">
        <f t="shared" si="33"/>
        <v>0</v>
      </c>
      <c r="AT46" s="79">
        <f t="shared" si="34"/>
        <v>0</v>
      </c>
      <c r="AU46" s="49"/>
      <c r="AV46" s="84"/>
      <c r="AW46" s="81">
        <v>0</v>
      </c>
      <c r="AX46" s="79">
        <v>0</v>
      </c>
      <c r="AY46" s="49"/>
      <c r="AZ46" s="84"/>
      <c r="BA46" s="81">
        <v>0</v>
      </c>
      <c r="BB46" s="79">
        <v>0</v>
      </c>
      <c r="BC46" s="49"/>
      <c r="BD46" s="84"/>
      <c r="BE46" s="81">
        <v>0</v>
      </c>
      <c r="BF46" s="79">
        <v>0</v>
      </c>
      <c r="BG46" s="49"/>
      <c r="BH46" s="84"/>
      <c r="BI46" s="81">
        <v>0</v>
      </c>
      <c r="BJ46" s="79">
        <v>0</v>
      </c>
      <c r="BK46" s="49"/>
      <c r="BL46" s="84"/>
      <c r="BM46" s="81">
        <v>0</v>
      </c>
      <c r="BN46" s="79">
        <v>0</v>
      </c>
      <c r="BO46" s="49"/>
      <c r="BP46" s="84"/>
      <c r="BQ46" s="81">
        <v>0</v>
      </c>
      <c r="BR46" s="79">
        <v>0</v>
      </c>
      <c r="BS46" s="49"/>
      <c r="BT46" s="84"/>
      <c r="BU46" s="81">
        <f t="shared" si="35"/>
        <v>0</v>
      </c>
      <c r="BV46" s="79">
        <f t="shared" si="36"/>
        <v>0</v>
      </c>
      <c r="BW46" s="48">
        <v>960</v>
      </c>
      <c r="BX46" s="84"/>
      <c r="BY46" s="81">
        <f t="shared" si="37"/>
        <v>0</v>
      </c>
      <c r="BZ46" s="79">
        <f t="shared" si="38"/>
        <v>0</v>
      </c>
      <c r="CA46" s="48"/>
      <c r="CB46" s="84"/>
      <c r="CC46" s="81">
        <v>0</v>
      </c>
      <c r="CD46" s="79">
        <v>0</v>
      </c>
      <c r="CE46" s="49">
        <v>960</v>
      </c>
      <c r="CF46" s="84"/>
      <c r="CG46" s="81">
        <f t="shared" si="39"/>
        <v>0</v>
      </c>
      <c r="CH46" s="79">
        <f t="shared" si="40"/>
        <v>0</v>
      </c>
      <c r="CI46" s="33"/>
      <c r="CJ46" s="84"/>
      <c r="CK46" s="81">
        <f t="shared" si="41"/>
        <v>0</v>
      </c>
      <c r="CL46" s="79">
        <f t="shared" si="42"/>
        <v>0</v>
      </c>
      <c r="CM46" s="34"/>
      <c r="CN46" s="34"/>
      <c r="CO46" s="34"/>
      <c r="CP46" s="34"/>
      <c r="CQ46" s="50">
        <f t="shared" si="43"/>
        <v>1</v>
      </c>
      <c r="CR46" s="77">
        <f t="shared" si="44"/>
        <v>0</v>
      </c>
      <c r="CS46" s="28"/>
    </row>
    <row r="47" spans="1:97" s="1" customFormat="1">
      <c r="A47" s="30" t="s">
        <v>148</v>
      </c>
      <c r="B47" s="47"/>
      <c r="C47" s="31" t="s">
        <v>123</v>
      </c>
      <c r="D47" s="32"/>
      <c r="E47" s="32"/>
      <c r="F47" s="87"/>
      <c r="G47" s="48">
        <v>4800</v>
      </c>
      <c r="H47" s="84"/>
      <c r="I47" s="80">
        <f t="shared" si="21"/>
        <v>0</v>
      </c>
      <c r="J47" s="79">
        <f t="shared" si="22"/>
        <v>0</v>
      </c>
      <c r="K47" s="49"/>
      <c r="L47" s="84"/>
      <c r="M47" s="81">
        <f t="shared" si="24"/>
        <v>0</v>
      </c>
      <c r="N47" s="79">
        <f t="shared" si="25"/>
        <v>0</v>
      </c>
      <c r="O47" s="48"/>
      <c r="P47" s="84"/>
      <c r="Q47" s="81">
        <f t="shared" si="26"/>
        <v>0</v>
      </c>
      <c r="R47" s="79">
        <f t="shared" si="27"/>
        <v>0</v>
      </c>
      <c r="S47" s="49"/>
      <c r="T47" s="84"/>
      <c r="U47" s="81">
        <v>0</v>
      </c>
      <c r="V47" s="79">
        <v>0</v>
      </c>
      <c r="W47" s="49"/>
      <c r="X47" s="84"/>
      <c r="Y47" s="81">
        <v>0</v>
      </c>
      <c r="Z47" s="79">
        <v>0</v>
      </c>
      <c r="AA47" s="49"/>
      <c r="AB47" s="84"/>
      <c r="AC47" s="81">
        <v>0</v>
      </c>
      <c r="AD47" s="79">
        <v>0</v>
      </c>
      <c r="AE47" s="49"/>
      <c r="AF47" s="84"/>
      <c r="AG47" s="81">
        <f t="shared" si="23"/>
        <v>0</v>
      </c>
      <c r="AH47" s="79">
        <f t="shared" si="28"/>
        <v>0</v>
      </c>
      <c r="AI47" s="48"/>
      <c r="AJ47" s="84"/>
      <c r="AK47" s="81">
        <f t="shared" si="29"/>
        <v>0</v>
      </c>
      <c r="AL47" s="79">
        <f t="shared" si="30"/>
        <v>0</v>
      </c>
      <c r="AM47" s="48"/>
      <c r="AN47" s="84"/>
      <c r="AO47" s="81">
        <f t="shared" si="31"/>
        <v>0</v>
      </c>
      <c r="AP47" s="79">
        <f t="shared" si="32"/>
        <v>0</v>
      </c>
      <c r="AQ47" s="48"/>
      <c r="AR47" s="84"/>
      <c r="AS47" s="81">
        <f t="shared" si="33"/>
        <v>0</v>
      </c>
      <c r="AT47" s="79">
        <f t="shared" si="34"/>
        <v>0</v>
      </c>
      <c r="AU47" s="49"/>
      <c r="AV47" s="84"/>
      <c r="AW47" s="81">
        <v>0</v>
      </c>
      <c r="AX47" s="79">
        <v>0</v>
      </c>
      <c r="AY47" s="49"/>
      <c r="AZ47" s="84"/>
      <c r="BA47" s="81">
        <v>0</v>
      </c>
      <c r="BB47" s="79">
        <v>0</v>
      </c>
      <c r="BC47" s="49"/>
      <c r="BD47" s="84"/>
      <c r="BE47" s="81">
        <v>0</v>
      </c>
      <c r="BF47" s="79">
        <v>0</v>
      </c>
      <c r="BG47" s="49"/>
      <c r="BH47" s="84"/>
      <c r="BI47" s="81">
        <v>0</v>
      </c>
      <c r="BJ47" s="79">
        <v>0</v>
      </c>
      <c r="BK47" s="49"/>
      <c r="BL47" s="84"/>
      <c r="BM47" s="81">
        <v>0</v>
      </c>
      <c r="BN47" s="79">
        <v>0</v>
      </c>
      <c r="BO47" s="49"/>
      <c r="BP47" s="84"/>
      <c r="BQ47" s="81">
        <v>0</v>
      </c>
      <c r="BR47" s="79">
        <v>0</v>
      </c>
      <c r="BS47" s="49"/>
      <c r="BT47" s="84"/>
      <c r="BU47" s="81">
        <f t="shared" si="35"/>
        <v>0</v>
      </c>
      <c r="BV47" s="79">
        <f t="shared" si="36"/>
        <v>0</v>
      </c>
      <c r="BW47" s="48"/>
      <c r="BX47" s="84"/>
      <c r="BY47" s="81">
        <f t="shared" si="37"/>
        <v>0</v>
      </c>
      <c r="BZ47" s="79">
        <f t="shared" si="38"/>
        <v>0</v>
      </c>
      <c r="CA47" s="48"/>
      <c r="CB47" s="84"/>
      <c r="CC47" s="81">
        <v>0</v>
      </c>
      <c r="CD47" s="79">
        <v>0</v>
      </c>
      <c r="CE47" s="49"/>
      <c r="CF47" s="84"/>
      <c r="CG47" s="81">
        <f t="shared" si="39"/>
        <v>0</v>
      </c>
      <c r="CH47" s="79">
        <f t="shared" si="40"/>
        <v>0</v>
      </c>
      <c r="CI47" s="33"/>
      <c r="CJ47" s="84"/>
      <c r="CK47" s="81">
        <f t="shared" si="41"/>
        <v>0</v>
      </c>
      <c r="CL47" s="79">
        <f t="shared" si="42"/>
        <v>0</v>
      </c>
      <c r="CM47" s="34"/>
      <c r="CN47" s="34"/>
      <c r="CO47" s="34"/>
      <c r="CP47" s="34"/>
      <c r="CQ47" s="50">
        <f t="shared" si="43"/>
        <v>1</v>
      </c>
      <c r="CR47" s="77">
        <f t="shared" si="44"/>
        <v>0</v>
      </c>
      <c r="CS47" s="28"/>
    </row>
    <row r="48" spans="1:97" s="1" customFormat="1">
      <c r="A48" s="30" t="s">
        <v>149</v>
      </c>
      <c r="B48" s="47"/>
      <c r="C48" s="63" t="s">
        <v>120</v>
      </c>
      <c r="D48" s="32"/>
      <c r="E48" s="32"/>
      <c r="F48" s="87"/>
      <c r="G48" s="48"/>
      <c r="H48" s="84"/>
      <c r="I48" s="80">
        <f t="shared" si="21"/>
        <v>0</v>
      </c>
      <c r="J48" s="79">
        <f t="shared" si="22"/>
        <v>0</v>
      </c>
      <c r="K48" s="49"/>
      <c r="L48" s="84"/>
      <c r="M48" s="81">
        <f t="shared" si="24"/>
        <v>0</v>
      </c>
      <c r="N48" s="79">
        <f t="shared" si="25"/>
        <v>0</v>
      </c>
      <c r="O48" s="48"/>
      <c r="P48" s="84"/>
      <c r="Q48" s="81">
        <f t="shared" si="26"/>
        <v>0</v>
      </c>
      <c r="R48" s="79">
        <f t="shared" si="27"/>
        <v>0</v>
      </c>
      <c r="S48" s="49"/>
      <c r="T48" s="84"/>
      <c r="U48" s="81">
        <f t="shared" ref="U48:U59" si="45">T48*CQ48</f>
        <v>0</v>
      </c>
      <c r="V48" s="79">
        <f t="shared" ref="V48:V59" si="46">S48*U48</f>
        <v>0</v>
      </c>
      <c r="W48" s="49"/>
      <c r="X48" s="84"/>
      <c r="Y48" s="81">
        <f t="shared" ref="Y48:Y59" si="47">X48*CT48</f>
        <v>0</v>
      </c>
      <c r="Z48" s="79">
        <f t="shared" ref="Z48:Z59" si="48">W48*Y48</f>
        <v>0</v>
      </c>
      <c r="AA48" s="49"/>
      <c r="AB48" s="84"/>
      <c r="AC48" s="81">
        <f t="shared" ref="AC48:AC59" si="49">AB48*CW48</f>
        <v>0</v>
      </c>
      <c r="AD48" s="79">
        <f t="shared" ref="AD48:AD59" si="50">AA48*AC48</f>
        <v>0</v>
      </c>
      <c r="AE48" s="49"/>
      <c r="AF48" s="84"/>
      <c r="AG48" s="81">
        <f t="shared" si="23"/>
        <v>0</v>
      </c>
      <c r="AH48" s="79">
        <f t="shared" si="28"/>
        <v>0</v>
      </c>
      <c r="AI48" s="48"/>
      <c r="AJ48" s="84"/>
      <c r="AK48" s="81">
        <f t="shared" si="29"/>
        <v>0</v>
      </c>
      <c r="AL48" s="79">
        <f t="shared" si="30"/>
        <v>0</v>
      </c>
      <c r="AM48" s="48"/>
      <c r="AN48" s="84"/>
      <c r="AO48" s="81">
        <f t="shared" si="31"/>
        <v>0</v>
      </c>
      <c r="AP48" s="79">
        <f t="shared" si="32"/>
        <v>0</v>
      </c>
      <c r="AQ48" s="48"/>
      <c r="AR48" s="84"/>
      <c r="AS48" s="81">
        <f t="shared" si="33"/>
        <v>0</v>
      </c>
      <c r="AT48" s="79">
        <f t="shared" si="34"/>
        <v>0</v>
      </c>
      <c r="AU48" s="49"/>
      <c r="AV48" s="84"/>
      <c r="AW48" s="81">
        <v>0</v>
      </c>
      <c r="AX48" s="79">
        <v>0</v>
      </c>
      <c r="AY48" s="49"/>
      <c r="AZ48" s="84"/>
      <c r="BA48" s="81">
        <v>0</v>
      </c>
      <c r="BB48" s="79">
        <v>0</v>
      </c>
      <c r="BC48" s="49"/>
      <c r="BD48" s="84"/>
      <c r="BE48" s="81">
        <v>0</v>
      </c>
      <c r="BF48" s="79">
        <v>0</v>
      </c>
      <c r="BG48" s="49"/>
      <c r="BH48" s="84"/>
      <c r="BI48" s="81">
        <v>0</v>
      </c>
      <c r="BJ48" s="79">
        <v>0</v>
      </c>
      <c r="BK48" s="49"/>
      <c r="BL48" s="84"/>
      <c r="BM48" s="81">
        <v>0</v>
      </c>
      <c r="BN48" s="79">
        <v>0</v>
      </c>
      <c r="BO48" s="49"/>
      <c r="BP48" s="84"/>
      <c r="BQ48" s="81">
        <v>0</v>
      </c>
      <c r="BR48" s="79">
        <v>0</v>
      </c>
      <c r="BS48" s="49"/>
      <c r="BT48" s="84"/>
      <c r="BU48" s="81">
        <f t="shared" si="35"/>
        <v>0</v>
      </c>
      <c r="BV48" s="79">
        <f t="shared" si="36"/>
        <v>0</v>
      </c>
      <c r="BW48" s="48"/>
      <c r="BX48" s="84"/>
      <c r="BY48" s="81">
        <f t="shared" si="37"/>
        <v>0</v>
      </c>
      <c r="BZ48" s="79">
        <f t="shared" si="38"/>
        <v>0</v>
      </c>
      <c r="CA48" s="48"/>
      <c r="CB48" s="84"/>
      <c r="CC48" s="81">
        <v>0</v>
      </c>
      <c r="CD48" s="79">
        <v>0</v>
      </c>
      <c r="CE48" s="49"/>
      <c r="CF48" s="84"/>
      <c r="CG48" s="81">
        <f t="shared" si="39"/>
        <v>0</v>
      </c>
      <c r="CH48" s="79">
        <f t="shared" si="40"/>
        <v>0</v>
      </c>
      <c r="CI48" s="33"/>
      <c r="CJ48" s="84"/>
      <c r="CK48" s="81">
        <f t="shared" si="41"/>
        <v>0</v>
      </c>
      <c r="CL48" s="79">
        <f t="shared" si="42"/>
        <v>0</v>
      </c>
      <c r="CM48" s="34"/>
      <c r="CN48" s="34"/>
      <c r="CO48" s="34"/>
      <c r="CP48" s="34"/>
      <c r="CQ48" s="50">
        <f t="shared" si="43"/>
        <v>1</v>
      </c>
      <c r="CR48" s="77">
        <f t="shared" si="44"/>
        <v>0</v>
      </c>
      <c r="CS48" s="28"/>
    </row>
    <row r="49" spans="1:97" s="1" customFormat="1">
      <c r="A49" s="30" t="s">
        <v>150</v>
      </c>
      <c r="B49" s="47"/>
      <c r="C49" s="31" t="s">
        <v>121</v>
      </c>
      <c r="D49" s="32"/>
      <c r="E49" s="32"/>
      <c r="F49" s="87"/>
      <c r="G49" s="48"/>
      <c r="H49" s="84"/>
      <c r="I49" s="80">
        <f t="shared" si="21"/>
        <v>0</v>
      </c>
      <c r="J49" s="79">
        <f t="shared" si="22"/>
        <v>0</v>
      </c>
      <c r="K49" s="49"/>
      <c r="L49" s="84"/>
      <c r="M49" s="81">
        <f t="shared" si="24"/>
        <v>0</v>
      </c>
      <c r="N49" s="79">
        <f t="shared" si="25"/>
        <v>0</v>
      </c>
      <c r="O49" s="48"/>
      <c r="P49" s="84"/>
      <c r="Q49" s="81">
        <f t="shared" si="26"/>
        <v>0</v>
      </c>
      <c r="R49" s="79">
        <f t="shared" si="27"/>
        <v>0</v>
      </c>
      <c r="S49" s="49"/>
      <c r="T49" s="84"/>
      <c r="U49" s="81">
        <f t="shared" si="45"/>
        <v>0</v>
      </c>
      <c r="V49" s="79">
        <f t="shared" si="46"/>
        <v>0</v>
      </c>
      <c r="W49" s="49"/>
      <c r="X49" s="84"/>
      <c r="Y49" s="81">
        <f t="shared" si="47"/>
        <v>0</v>
      </c>
      <c r="Z49" s="79">
        <f t="shared" si="48"/>
        <v>0</v>
      </c>
      <c r="AA49" s="49"/>
      <c r="AB49" s="84"/>
      <c r="AC49" s="81">
        <f t="shared" si="49"/>
        <v>0</v>
      </c>
      <c r="AD49" s="79">
        <f t="shared" si="50"/>
        <v>0</v>
      </c>
      <c r="AE49" s="49"/>
      <c r="AF49" s="84"/>
      <c r="AG49" s="81">
        <f t="shared" si="23"/>
        <v>0</v>
      </c>
      <c r="AH49" s="79">
        <f t="shared" si="28"/>
        <v>0</v>
      </c>
      <c r="AI49" s="48"/>
      <c r="AJ49" s="84"/>
      <c r="AK49" s="81">
        <f t="shared" si="29"/>
        <v>0</v>
      </c>
      <c r="AL49" s="79">
        <f t="shared" si="30"/>
        <v>0</v>
      </c>
      <c r="AM49" s="48"/>
      <c r="AN49" s="84"/>
      <c r="AO49" s="81">
        <f t="shared" si="31"/>
        <v>0</v>
      </c>
      <c r="AP49" s="79">
        <f t="shared" si="32"/>
        <v>0</v>
      </c>
      <c r="AQ49" s="48"/>
      <c r="AR49" s="84"/>
      <c r="AS49" s="81">
        <f t="shared" si="33"/>
        <v>0</v>
      </c>
      <c r="AT49" s="79">
        <f t="shared" si="34"/>
        <v>0</v>
      </c>
      <c r="AU49" s="49"/>
      <c r="AV49" s="84"/>
      <c r="AW49" s="81">
        <v>0</v>
      </c>
      <c r="AX49" s="79">
        <v>0</v>
      </c>
      <c r="AY49" s="49"/>
      <c r="AZ49" s="84"/>
      <c r="BA49" s="81">
        <v>0</v>
      </c>
      <c r="BB49" s="79">
        <v>0</v>
      </c>
      <c r="BC49" s="49"/>
      <c r="BD49" s="84"/>
      <c r="BE49" s="81">
        <v>0</v>
      </c>
      <c r="BF49" s="79">
        <v>0</v>
      </c>
      <c r="BG49" s="49"/>
      <c r="BH49" s="84"/>
      <c r="BI49" s="81">
        <v>0</v>
      </c>
      <c r="BJ49" s="79">
        <v>0</v>
      </c>
      <c r="BK49" s="49"/>
      <c r="BL49" s="84"/>
      <c r="BM49" s="81">
        <v>0</v>
      </c>
      <c r="BN49" s="79">
        <v>0</v>
      </c>
      <c r="BO49" s="49"/>
      <c r="BP49" s="84"/>
      <c r="BQ49" s="81">
        <v>0</v>
      </c>
      <c r="BR49" s="79">
        <v>0</v>
      </c>
      <c r="BS49" s="49"/>
      <c r="BT49" s="84"/>
      <c r="BU49" s="81">
        <f t="shared" si="35"/>
        <v>0</v>
      </c>
      <c r="BV49" s="79">
        <f t="shared" si="36"/>
        <v>0</v>
      </c>
      <c r="BW49" s="48">
        <v>960</v>
      </c>
      <c r="BX49" s="84"/>
      <c r="BY49" s="81">
        <f t="shared" si="37"/>
        <v>0</v>
      </c>
      <c r="BZ49" s="79">
        <f t="shared" si="38"/>
        <v>0</v>
      </c>
      <c r="CA49" s="48"/>
      <c r="CB49" s="84"/>
      <c r="CC49" s="81">
        <v>0</v>
      </c>
      <c r="CD49" s="79">
        <v>0</v>
      </c>
      <c r="CE49" s="49"/>
      <c r="CF49" s="84"/>
      <c r="CG49" s="81">
        <f t="shared" si="39"/>
        <v>0</v>
      </c>
      <c r="CH49" s="79">
        <f t="shared" si="40"/>
        <v>0</v>
      </c>
      <c r="CI49" s="33"/>
      <c r="CJ49" s="84"/>
      <c r="CK49" s="81">
        <f t="shared" si="41"/>
        <v>0</v>
      </c>
      <c r="CL49" s="79">
        <f t="shared" si="42"/>
        <v>0</v>
      </c>
      <c r="CM49" s="34"/>
      <c r="CN49" s="34"/>
      <c r="CO49" s="34"/>
      <c r="CP49" s="34"/>
      <c r="CQ49" s="50">
        <f t="shared" si="43"/>
        <v>1</v>
      </c>
      <c r="CR49" s="77">
        <f t="shared" si="44"/>
        <v>0</v>
      </c>
      <c r="CS49" s="28"/>
    </row>
    <row r="50" spans="1:97" s="1" customFormat="1">
      <c r="A50" s="30" t="s">
        <v>151</v>
      </c>
      <c r="B50" s="47"/>
      <c r="C50" s="31" t="s">
        <v>123</v>
      </c>
      <c r="D50" s="32"/>
      <c r="E50" s="32"/>
      <c r="F50" s="87"/>
      <c r="G50" s="48"/>
      <c r="H50" s="84"/>
      <c r="I50" s="80">
        <f t="shared" si="21"/>
        <v>0</v>
      </c>
      <c r="J50" s="79">
        <f t="shared" si="22"/>
        <v>0</v>
      </c>
      <c r="K50" s="49"/>
      <c r="L50" s="84"/>
      <c r="M50" s="81">
        <f t="shared" si="24"/>
        <v>0</v>
      </c>
      <c r="N50" s="79">
        <f t="shared" si="25"/>
        <v>0</v>
      </c>
      <c r="O50" s="48"/>
      <c r="P50" s="84"/>
      <c r="Q50" s="81">
        <f t="shared" si="26"/>
        <v>0</v>
      </c>
      <c r="R50" s="79">
        <f t="shared" si="27"/>
        <v>0</v>
      </c>
      <c r="S50" s="49"/>
      <c r="T50" s="84"/>
      <c r="U50" s="81">
        <f t="shared" si="45"/>
        <v>0</v>
      </c>
      <c r="V50" s="79">
        <f t="shared" si="46"/>
        <v>0</v>
      </c>
      <c r="W50" s="49"/>
      <c r="X50" s="84"/>
      <c r="Y50" s="81">
        <f t="shared" si="47"/>
        <v>0</v>
      </c>
      <c r="Z50" s="79">
        <f t="shared" si="48"/>
        <v>0</v>
      </c>
      <c r="AA50" s="49"/>
      <c r="AB50" s="84"/>
      <c r="AC50" s="81">
        <f t="shared" si="49"/>
        <v>0</v>
      </c>
      <c r="AD50" s="79">
        <f t="shared" si="50"/>
        <v>0</v>
      </c>
      <c r="AE50" s="49"/>
      <c r="AF50" s="84"/>
      <c r="AG50" s="81">
        <f t="shared" si="23"/>
        <v>0</v>
      </c>
      <c r="AH50" s="79">
        <f t="shared" si="28"/>
        <v>0</v>
      </c>
      <c r="AI50" s="48"/>
      <c r="AJ50" s="84"/>
      <c r="AK50" s="81">
        <f t="shared" si="29"/>
        <v>0</v>
      </c>
      <c r="AL50" s="79">
        <f t="shared" si="30"/>
        <v>0</v>
      </c>
      <c r="AM50" s="48"/>
      <c r="AN50" s="84"/>
      <c r="AO50" s="81">
        <f t="shared" si="31"/>
        <v>0</v>
      </c>
      <c r="AP50" s="79">
        <f t="shared" si="32"/>
        <v>0</v>
      </c>
      <c r="AQ50" s="48"/>
      <c r="AR50" s="84"/>
      <c r="AS50" s="81">
        <f t="shared" si="33"/>
        <v>0</v>
      </c>
      <c r="AT50" s="79">
        <f t="shared" si="34"/>
        <v>0</v>
      </c>
      <c r="AU50" s="49"/>
      <c r="AV50" s="84"/>
      <c r="AW50" s="81">
        <v>0</v>
      </c>
      <c r="AX50" s="79">
        <v>0</v>
      </c>
      <c r="AY50" s="49"/>
      <c r="AZ50" s="84"/>
      <c r="BA50" s="81">
        <v>0</v>
      </c>
      <c r="BB50" s="79">
        <v>0</v>
      </c>
      <c r="BC50" s="49"/>
      <c r="BD50" s="84"/>
      <c r="BE50" s="81">
        <v>0</v>
      </c>
      <c r="BF50" s="79">
        <v>0</v>
      </c>
      <c r="BG50" s="49"/>
      <c r="BH50" s="84"/>
      <c r="BI50" s="81">
        <v>0</v>
      </c>
      <c r="BJ50" s="79">
        <v>0</v>
      </c>
      <c r="BK50" s="49"/>
      <c r="BL50" s="84"/>
      <c r="BM50" s="81">
        <v>0</v>
      </c>
      <c r="BN50" s="79">
        <v>0</v>
      </c>
      <c r="BO50" s="49"/>
      <c r="BP50" s="84"/>
      <c r="BQ50" s="81">
        <v>0</v>
      </c>
      <c r="BR50" s="79">
        <v>0</v>
      </c>
      <c r="BS50" s="49"/>
      <c r="BT50" s="84"/>
      <c r="BU50" s="81">
        <f t="shared" si="35"/>
        <v>0</v>
      </c>
      <c r="BV50" s="79">
        <f t="shared" si="36"/>
        <v>0</v>
      </c>
      <c r="BW50" s="48"/>
      <c r="BX50" s="84"/>
      <c r="BY50" s="81">
        <f t="shared" si="37"/>
        <v>0</v>
      </c>
      <c r="BZ50" s="79">
        <f t="shared" si="38"/>
        <v>0</v>
      </c>
      <c r="CA50" s="48"/>
      <c r="CB50" s="84"/>
      <c r="CC50" s="81">
        <v>0</v>
      </c>
      <c r="CD50" s="79">
        <v>0</v>
      </c>
      <c r="CE50" s="49"/>
      <c r="CF50" s="84"/>
      <c r="CG50" s="81">
        <f t="shared" si="39"/>
        <v>0</v>
      </c>
      <c r="CH50" s="79">
        <f t="shared" si="40"/>
        <v>0</v>
      </c>
      <c r="CI50" s="33"/>
      <c r="CJ50" s="84"/>
      <c r="CK50" s="81">
        <f t="shared" si="41"/>
        <v>0</v>
      </c>
      <c r="CL50" s="79">
        <f t="shared" si="42"/>
        <v>0</v>
      </c>
      <c r="CM50" s="34"/>
      <c r="CN50" s="34"/>
      <c r="CO50" s="34"/>
      <c r="CP50" s="34"/>
      <c r="CQ50" s="50">
        <f t="shared" si="43"/>
        <v>1</v>
      </c>
      <c r="CR50" s="77">
        <f t="shared" si="44"/>
        <v>0</v>
      </c>
      <c r="CS50" s="28"/>
    </row>
    <row r="51" spans="1:97" s="1" customFormat="1">
      <c r="A51" s="30" t="s">
        <v>152</v>
      </c>
      <c r="B51" s="47"/>
      <c r="C51" s="63" t="s">
        <v>120</v>
      </c>
      <c r="D51" s="32"/>
      <c r="E51" s="32"/>
      <c r="F51" s="87"/>
      <c r="G51" s="48"/>
      <c r="H51" s="84"/>
      <c r="I51" s="80">
        <f t="shared" si="21"/>
        <v>0</v>
      </c>
      <c r="J51" s="79">
        <f t="shared" si="22"/>
        <v>0</v>
      </c>
      <c r="K51" s="49"/>
      <c r="L51" s="84"/>
      <c r="M51" s="81">
        <f t="shared" si="24"/>
        <v>0</v>
      </c>
      <c r="N51" s="79">
        <f t="shared" si="25"/>
        <v>0</v>
      </c>
      <c r="O51" s="48"/>
      <c r="P51" s="84"/>
      <c r="Q51" s="81">
        <f t="shared" si="26"/>
        <v>0</v>
      </c>
      <c r="R51" s="79">
        <f t="shared" si="27"/>
        <v>0</v>
      </c>
      <c r="S51" s="49"/>
      <c r="T51" s="84"/>
      <c r="U51" s="81">
        <f t="shared" si="45"/>
        <v>0</v>
      </c>
      <c r="V51" s="79">
        <f t="shared" si="46"/>
        <v>0</v>
      </c>
      <c r="W51" s="49"/>
      <c r="X51" s="84"/>
      <c r="Y51" s="81">
        <f t="shared" si="47"/>
        <v>0</v>
      </c>
      <c r="Z51" s="79">
        <f t="shared" si="48"/>
        <v>0</v>
      </c>
      <c r="AA51" s="49"/>
      <c r="AB51" s="84"/>
      <c r="AC51" s="81">
        <f t="shared" si="49"/>
        <v>0</v>
      </c>
      <c r="AD51" s="79">
        <f t="shared" si="50"/>
        <v>0</v>
      </c>
      <c r="AE51" s="49"/>
      <c r="AF51" s="84"/>
      <c r="AG51" s="81">
        <f t="shared" si="23"/>
        <v>0</v>
      </c>
      <c r="AH51" s="79">
        <f t="shared" si="28"/>
        <v>0</v>
      </c>
      <c r="AI51" s="48"/>
      <c r="AJ51" s="84"/>
      <c r="AK51" s="81">
        <f t="shared" si="29"/>
        <v>0</v>
      </c>
      <c r="AL51" s="79">
        <f t="shared" si="30"/>
        <v>0</v>
      </c>
      <c r="AM51" s="48"/>
      <c r="AN51" s="84"/>
      <c r="AO51" s="81">
        <f t="shared" si="31"/>
        <v>0</v>
      </c>
      <c r="AP51" s="79">
        <f t="shared" si="32"/>
        <v>0</v>
      </c>
      <c r="AQ51" s="48"/>
      <c r="AR51" s="84"/>
      <c r="AS51" s="81">
        <f t="shared" si="33"/>
        <v>0</v>
      </c>
      <c r="AT51" s="79">
        <f t="shared" si="34"/>
        <v>0</v>
      </c>
      <c r="AU51" s="49"/>
      <c r="AV51" s="84"/>
      <c r="AW51" s="81">
        <v>0</v>
      </c>
      <c r="AX51" s="79">
        <v>0</v>
      </c>
      <c r="AY51" s="49"/>
      <c r="AZ51" s="84"/>
      <c r="BA51" s="81">
        <v>0</v>
      </c>
      <c r="BB51" s="79">
        <v>0</v>
      </c>
      <c r="BC51" s="49"/>
      <c r="BD51" s="84"/>
      <c r="BE51" s="81">
        <v>0</v>
      </c>
      <c r="BF51" s="79">
        <v>0</v>
      </c>
      <c r="BG51" s="49"/>
      <c r="BH51" s="84"/>
      <c r="BI51" s="81">
        <v>0</v>
      </c>
      <c r="BJ51" s="79">
        <v>0</v>
      </c>
      <c r="BK51" s="49"/>
      <c r="BL51" s="84"/>
      <c r="BM51" s="81">
        <v>0</v>
      </c>
      <c r="BN51" s="79">
        <v>0</v>
      </c>
      <c r="BO51" s="49"/>
      <c r="BP51" s="84"/>
      <c r="BQ51" s="81">
        <v>0</v>
      </c>
      <c r="BR51" s="79">
        <v>0</v>
      </c>
      <c r="BS51" s="49"/>
      <c r="BT51" s="84"/>
      <c r="BU51" s="81">
        <f t="shared" si="35"/>
        <v>0</v>
      </c>
      <c r="BV51" s="79">
        <f t="shared" si="36"/>
        <v>0</v>
      </c>
      <c r="BW51" s="48">
        <v>960</v>
      </c>
      <c r="BX51" s="84"/>
      <c r="BY51" s="81">
        <f t="shared" si="37"/>
        <v>0</v>
      </c>
      <c r="BZ51" s="79">
        <f t="shared" si="38"/>
        <v>0</v>
      </c>
      <c r="CA51" s="48"/>
      <c r="CB51" s="84"/>
      <c r="CC51" s="81">
        <v>0</v>
      </c>
      <c r="CD51" s="79">
        <v>0</v>
      </c>
      <c r="CE51" s="49"/>
      <c r="CF51" s="84"/>
      <c r="CG51" s="81">
        <f t="shared" si="39"/>
        <v>0</v>
      </c>
      <c r="CH51" s="79">
        <f t="shared" si="40"/>
        <v>0</v>
      </c>
      <c r="CI51" s="33"/>
      <c r="CJ51" s="84"/>
      <c r="CK51" s="81">
        <f t="shared" si="41"/>
        <v>0</v>
      </c>
      <c r="CL51" s="79">
        <f t="shared" si="42"/>
        <v>0</v>
      </c>
      <c r="CM51" s="34"/>
      <c r="CN51" s="34"/>
      <c r="CO51" s="34"/>
      <c r="CP51" s="34"/>
      <c r="CQ51" s="50">
        <f t="shared" si="43"/>
        <v>1</v>
      </c>
      <c r="CR51" s="77">
        <f t="shared" si="44"/>
        <v>0</v>
      </c>
      <c r="CS51" s="28"/>
    </row>
    <row r="52" spans="1:97" s="1" customFormat="1">
      <c r="A52" s="30" t="s">
        <v>152</v>
      </c>
      <c r="B52" s="47"/>
      <c r="C52" s="31" t="s">
        <v>123</v>
      </c>
      <c r="D52" s="32"/>
      <c r="E52" s="32"/>
      <c r="F52" s="87"/>
      <c r="G52" s="48">
        <v>480</v>
      </c>
      <c r="H52" s="84"/>
      <c r="I52" s="80">
        <f t="shared" si="21"/>
        <v>0</v>
      </c>
      <c r="J52" s="79">
        <f t="shared" si="22"/>
        <v>0</v>
      </c>
      <c r="K52" s="49"/>
      <c r="L52" s="84"/>
      <c r="M52" s="81">
        <f t="shared" si="24"/>
        <v>0</v>
      </c>
      <c r="N52" s="79">
        <f t="shared" si="25"/>
        <v>0</v>
      </c>
      <c r="O52" s="48"/>
      <c r="P52" s="84"/>
      <c r="Q52" s="81">
        <f t="shared" si="26"/>
        <v>0</v>
      </c>
      <c r="R52" s="79">
        <f t="shared" si="27"/>
        <v>0</v>
      </c>
      <c r="S52" s="49"/>
      <c r="T52" s="84"/>
      <c r="U52" s="81">
        <f t="shared" si="45"/>
        <v>0</v>
      </c>
      <c r="V52" s="79">
        <f t="shared" si="46"/>
        <v>0</v>
      </c>
      <c r="W52" s="49"/>
      <c r="X52" s="84"/>
      <c r="Y52" s="81">
        <f t="shared" si="47"/>
        <v>0</v>
      </c>
      <c r="Z52" s="79">
        <f t="shared" si="48"/>
        <v>0</v>
      </c>
      <c r="AA52" s="49"/>
      <c r="AB52" s="84"/>
      <c r="AC52" s="81">
        <f t="shared" si="49"/>
        <v>0</v>
      </c>
      <c r="AD52" s="79">
        <f t="shared" si="50"/>
        <v>0</v>
      </c>
      <c r="AE52" s="49"/>
      <c r="AF52" s="84"/>
      <c r="AG52" s="81">
        <f t="shared" si="23"/>
        <v>0</v>
      </c>
      <c r="AH52" s="79">
        <f t="shared" si="28"/>
        <v>0</v>
      </c>
      <c r="AI52" s="48"/>
      <c r="AJ52" s="84"/>
      <c r="AK52" s="81">
        <f t="shared" si="29"/>
        <v>0</v>
      </c>
      <c r="AL52" s="79">
        <f t="shared" si="30"/>
        <v>0</v>
      </c>
      <c r="AM52" s="48"/>
      <c r="AN52" s="84"/>
      <c r="AO52" s="81">
        <f t="shared" si="31"/>
        <v>0</v>
      </c>
      <c r="AP52" s="79">
        <f t="shared" si="32"/>
        <v>0</v>
      </c>
      <c r="AQ52" s="48"/>
      <c r="AR52" s="84"/>
      <c r="AS52" s="81">
        <f t="shared" si="33"/>
        <v>0</v>
      </c>
      <c r="AT52" s="79">
        <f t="shared" si="34"/>
        <v>0</v>
      </c>
      <c r="AU52" s="49"/>
      <c r="AV52" s="84"/>
      <c r="AW52" s="81">
        <v>0</v>
      </c>
      <c r="AX52" s="79">
        <v>0</v>
      </c>
      <c r="AY52" s="49"/>
      <c r="AZ52" s="84"/>
      <c r="BA52" s="81">
        <v>0</v>
      </c>
      <c r="BB52" s="79">
        <v>0</v>
      </c>
      <c r="BC52" s="49"/>
      <c r="BD52" s="84"/>
      <c r="BE52" s="81">
        <v>0</v>
      </c>
      <c r="BF52" s="79">
        <v>0</v>
      </c>
      <c r="BG52" s="49"/>
      <c r="BH52" s="84"/>
      <c r="BI52" s="81">
        <v>0</v>
      </c>
      <c r="BJ52" s="79">
        <v>0</v>
      </c>
      <c r="BK52" s="49"/>
      <c r="BL52" s="84"/>
      <c r="BM52" s="81">
        <v>0</v>
      </c>
      <c r="BN52" s="79">
        <v>0</v>
      </c>
      <c r="BO52" s="49"/>
      <c r="BP52" s="84"/>
      <c r="BQ52" s="81">
        <v>0</v>
      </c>
      <c r="BR52" s="79">
        <v>0</v>
      </c>
      <c r="BS52" s="49"/>
      <c r="BT52" s="84"/>
      <c r="BU52" s="81">
        <f t="shared" si="35"/>
        <v>0</v>
      </c>
      <c r="BV52" s="79">
        <f t="shared" si="36"/>
        <v>0</v>
      </c>
      <c r="BW52" s="48">
        <v>960</v>
      </c>
      <c r="BX52" s="84"/>
      <c r="BY52" s="81">
        <f t="shared" si="37"/>
        <v>0</v>
      </c>
      <c r="BZ52" s="79">
        <f t="shared" si="38"/>
        <v>0</v>
      </c>
      <c r="CA52" s="48"/>
      <c r="CB52" s="84"/>
      <c r="CC52" s="81">
        <v>0</v>
      </c>
      <c r="CD52" s="79">
        <v>0</v>
      </c>
      <c r="CE52" s="49"/>
      <c r="CF52" s="84"/>
      <c r="CG52" s="81">
        <f t="shared" si="39"/>
        <v>0</v>
      </c>
      <c r="CH52" s="79">
        <f t="shared" si="40"/>
        <v>0</v>
      </c>
      <c r="CI52" s="33"/>
      <c r="CJ52" s="84"/>
      <c r="CK52" s="81">
        <f t="shared" si="41"/>
        <v>0</v>
      </c>
      <c r="CL52" s="79">
        <f t="shared" si="42"/>
        <v>0</v>
      </c>
      <c r="CM52" s="34"/>
      <c r="CN52" s="34"/>
      <c r="CO52" s="34"/>
      <c r="CP52" s="34"/>
      <c r="CQ52" s="50">
        <f t="shared" si="43"/>
        <v>1</v>
      </c>
      <c r="CR52" s="77">
        <f t="shared" si="44"/>
        <v>0</v>
      </c>
      <c r="CS52" s="28"/>
    </row>
    <row r="53" spans="1:97">
      <c r="A53" s="37" t="s">
        <v>153</v>
      </c>
      <c r="B53" s="55"/>
      <c r="C53" s="63" t="s">
        <v>120</v>
      </c>
      <c r="D53" s="32"/>
      <c r="E53" s="32"/>
      <c r="F53" s="87"/>
      <c r="G53" s="48"/>
      <c r="H53" s="84"/>
      <c r="I53" s="80">
        <f t="shared" si="21"/>
        <v>0</v>
      </c>
      <c r="J53" s="79">
        <f t="shared" si="22"/>
        <v>0</v>
      </c>
      <c r="K53" s="49"/>
      <c r="L53" s="84"/>
      <c r="M53" s="81">
        <f t="shared" si="24"/>
        <v>0</v>
      </c>
      <c r="N53" s="79">
        <f t="shared" si="25"/>
        <v>0</v>
      </c>
      <c r="O53" s="48"/>
      <c r="P53" s="84"/>
      <c r="Q53" s="81">
        <f t="shared" si="26"/>
        <v>0</v>
      </c>
      <c r="R53" s="79">
        <f t="shared" si="27"/>
        <v>0</v>
      </c>
      <c r="S53" s="49"/>
      <c r="T53" s="84"/>
      <c r="U53" s="81">
        <f t="shared" si="45"/>
        <v>0</v>
      </c>
      <c r="V53" s="79">
        <f t="shared" si="46"/>
        <v>0</v>
      </c>
      <c r="W53" s="49"/>
      <c r="X53" s="84"/>
      <c r="Y53" s="81">
        <f t="shared" si="47"/>
        <v>0</v>
      </c>
      <c r="Z53" s="79">
        <f t="shared" si="48"/>
        <v>0</v>
      </c>
      <c r="AA53" s="49"/>
      <c r="AB53" s="84"/>
      <c r="AC53" s="81">
        <f t="shared" si="49"/>
        <v>0</v>
      </c>
      <c r="AD53" s="79">
        <f t="shared" si="50"/>
        <v>0</v>
      </c>
      <c r="AE53" s="49"/>
      <c r="AF53" s="84"/>
      <c r="AG53" s="81">
        <f t="shared" si="23"/>
        <v>0</v>
      </c>
      <c r="AH53" s="79">
        <f t="shared" si="28"/>
        <v>0</v>
      </c>
      <c r="AI53" s="48"/>
      <c r="AJ53" s="84"/>
      <c r="AK53" s="81">
        <f t="shared" si="29"/>
        <v>0</v>
      </c>
      <c r="AL53" s="79">
        <f t="shared" si="30"/>
        <v>0</v>
      </c>
      <c r="AM53" s="48"/>
      <c r="AN53" s="84"/>
      <c r="AO53" s="81">
        <f t="shared" si="31"/>
        <v>0</v>
      </c>
      <c r="AP53" s="79">
        <f t="shared" si="32"/>
        <v>0</v>
      </c>
      <c r="AQ53" s="48"/>
      <c r="AR53" s="84"/>
      <c r="AS53" s="81">
        <f t="shared" si="33"/>
        <v>0</v>
      </c>
      <c r="AT53" s="79">
        <f t="shared" si="34"/>
        <v>0</v>
      </c>
      <c r="AU53" s="49"/>
      <c r="AV53" s="84"/>
      <c r="AW53" s="81">
        <v>0</v>
      </c>
      <c r="AX53" s="79">
        <v>0</v>
      </c>
      <c r="AY53" s="49"/>
      <c r="AZ53" s="84"/>
      <c r="BA53" s="81">
        <v>0</v>
      </c>
      <c r="BB53" s="79">
        <v>0</v>
      </c>
      <c r="BC53" s="49"/>
      <c r="BD53" s="84"/>
      <c r="BE53" s="81">
        <v>0</v>
      </c>
      <c r="BF53" s="79">
        <v>0</v>
      </c>
      <c r="BG53" s="49"/>
      <c r="BH53" s="84"/>
      <c r="BI53" s="81">
        <v>0</v>
      </c>
      <c r="BJ53" s="79">
        <v>0</v>
      </c>
      <c r="BK53" s="49"/>
      <c r="BL53" s="84"/>
      <c r="BM53" s="81">
        <v>0</v>
      </c>
      <c r="BN53" s="79">
        <v>0</v>
      </c>
      <c r="BO53" s="49"/>
      <c r="BP53" s="84"/>
      <c r="BQ53" s="81">
        <v>0</v>
      </c>
      <c r="BR53" s="79">
        <v>0</v>
      </c>
      <c r="BS53" s="49"/>
      <c r="BT53" s="84"/>
      <c r="BU53" s="81">
        <f t="shared" si="35"/>
        <v>0</v>
      </c>
      <c r="BV53" s="79">
        <f t="shared" si="36"/>
        <v>0</v>
      </c>
      <c r="BW53" s="48">
        <v>240</v>
      </c>
      <c r="BX53" s="84"/>
      <c r="BY53" s="81">
        <f t="shared" si="37"/>
        <v>0</v>
      </c>
      <c r="BZ53" s="79">
        <f t="shared" si="38"/>
        <v>0</v>
      </c>
      <c r="CA53" s="48"/>
      <c r="CB53" s="84"/>
      <c r="CC53" s="81">
        <v>0</v>
      </c>
      <c r="CD53" s="79">
        <v>0</v>
      </c>
      <c r="CE53" s="49"/>
      <c r="CF53" s="84"/>
      <c r="CG53" s="81">
        <f t="shared" si="39"/>
        <v>0</v>
      </c>
      <c r="CH53" s="79">
        <f t="shared" si="40"/>
        <v>0</v>
      </c>
      <c r="CI53" s="33"/>
      <c r="CJ53" s="84"/>
      <c r="CK53" s="81">
        <f t="shared" si="41"/>
        <v>0</v>
      </c>
      <c r="CL53" s="79">
        <f t="shared" si="42"/>
        <v>0</v>
      </c>
      <c r="CM53" s="34"/>
      <c r="CN53" s="34"/>
      <c r="CO53" s="34"/>
      <c r="CP53" s="34"/>
      <c r="CQ53" s="50">
        <f t="shared" si="43"/>
        <v>1</v>
      </c>
      <c r="CR53" s="77">
        <f t="shared" si="44"/>
        <v>0</v>
      </c>
      <c r="CS53" s="28"/>
    </row>
    <row r="54" spans="1:97">
      <c r="A54" s="37" t="s">
        <v>153</v>
      </c>
      <c r="B54" s="55"/>
      <c r="C54" s="31" t="s">
        <v>121</v>
      </c>
      <c r="D54" s="32"/>
      <c r="E54" s="32"/>
      <c r="F54" s="87"/>
      <c r="G54" s="48"/>
      <c r="H54" s="84"/>
      <c r="I54" s="80">
        <f t="shared" si="21"/>
        <v>0</v>
      </c>
      <c r="J54" s="79">
        <f t="shared" si="22"/>
        <v>0</v>
      </c>
      <c r="K54" s="49"/>
      <c r="L54" s="84"/>
      <c r="M54" s="81">
        <f t="shared" si="24"/>
        <v>0</v>
      </c>
      <c r="N54" s="79">
        <f t="shared" si="25"/>
        <v>0</v>
      </c>
      <c r="O54" s="48"/>
      <c r="P54" s="84"/>
      <c r="Q54" s="81">
        <f t="shared" si="26"/>
        <v>0</v>
      </c>
      <c r="R54" s="79">
        <f t="shared" si="27"/>
        <v>0</v>
      </c>
      <c r="S54" s="49"/>
      <c r="T54" s="84"/>
      <c r="U54" s="81">
        <f t="shared" si="45"/>
        <v>0</v>
      </c>
      <c r="V54" s="79">
        <f t="shared" si="46"/>
        <v>0</v>
      </c>
      <c r="W54" s="49"/>
      <c r="X54" s="84"/>
      <c r="Y54" s="81">
        <f t="shared" si="47"/>
        <v>0</v>
      </c>
      <c r="Z54" s="79">
        <f t="shared" si="48"/>
        <v>0</v>
      </c>
      <c r="AA54" s="49"/>
      <c r="AB54" s="84"/>
      <c r="AC54" s="81">
        <f t="shared" si="49"/>
        <v>0</v>
      </c>
      <c r="AD54" s="79">
        <f t="shared" si="50"/>
        <v>0</v>
      </c>
      <c r="AE54" s="49"/>
      <c r="AF54" s="84"/>
      <c r="AG54" s="81">
        <f t="shared" si="23"/>
        <v>0</v>
      </c>
      <c r="AH54" s="79">
        <f t="shared" si="28"/>
        <v>0</v>
      </c>
      <c r="AI54" s="48"/>
      <c r="AJ54" s="84"/>
      <c r="AK54" s="81">
        <f t="shared" si="29"/>
        <v>0</v>
      </c>
      <c r="AL54" s="79">
        <f t="shared" si="30"/>
        <v>0</v>
      </c>
      <c r="AM54" s="48"/>
      <c r="AN54" s="84"/>
      <c r="AO54" s="81">
        <f t="shared" si="31"/>
        <v>0</v>
      </c>
      <c r="AP54" s="79">
        <f t="shared" si="32"/>
        <v>0</v>
      </c>
      <c r="AQ54" s="48"/>
      <c r="AR54" s="84"/>
      <c r="AS54" s="81">
        <f t="shared" si="33"/>
        <v>0</v>
      </c>
      <c r="AT54" s="79">
        <f t="shared" si="34"/>
        <v>0</v>
      </c>
      <c r="AU54" s="49"/>
      <c r="AV54" s="84"/>
      <c r="AW54" s="81">
        <v>0</v>
      </c>
      <c r="AX54" s="79">
        <v>0</v>
      </c>
      <c r="AY54" s="49"/>
      <c r="AZ54" s="84"/>
      <c r="BA54" s="81">
        <v>0</v>
      </c>
      <c r="BB54" s="79">
        <v>0</v>
      </c>
      <c r="BC54" s="49"/>
      <c r="BD54" s="84"/>
      <c r="BE54" s="81">
        <v>0</v>
      </c>
      <c r="BF54" s="79">
        <v>0</v>
      </c>
      <c r="BG54" s="49"/>
      <c r="BH54" s="84"/>
      <c r="BI54" s="81">
        <v>0</v>
      </c>
      <c r="BJ54" s="79">
        <v>0</v>
      </c>
      <c r="BK54" s="49"/>
      <c r="BL54" s="84"/>
      <c r="BM54" s="81">
        <v>0</v>
      </c>
      <c r="BN54" s="79">
        <v>0</v>
      </c>
      <c r="BO54" s="49"/>
      <c r="BP54" s="84"/>
      <c r="BQ54" s="81">
        <v>0</v>
      </c>
      <c r="BR54" s="79">
        <v>0</v>
      </c>
      <c r="BS54" s="49"/>
      <c r="BT54" s="84"/>
      <c r="BU54" s="81">
        <f t="shared" si="35"/>
        <v>0</v>
      </c>
      <c r="BV54" s="79">
        <f t="shared" si="36"/>
        <v>0</v>
      </c>
      <c r="BW54" s="48">
        <v>240</v>
      </c>
      <c r="BX54" s="84"/>
      <c r="BY54" s="81">
        <f t="shared" si="37"/>
        <v>0</v>
      </c>
      <c r="BZ54" s="79">
        <f t="shared" si="38"/>
        <v>0</v>
      </c>
      <c r="CA54" s="48"/>
      <c r="CB54" s="84"/>
      <c r="CC54" s="81">
        <v>0</v>
      </c>
      <c r="CD54" s="79">
        <v>0</v>
      </c>
      <c r="CE54" s="49"/>
      <c r="CF54" s="84"/>
      <c r="CG54" s="81">
        <f t="shared" si="39"/>
        <v>0</v>
      </c>
      <c r="CH54" s="79">
        <f t="shared" si="40"/>
        <v>0</v>
      </c>
      <c r="CI54" s="33"/>
      <c r="CJ54" s="84"/>
      <c r="CK54" s="81">
        <f t="shared" si="41"/>
        <v>0</v>
      </c>
      <c r="CL54" s="79">
        <f t="shared" si="42"/>
        <v>0</v>
      </c>
      <c r="CM54" s="34"/>
      <c r="CN54" s="34"/>
      <c r="CO54" s="34"/>
      <c r="CP54" s="34"/>
      <c r="CQ54" s="50">
        <f t="shared" si="43"/>
        <v>1</v>
      </c>
      <c r="CR54" s="77">
        <f t="shared" si="44"/>
        <v>0</v>
      </c>
      <c r="CS54" s="28"/>
    </row>
    <row r="55" spans="1:97">
      <c r="A55" s="38" t="s">
        <v>154</v>
      </c>
      <c r="B55" s="56"/>
      <c r="C55" s="31" t="s">
        <v>123</v>
      </c>
      <c r="D55" s="32"/>
      <c r="E55" s="32"/>
      <c r="F55" s="87"/>
      <c r="G55" s="48"/>
      <c r="H55" s="84"/>
      <c r="I55" s="80">
        <f t="shared" si="21"/>
        <v>0</v>
      </c>
      <c r="J55" s="79">
        <f t="shared" si="22"/>
        <v>0</v>
      </c>
      <c r="K55" s="49"/>
      <c r="L55" s="84"/>
      <c r="M55" s="81">
        <f t="shared" si="24"/>
        <v>0</v>
      </c>
      <c r="N55" s="79">
        <f t="shared" si="25"/>
        <v>0</v>
      </c>
      <c r="O55" s="48"/>
      <c r="P55" s="84"/>
      <c r="Q55" s="81">
        <f t="shared" si="26"/>
        <v>0</v>
      </c>
      <c r="R55" s="79">
        <f t="shared" si="27"/>
        <v>0</v>
      </c>
      <c r="S55" s="49"/>
      <c r="T55" s="84"/>
      <c r="U55" s="81">
        <f t="shared" si="45"/>
        <v>0</v>
      </c>
      <c r="V55" s="79">
        <f t="shared" si="46"/>
        <v>0</v>
      </c>
      <c r="W55" s="49"/>
      <c r="X55" s="84"/>
      <c r="Y55" s="81">
        <f t="shared" si="47"/>
        <v>0</v>
      </c>
      <c r="Z55" s="79">
        <f t="shared" si="48"/>
        <v>0</v>
      </c>
      <c r="AA55" s="49"/>
      <c r="AB55" s="84"/>
      <c r="AC55" s="81">
        <f t="shared" si="49"/>
        <v>0</v>
      </c>
      <c r="AD55" s="79">
        <f t="shared" si="50"/>
        <v>0</v>
      </c>
      <c r="AE55" s="49"/>
      <c r="AF55" s="84"/>
      <c r="AG55" s="81">
        <f t="shared" si="23"/>
        <v>0</v>
      </c>
      <c r="AH55" s="79">
        <f t="shared" si="28"/>
        <v>0</v>
      </c>
      <c r="AI55" s="48"/>
      <c r="AJ55" s="84"/>
      <c r="AK55" s="81">
        <f t="shared" si="29"/>
        <v>0</v>
      </c>
      <c r="AL55" s="79">
        <f t="shared" si="30"/>
        <v>0</v>
      </c>
      <c r="AM55" s="48"/>
      <c r="AN55" s="84"/>
      <c r="AO55" s="81">
        <f t="shared" si="31"/>
        <v>0</v>
      </c>
      <c r="AP55" s="79">
        <f t="shared" si="32"/>
        <v>0</v>
      </c>
      <c r="AQ55" s="48"/>
      <c r="AR55" s="84"/>
      <c r="AS55" s="81">
        <f t="shared" si="33"/>
        <v>0</v>
      </c>
      <c r="AT55" s="79">
        <f t="shared" si="34"/>
        <v>0</v>
      </c>
      <c r="AU55" s="49"/>
      <c r="AV55" s="84"/>
      <c r="AW55" s="81">
        <v>0</v>
      </c>
      <c r="AX55" s="79">
        <v>0</v>
      </c>
      <c r="AY55" s="49"/>
      <c r="AZ55" s="84"/>
      <c r="BA55" s="81">
        <v>0</v>
      </c>
      <c r="BB55" s="79">
        <v>0</v>
      </c>
      <c r="BC55" s="49"/>
      <c r="BD55" s="84"/>
      <c r="BE55" s="81">
        <v>0</v>
      </c>
      <c r="BF55" s="79">
        <v>0</v>
      </c>
      <c r="BG55" s="49"/>
      <c r="BH55" s="84"/>
      <c r="BI55" s="81">
        <v>0</v>
      </c>
      <c r="BJ55" s="79">
        <v>0</v>
      </c>
      <c r="BK55" s="49"/>
      <c r="BL55" s="84"/>
      <c r="BM55" s="81">
        <v>0</v>
      </c>
      <c r="BN55" s="79">
        <v>0</v>
      </c>
      <c r="BO55" s="49"/>
      <c r="BP55" s="84"/>
      <c r="BQ55" s="81">
        <v>0</v>
      </c>
      <c r="BR55" s="79">
        <v>0</v>
      </c>
      <c r="BS55" s="49"/>
      <c r="BT55" s="84"/>
      <c r="BU55" s="81">
        <f t="shared" si="35"/>
        <v>0</v>
      </c>
      <c r="BV55" s="79">
        <f t="shared" si="36"/>
        <v>0</v>
      </c>
      <c r="BW55" s="48">
        <v>1920</v>
      </c>
      <c r="BX55" s="84"/>
      <c r="BY55" s="81">
        <f t="shared" si="37"/>
        <v>0</v>
      </c>
      <c r="BZ55" s="79">
        <f t="shared" si="38"/>
        <v>0</v>
      </c>
      <c r="CA55" s="48"/>
      <c r="CB55" s="84"/>
      <c r="CC55" s="81">
        <v>0</v>
      </c>
      <c r="CD55" s="79">
        <v>0</v>
      </c>
      <c r="CE55" s="49"/>
      <c r="CF55" s="84"/>
      <c r="CG55" s="81">
        <f t="shared" si="39"/>
        <v>0</v>
      </c>
      <c r="CH55" s="79">
        <f t="shared" si="40"/>
        <v>0</v>
      </c>
      <c r="CI55" s="33"/>
      <c r="CJ55" s="84"/>
      <c r="CK55" s="81">
        <f t="shared" si="41"/>
        <v>0</v>
      </c>
      <c r="CL55" s="79">
        <f t="shared" si="42"/>
        <v>0</v>
      </c>
      <c r="CM55" s="34"/>
      <c r="CN55" s="34"/>
      <c r="CO55" s="34"/>
      <c r="CP55" s="34"/>
      <c r="CQ55" s="50">
        <f t="shared" si="43"/>
        <v>1</v>
      </c>
      <c r="CR55" s="77">
        <f t="shared" si="44"/>
        <v>0</v>
      </c>
      <c r="CS55" s="28"/>
    </row>
    <row r="56" spans="1:97">
      <c r="A56" s="30" t="s">
        <v>155</v>
      </c>
      <c r="B56" s="47"/>
      <c r="C56" s="63" t="s">
        <v>120</v>
      </c>
      <c r="D56" s="32"/>
      <c r="E56" s="32"/>
      <c r="F56" s="87"/>
      <c r="G56" s="48"/>
      <c r="H56" s="84"/>
      <c r="I56" s="80">
        <f t="shared" si="21"/>
        <v>0</v>
      </c>
      <c r="J56" s="79">
        <f t="shared" si="22"/>
        <v>0</v>
      </c>
      <c r="K56" s="49"/>
      <c r="L56" s="84"/>
      <c r="M56" s="81">
        <f t="shared" si="24"/>
        <v>0</v>
      </c>
      <c r="N56" s="79">
        <f t="shared" si="25"/>
        <v>0</v>
      </c>
      <c r="O56" s="48"/>
      <c r="P56" s="84"/>
      <c r="Q56" s="81">
        <f t="shared" si="26"/>
        <v>0</v>
      </c>
      <c r="R56" s="79">
        <f t="shared" si="27"/>
        <v>0</v>
      </c>
      <c r="S56" s="49"/>
      <c r="T56" s="84"/>
      <c r="U56" s="81">
        <f t="shared" si="45"/>
        <v>0</v>
      </c>
      <c r="V56" s="79">
        <f t="shared" si="46"/>
        <v>0</v>
      </c>
      <c r="W56" s="49"/>
      <c r="X56" s="84"/>
      <c r="Y56" s="81">
        <f t="shared" si="47"/>
        <v>0</v>
      </c>
      <c r="Z56" s="79">
        <f t="shared" si="48"/>
        <v>0</v>
      </c>
      <c r="AA56" s="49"/>
      <c r="AB56" s="84"/>
      <c r="AC56" s="81">
        <f t="shared" si="49"/>
        <v>0</v>
      </c>
      <c r="AD56" s="79">
        <f t="shared" si="50"/>
        <v>0</v>
      </c>
      <c r="AE56" s="49"/>
      <c r="AF56" s="84"/>
      <c r="AG56" s="81">
        <f t="shared" si="23"/>
        <v>0</v>
      </c>
      <c r="AH56" s="79">
        <f t="shared" si="28"/>
        <v>0</v>
      </c>
      <c r="AI56" s="48"/>
      <c r="AJ56" s="84"/>
      <c r="AK56" s="81">
        <f t="shared" si="29"/>
        <v>0</v>
      </c>
      <c r="AL56" s="79">
        <f t="shared" si="30"/>
        <v>0</v>
      </c>
      <c r="AM56" s="48"/>
      <c r="AN56" s="84"/>
      <c r="AO56" s="81">
        <f t="shared" si="31"/>
        <v>0</v>
      </c>
      <c r="AP56" s="79">
        <f t="shared" si="32"/>
        <v>0</v>
      </c>
      <c r="AQ56" s="48"/>
      <c r="AR56" s="84"/>
      <c r="AS56" s="81">
        <f t="shared" si="33"/>
        <v>0</v>
      </c>
      <c r="AT56" s="79">
        <f t="shared" si="34"/>
        <v>0</v>
      </c>
      <c r="AU56" s="49"/>
      <c r="AV56" s="84"/>
      <c r="AW56" s="81">
        <f t="shared" ref="AW56:AW59" si="51">AV56*CQ56</f>
        <v>0</v>
      </c>
      <c r="AX56" s="79">
        <f t="shared" ref="AX56:AX59" si="52">AU56*AW56</f>
        <v>0</v>
      </c>
      <c r="AY56" s="49"/>
      <c r="AZ56" s="84"/>
      <c r="BA56" s="81">
        <f t="shared" ref="BA56:BA59" si="53">AZ56*CQ56</f>
        <v>0</v>
      </c>
      <c r="BB56" s="79">
        <f t="shared" ref="BB56:BB59" si="54">AY56*BA56</f>
        <v>0</v>
      </c>
      <c r="BC56" s="49"/>
      <c r="BD56" s="84"/>
      <c r="BE56" s="81">
        <f t="shared" ref="BE56:BE59" si="55">BD56*CQ56</f>
        <v>0</v>
      </c>
      <c r="BF56" s="79">
        <f t="shared" ref="BF56:BF59" si="56">BC56*BE56</f>
        <v>0</v>
      </c>
      <c r="BG56" s="49"/>
      <c r="BH56" s="84"/>
      <c r="BI56" s="81">
        <f t="shared" ref="BI56:BI59" si="57">BH56*CQ56</f>
        <v>0</v>
      </c>
      <c r="BJ56" s="79">
        <f t="shared" ref="BJ56:BJ59" si="58">BG56*BI56</f>
        <v>0</v>
      </c>
      <c r="BK56" s="49"/>
      <c r="BL56" s="84"/>
      <c r="BM56" s="81">
        <f t="shared" ref="BM56:BM59" si="59">BL56*CQ56</f>
        <v>0</v>
      </c>
      <c r="BN56" s="79">
        <f t="shared" ref="BN56:BN59" si="60">BK56*BM56</f>
        <v>0</v>
      </c>
      <c r="BO56" s="49"/>
      <c r="BP56" s="84"/>
      <c r="BQ56" s="81">
        <f t="shared" ref="BQ56:BQ59" si="61">BP56*CQ56</f>
        <v>0</v>
      </c>
      <c r="BR56" s="79">
        <f t="shared" ref="BR56:BR59" si="62">BO56*BQ56</f>
        <v>0</v>
      </c>
      <c r="BS56" s="49"/>
      <c r="BT56" s="84"/>
      <c r="BU56" s="81">
        <f t="shared" si="35"/>
        <v>0</v>
      </c>
      <c r="BV56" s="79">
        <f t="shared" si="36"/>
        <v>0</v>
      </c>
      <c r="BW56" s="48">
        <v>240</v>
      </c>
      <c r="BX56" s="84"/>
      <c r="BY56" s="81">
        <f t="shared" si="37"/>
        <v>0</v>
      </c>
      <c r="BZ56" s="79">
        <f t="shared" si="38"/>
        <v>0</v>
      </c>
      <c r="CA56" s="48"/>
      <c r="CB56" s="84"/>
      <c r="CC56" s="81">
        <v>0</v>
      </c>
      <c r="CD56" s="79">
        <v>0</v>
      </c>
      <c r="CE56" s="49"/>
      <c r="CF56" s="84"/>
      <c r="CG56" s="81">
        <f t="shared" si="39"/>
        <v>0</v>
      </c>
      <c r="CH56" s="79">
        <f t="shared" si="40"/>
        <v>0</v>
      </c>
      <c r="CI56" s="33"/>
      <c r="CJ56" s="84"/>
      <c r="CK56" s="81">
        <f t="shared" si="41"/>
        <v>0</v>
      </c>
      <c r="CL56" s="79">
        <f t="shared" si="42"/>
        <v>0</v>
      </c>
      <c r="CM56" s="34"/>
      <c r="CN56" s="34"/>
      <c r="CO56" s="34"/>
      <c r="CP56" s="34"/>
      <c r="CQ56" s="50">
        <f t="shared" si="43"/>
        <v>1</v>
      </c>
      <c r="CR56" s="77">
        <f t="shared" si="44"/>
        <v>0</v>
      </c>
      <c r="CS56" s="28"/>
    </row>
    <row r="57" spans="1:97">
      <c r="A57" s="30" t="s">
        <v>155</v>
      </c>
      <c r="B57" s="47"/>
      <c r="C57" s="31" t="s">
        <v>121</v>
      </c>
      <c r="D57" s="32"/>
      <c r="E57" s="32"/>
      <c r="F57" s="87"/>
      <c r="G57" s="48"/>
      <c r="H57" s="84"/>
      <c r="I57" s="80">
        <f t="shared" si="21"/>
        <v>0</v>
      </c>
      <c r="J57" s="79">
        <f t="shared" si="22"/>
        <v>0</v>
      </c>
      <c r="K57" s="49"/>
      <c r="L57" s="84"/>
      <c r="M57" s="81">
        <f t="shared" si="24"/>
        <v>0</v>
      </c>
      <c r="N57" s="79">
        <f t="shared" si="25"/>
        <v>0</v>
      </c>
      <c r="O57" s="48"/>
      <c r="P57" s="84"/>
      <c r="Q57" s="81">
        <f t="shared" si="26"/>
        <v>0</v>
      </c>
      <c r="R57" s="79">
        <f t="shared" si="27"/>
        <v>0</v>
      </c>
      <c r="S57" s="49"/>
      <c r="T57" s="84"/>
      <c r="U57" s="81">
        <f t="shared" si="45"/>
        <v>0</v>
      </c>
      <c r="V57" s="79">
        <f t="shared" si="46"/>
        <v>0</v>
      </c>
      <c r="W57" s="49"/>
      <c r="X57" s="84"/>
      <c r="Y57" s="81">
        <f t="shared" si="47"/>
        <v>0</v>
      </c>
      <c r="Z57" s="79">
        <f t="shared" si="48"/>
        <v>0</v>
      </c>
      <c r="AA57" s="49"/>
      <c r="AB57" s="84"/>
      <c r="AC57" s="81">
        <f t="shared" si="49"/>
        <v>0</v>
      </c>
      <c r="AD57" s="79">
        <f t="shared" si="50"/>
        <v>0</v>
      </c>
      <c r="AE57" s="49"/>
      <c r="AF57" s="84"/>
      <c r="AG57" s="81">
        <f t="shared" si="23"/>
        <v>0</v>
      </c>
      <c r="AH57" s="79">
        <f t="shared" si="28"/>
        <v>0</v>
      </c>
      <c r="AI57" s="48"/>
      <c r="AJ57" s="84"/>
      <c r="AK57" s="81">
        <f t="shared" si="29"/>
        <v>0</v>
      </c>
      <c r="AL57" s="79">
        <f t="shared" si="30"/>
        <v>0</v>
      </c>
      <c r="AM57" s="48"/>
      <c r="AN57" s="84"/>
      <c r="AO57" s="81">
        <f t="shared" si="31"/>
        <v>0</v>
      </c>
      <c r="AP57" s="79">
        <f t="shared" si="32"/>
        <v>0</v>
      </c>
      <c r="AQ57" s="48"/>
      <c r="AR57" s="84"/>
      <c r="AS57" s="81">
        <f t="shared" si="33"/>
        <v>0</v>
      </c>
      <c r="AT57" s="79">
        <f t="shared" si="34"/>
        <v>0</v>
      </c>
      <c r="AU57" s="49"/>
      <c r="AV57" s="84"/>
      <c r="AW57" s="81">
        <f t="shared" si="51"/>
        <v>0</v>
      </c>
      <c r="AX57" s="79">
        <f t="shared" si="52"/>
        <v>0</v>
      </c>
      <c r="AY57" s="49"/>
      <c r="AZ57" s="84"/>
      <c r="BA57" s="81">
        <f t="shared" si="53"/>
        <v>0</v>
      </c>
      <c r="BB57" s="79">
        <f t="shared" si="54"/>
        <v>0</v>
      </c>
      <c r="BC57" s="49"/>
      <c r="BD57" s="84"/>
      <c r="BE57" s="81">
        <f t="shared" si="55"/>
        <v>0</v>
      </c>
      <c r="BF57" s="79">
        <f t="shared" si="56"/>
        <v>0</v>
      </c>
      <c r="BG57" s="49"/>
      <c r="BH57" s="84"/>
      <c r="BI57" s="81">
        <f t="shared" si="57"/>
        <v>0</v>
      </c>
      <c r="BJ57" s="79">
        <f t="shared" si="58"/>
        <v>0</v>
      </c>
      <c r="BK57" s="49"/>
      <c r="BL57" s="84"/>
      <c r="BM57" s="81">
        <f t="shared" si="59"/>
        <v>0</v>
      </c>
      <c r="BN57" s="79">
        <f t="shared" si="60"/>
        <v>0</v>
      </c>
      <c r="BO57" s="49"/>
      <c r="BP57" s="84"/>
      <c r="BQ57" s="81">
        <f t="shared" si="61"/>
        <v>0</v>
      </c>
      <c r="BR57" s="79">
        <f t="shared" si="62"/>
        <v>0</v>
      </c>
      <c r="BS57" s="49"/>
      <c r="BT57" s="84"/>
      <c r="BU57" s="81">
        <f t="shared" si="35"/>
        <v>0</v>
      </c>
      <c r="BV57" s="79">
        <f t="shared" si="36"/>
        <v>0</v>
      </c>
      <c r="BW57" s="48">
        <v>240</v>
      </c>
      <c r="BX57" s="84"/>
      <c r="BY57" s="81">
        <f t="shared" si="37"/>
        <v>0</v>
      </c>
      <c r="BZ57" s="79">
        <f t="shared" si="38"/>
        <v>0</v>
      </c>
      <c r="CA57" s="48"/>
      <c r="CB57" s="84"/>
      <c r="CC57" s="81">
        <v>0</v>
      </c>
      <c r="CD57" s="79">
        <v>0</v>
      </c>
      <c r="CE57" s="49"/>
      <c r="CF57" s="84"/>
      <c r="CG57" s="81">
        <f t="shared" si="39"/>
        <v>0</v>
      </c>
      <c r="CH57" s="79">
        <f t="shared" si="40"/>
        <v>0</v>
      </c>
      <c r="CI57" s="33"/>
      <c r="CJ57" s="84"/>
      <c r="CK57" s="81">
        <f t="shared" si="41"/>
        <v>0</v>
      </c>
      <c r="CL57" s="79">
        <f t="shared" si="42"/>
        <v>0</v>
      </c>
      <c r="CM57" s="34"/>
      <c r="CN57" s="34"/>
      <c r="CO57" s="34"/>
      <c r="CP57" s="34"/>
      <c r="CQ57" s="50">
        <f t="shared" si="43"/>
        <v>1</v>
      </c>
      <c r="CR57" s="77">
        <f t="shared" si="44"/>
        <v>0</v>
      </c>
      <c r="CS57" s="28"/>
    </row>
    <row r="58" spans="1:97">
      <c r="A58" s="30" t="s">
        <v>156</v>
      </c>
      <c r="B58" s="47"/>
      <c r="C58" s="31" t="s">
        <v>121</v>
      </c>
      <c r="D58" s="32"/>
      <c r="E58" s="32"/>
      <c r="F58" s="87"/>
      <c r="G58" s="48"/>
      <c r="H58" s="84"/>
      <c r="I58" s="80">
        <f t="shared" si="21"/>
        <v>0</v>
      </c>
      <c r="J58" s="79">
        <f t="shared" si="22"/>
        <v>0</v>
      </c>
      <c r="K58" s="49"/>
      <c r="L58" s="84"/>
      <c r="M58" s="81">
        <f t="shared" si="24"/>
        <v>0</v>
      </c>
      <c r="N58" s="79">
        <f t="shared" si="25"/>
        <v>0</v>
      </c>
      <c r="O58" s="48"/>
      <c r="P58" s="84"/>
      <c r="Q58" s="81">
        <f t="shared" si="26"/>
        <v>0</v>
      </c>
      <c r="R58" s="79">
        <f t="shared" si="27"/>
        <v>0</v>
      </c>
      <c r="S58" s="49"/>
      <c r="T58" s="84"/>
      <c r="U58" s="81">
        <f t="shared" si="45"/>
        <v>0</v>
      </c>
      <c r="V58" s="79">
        <f t="shared" si="46"/>
        <v>0</v>
      </c>
      <c r="W58" s="49"/>
      <c r="X58" s="84"/>
      <c r="Y58" s="81">
        <f t="shared" si="47"/>
        <v>0</v>
      </c>
      <c r="Z58" s="79">
        <f t="shared" si="48"/>
        <v>0</v>
      </c>
      <c r="AA58" s="49"/>
      <c r="AB58" s="84"/>
      <c r="AC58" s="81">
        <f t="shared" si="49"/>
        <v>0</v>
      </c>
      <c r="AD58" s="79">
        <f t="shared" si="50"/>
        <v>0</v>
      </c>
      <c r="AE58" s="49"/>
      <c r="AF58" s="84"/>
      <c r="AG58" s="81">
        <f t="shared" si="23"/>
        <v>0</v>
      </c>
      <c r="AH58" s="79">
        <f t="shared" si="28"/>
        <v>0</v>
      </c>
      <c r="AI58" s="48"/>
      <c r="AJ58" s="84"/>
      <c r="AK58" s="81">
        <f t="shared" si="29"/>
        <v>0</v>
      </c>
      <c r="AL58" s="79">
        <f t="shared" si="30"/>
        <v>0</v>
      </c>
      <c r="AM58" s="48"/>
      <c r="AN58" s="84"/>
      <c r="AO58" s="81">
        <f t="shared" si="31"/>
        <v>0</v>
      </c>
      <c r="AP58" s="79">
        <f t="shared" si="32"/>
        <v>0</v>
      </c>
      <c r="AQ58" s="48"/>
      <c r="AR58" s="84"/>
      <c r="AS58" s="81">
        <f t="shared" si="33"/>
        <v>0</v>
      </c>
      <c r="AT58" s="79">
        <f t="shared" si="34"/>
        <v>0</v>
      </c>
      <c r="AU58" s="49"/>
      <c r="AV58" s="84"/>
      <c r="AW58" s="81">
        <f t="shared" si="51"/>
        <v>0</v>
      </c>
      <c r="AX58" s="79">
        <f t="shared" si="52"/>
        <v>0</v>
      </c>
      <c r="AY58" s="49"/>
      <c r="AZ58" s="84"/>
      <c r="BA58" s="81">
        <f t="shared" si="53"/>
        <v>0</v>
      </c>
      <c r="BB58" s="79">
        <f t="shared" si="54"/>
        <v>0</v>
      </c>
      <c r="BC58" s="49"/>
      <c r="BD58" s="84"/>
      <c r="BE58" s="81">
        <f t="shared" si="55"/>
        <v>0</v>
      </c>
      <c r="BF58" s="79">
        <f t="shared" si="56"/>
        <v>0</v>
      </c>
      <c r="BG58" s="49"/>
      <c r="BH58" s="84"/>
      <c r="BI58" s="81">
        <f t="shared" si="57"/>
        <v>0</v>
      </c>
      <c r="BJ58" s="79">
        <f t="shared" si="58"/>
        <v>0</v>
      </c>
      <c r="BK58" s="49"/>
      <c r="BL58" s="84"/>
      <c r="BM58" s="81">
        <f t="shared" si="59"/>
        <v>0</v>
      </c>
      <c r="BN58" s="79">
        <f t="shared" si="60"/>
        <v>0</v>
      </c>
      <c r="BO58" s="49"/>
      <c r="BP58" s="84"/>
      <c r="BQ58" s="81">
        <f t="shared" si="61"/>
        <v>0</v>
      </c>
      <c r="BR58" s="79">
        <f t="shared" si="62"/>
        <v>0</v>
      </c>
      <c r="BS58" s="49"/>
      <c r="BT58" s="84"/>
      <c r="BU58" s="81">
        <f t="shared" si="35"/>
        <v>0</v>
      </c>
      <c r="BV58" s="79">
        <f t="shared" si="36"/>
        <v>0</v>
      </c>
      <c r="BW58" s="48">
        <v>2880</v>
      </c>
      <c r="BX58" s="84"/>
      <c r="BY58" s="81">
        <f t="shared" si="37"/>
        <v>0</v>
      </c>
      <c r="BZ58" s="79">
        <f t="shared" si="38"/>
        <v>0</v>
      </c>
      <c r="CA58" s="48"/>
      <c r="CB58" s="84"/>
      <c r="CC58" s="81">
        <v>0</v>
      </c>
      <c r="CD58" s="79">
        <v>0</v>
      </c>
      <c r="CE58" s="49">
        <v>12480</v>
      </c>
      <c r="CF58" s="84"/>
      <c r="CG58" s="81">
        <f t="shared" si="39"/>
        <v>0</v>
      </c>
      <c r="CH58" s="79">
        <f t="shared" si="40"/>
        <v>0</v>
      </c>
      <c r="CI58" s="33"/>
      <c r="CJ58" s="84"/>
      <c r="CK58" s="81">
        <f t="shared" si="41"/>
        <v>0</v>
      </c>
      <c r="CL58" s="79">
        <f t="shared" si="42"/>
        <v>0</v>
      </c>
      <c r="CM58" s="34"/>
      <c r="CN58" s="34"/>
      <c r="CO58" s="34"/>
      <c r="CP58" s="34"/>
      <c r="CQ58" s="50">
        <f t="shared" si="43"/>
        <v>1</v>
      </c>
      <c r="CR58" s="77">
        <f t="shared" si="44"/>
        <v>0</v>
      </c>
      <c r="CS58" s="28"/>
    </row>
    <row r="59" spans="1:97" ht="15.75" thickBot="1">
      <c r="A59" s="40" t="s">
        <v>157</v>
      </c>
      <c r="B59" s="57"/>
      <c r="C59" s="41" t="s">
        <v>121</v>
      </c>
      <c r="D59" s="42"/>
      <c r="E59" s="42"/>
      <c r="F59" s="88"/>
      <c r="G59" s="58"/>
      <c r="H59" s="85"/>
      <c r="I59" s="80">
        <f t="shared" si="21"/>
        <v>0</v>
      </c>
      <c r="J59" s="79">
        <f t="shared" si="22"/>
        <v>0</v>
      </c>
      <c r="K59" s="59"/>
      <c r="L59" s="85"/>
      <c r="M59" s="82">
        <f t="shared" si="24"/>
        <v>0</v>
      </c>
      <c r="N59" s="79">
        <f t="shared" si="25"/>
        <v>0</v>
      </c>
      <c r="O59" s="58"/>
      <c r="P59" s="85"/>
      <c r="Q59" s="82">
        <f t="shared" si="26"/>
        <v>0</v>
      </c>
      <c r="R59" s="79">
        <f t="shared" si="27"/>
        <v>0</v>
      </c>
      <c r="S59" s="59"/>
      <c r="T59" s="85"/>
      <c r="U59" s="82">
        <f t="shared" si="45"/>
        <v>0</v>
      </c>
      <c r="V59" s="79">
        <f t="shared" si="46"/>
        <v>0</v>
      </c>
      <c r="W59" s="59"/>
      <c r="X59" s="85"/>
      <c r="Y59" s="82">
        <f t="shared" si="47"/>
        <v>0</v>
      </c>
      <c r="Z59" s="79">
        <f t="shared" si="48"/>
        <v>0</v>
      </c>
      <c r="AA59" s="59"/>
      <c r="AB59" s="85"/>
      <c r="AC59" s="82">
        <f t="shared" si="49"/>
        <v>0</v>
      </c>
      <c r="AD59" s="79">
        <f t="shared" si="50"/>
        <v>0</v>
      </c>
      <c r="AE59" s="59"/>
      <c r="AF59" s="85"/>
      <c r="AG59" s="82">
        <f t="shared" si="23"/>
        <v>0</v>
      </c>
      <c r="AH59" s="79">
        <f t="shared" si="28"/>
        <v>0</v>
      </c>
      <c r="AI59" s="58"/>
      <c r="AJ59" s="85"/>
      <c r="AK59" s="82">
        <f t="shared" si="29"/>
        <v>0</v>
      </c>
      <c r="AL59" s="79">
        <f t="shared" si="30"/>
        <v>0</v>
      </c>
      <c r="AM59" s="58"/>
      <c r="AN59" s="85"/>
      <c r="AO59" s="82">
        <f t="shared" si="31"/>
        <v>0</v>
      </c>
      <c r="AP59" s="79">
        <f t="shared" si="32"/>
        <v>0</v>
      </c>
      <c r="AQ59" s="58"/>
      <c r="AR59" s="85"/>
      <c r="AS59" s="82">
        <f t="shared" si="33"/>
        <v>0</v>
      </c>
      <c r="AT59" s="79">
        <f t="shared" si="34"/>
        <v>0</v>
      </c>
      <c r="AU59" s="59"/>
      <c r="AV59" s="85"/>
      <c r="AW59" s="82">
        <f t="shared" si="51"/>
        <v>0</v>
      </c>
      <c r="AX59" s="79">
        <f t="shared" si="52"/>
        <v>0</v>
      </c>
      <c r="AY59" s="59"/>
      <c r="AZ59" s="85"/>
      <c r="BA59" s="82">
        <f t="shared" si="53"/>
        <v>0</v>
      </c>
      <c r="BB59" s="79">
        <f t="shared" si="54"/>
        <v>0</v>
      </c>
      <c r="BC59" s="59"/>
      <c r="BD59" s="85"/>
      <c r="BE59" s="82">
        <f t="shared" si="55"/>
        <v>0</v>
      </c>
      <c r="BF59" s="79">
        <f t="shared" si="56"/>
        <v>0</v>
      </c>
      <c r="BG59" s="59"/>
      <c r="BH59" s="85"/>
      <c r="BI59" s="82">
        <f t="shared" si="57"/>
        <v>0</v>
      </c>
      <c r="BJ59" s="79">
        <f t="shared" si="58"/>
        <v>0</v>
      </c>
      <c r="BK59" s="59"/>
      <c r="BL59" s="85"/>
      <c r="BM59" s="82">
        <f t="shared" si="59"/>
        <v>0</v>
      </c>
      <c r="BN59" s="79">
        <f t="shared" si="60"/>
        <v>0</v>
      </c>
      <c r="BO59" s="59"/>
      <c r="BP59" s="85"/>
      <c r="BQ59" s="82">
        <f t="shared" si="61"/>
        <v>0</v>
      </c>
      <c r="BR59" s="79">
        <f t="shared" si="62"/>
        <v>0</v>
      </c>
      <c r="BS59" s="59"/>
      <c r="BT59" s="85"/>
      <c r="BU59" s="82">
        <f t="shared" si="35"/>
        <v>0</v>
      </c>
      <c r="BV59" s="79">
        <f t="shared" si="36"/>
        <v>0</v>
      </c>
      <c r="BW59" s="58">
        <v>960</v>
      </c>
      <c r="BX59" s="85"/>
      <c r="BY59" s="82">
        <f t="shared" si="37"/>
        <v>0</v>
      </c>
      <c r="BZ59" s="79">
        <f t="shared" si="38"/>
        <v>0</v>
      </c>
      <c r="CA59" s="58"/>
      <c r="CB59" s="85"/>
      <c r="CC59" s="82">
        <f t="shared" ref="CC59" si="63">CB59*CQ59</f>
        <v>0</v>
      </c>
      <c r="CD59" s="79">
        <f t="shared" ref="CD59" si="64">CA59*CC59</f>
        <v>0</v>
      </c>
      <c r="CE59" s="59"/>
      <c r="CF59" s="85"/>
      <c r="CG59" s="82">
        <f t="shared" si="39"/>
        <v>0</v>
      </c>
      <c r="CH59" s="79">
        <f t="shared" si="40"/>
        <v>0</v>
      </c>
      <c r="CI59" s="39"/>
      <c r="CJ59" s="85"/>
      <c r="CK59" s="82">
        <f t="shared" si="41"/>
        <v>0</v>
      </c>
      <c r="CL59" s="79">
        <f t="shared" si="42"/>
        <v>0</v>
      </c>
      <c r="CM59" s="44"/>
      <c r="CN59" s="44"/>
      <c r="CO59" s="44"/>
      <c r="CP59" s="44"/>
      <c r="CQ59" s="60">
        <f t="shared" si="43"/>
        <v>1</v>
      </c>
      <c r="CR59" s="77">
        <f t="shared" si="44"/>
        <v>0</v>
      </c>
      <c r="CS59" s="28"/>
    </row>
    <row r="60" spans="1:97" ht="15.75" thickBot="1">
      <c r="A60" s="45"/>
      <c r="B60" s="45"/>
      <c r="C60" s="45"/>
      <c r="D60" s="45"/>
      <c r="E60" s="45"/>
      <c r="F60" s="45"/>
      <c r="G60" s="45"/>
      <c r="H60" s="45"/>
      <c r="I60" s="45"/>
      <c r="J60" s="78">
        <f>SUM(J11:J59)</f>
        <v>0</v>
      </c>
      <c r="K60" s="45"/>
      <c r="L60" s="45"/>
      <c r="M60" s="45"/>
      <c r="N60" s="78">
        <f>SUM(N11:N59)</f>
        <v>0</v>
      </c>
      <c r="O60" s="45"/>
      <c r="P60" s="45"/>
      <c r="Q60" s="45"/>
      <c r="R60" s="78">
        <f>SUM(R11:R59)</f>
        <v>0</v>
      </c>
      <c r="S60" s="45"/>
      <c r="T60" s="45"/>
      <c r="U60" s="45"/>
      <c r="V60" s="78">
        <f>SUM(V11:V59)</f>
        <v>0</v>
      </c>
      <c r="W60" s="45"/>
      <c r="X60" s="45"/>
      <c r="Y60" s="45"/>
      <c r="Z60" s="78">
        <f>SUM(Z11:Z59)</f>
        <v>0</v>
      </c>
      <c r="AA60" s="45"/>
      <c r="AB60" s="45"/>
      <c r="AC60" s="45"/>
      <c r="AD60" s="78">
        <f>SUM(AD11:AD59)</f>
        <v>0</v>
      </c>
      <c r="AE60" s="45"/>
      <c r="AF60" s="45"/>
      <c r="AG60" s="45"/>
      <c r="AH60" s="78">
        <f>SUM(AH11:AH59)</f>
        <v>0</v>
      </c>
      <c r="AI60" s="45"/>
      <c r="AJ60" s="45"/>
      <c r="AK60" s="45"/>
      <c r="AL60" s="78">
        <f>SUM(AL11:AL59)</f>
        <v>0</v>
      </c>
      <c r="AM60" s="45"/>
      <c r="AN60" s="45"/>
      <c r="AO60" s="45"/>
      <c r="AP60" s="78">
        <f>SUM(AP11:AP59)</f>
        <v>0</v>
      </c>
      <c r="AQ60" s="45"/>
      <c r="AR60" s="45"/>
      <c r="AS60" s="45"/>
      <c r="AT60" s="78">
        <f>SUM(AT11:AT59)</f>
        <v>0</v>
      </c>
      <c r="AU60" s="45"/>
      <c r="AV60" s="45"/>
      <c r="AW60" s="45"/>
      <c r="AX60" s="78">
        <f>SUM(AX11:AX59)</f>
        <v>0</v>
      </c>
      <c r="AY60" s="45"/>
      <c r="AZ60" s="45"/>
      <c r="BA60" s="45"/>
      <c r="BB60" s="78">
        <f>SUM(BB11:BB59)</f>
        <v>0</v>
      </c>
      <c r="BC60" s="45"/>
      <c r="BD60" s="45"/>
      <c r="BE60" s="45"/>
      <c r="BF60" s="78">
        <f>SUM(BF11:BF59)</f>
        <v>0</v>
      </c>
      <c r="BG60" s="45"/>
      <c r="BH60" s="45"/>
      <c r="BI60" s="45"/>
      <c r="BJ60" s="78">
        <f>SUM(BJ11:BJ59)</f>
        <v>0</v>
      </c>
      <c r="BK60" s="45"/>
      <c r="BL60" s="45"/>
      <c r="BM60" s="45"/>
      <c r="BN60" s="78">
        <f>SUM(BN11:BN59)</f>
        <v>0</v>
      </c>
      <c r="BO60" s="45"/>
      <c r="BP60" s="45"/>
      <c r="BQ60" s="45"/>
      <c r="BR60" s="78">
        <f>SUM(BR11:BR59)</f>
        <v>0</v>
      </c>
      <c r="BS60" s="45"/>
      <c r="BT60" s="45"/>
      <c r="BU60" s="45"/>
      <c r="BV60" s="78">
        <f>SUM(BV11:BV59)</f>
        <v>0</v>
      </c>
      <c r="BW60" s="45"/>
      <c r="BX60" s="45"/>
      <c r="BY60" s="45"/>
      <c r="BZ60" s="78">
        <f>SUM(BZ11:BZ59)</f>
        <v>0</v>
      </c>
      <c r="CA60" s="45"/>
      <c r="CB60" s="45"/>
      <c r="CC60" s="45"/>
      <c r="CD60" s="78">
        <f>SUM(CD11:CD59)</f>
        <v>0</v>
      </c>
      <c r="CE60" s="45"/>
      <c r="CF60" s="45"/>
      <c r="CG60" s="45"/>
      <c r="CH60" s="78">
        <f>SUM(CH11:CH59)</f>
        <v>0</v>
      </c>
      <c r="CI60" s="45"/>
      <c r="CJ60" s="45"/>
      <c r="CK60" s="45"/>
      <c r="CL60" s="78">
        <f>SUM(CL11:CL59)</f>
        <v>0</v>
      </c>
      <c r="CM60" s="45"/>
      <c r="CN60" s="45"/>
      <c r="CO60" s="131" t="s">
        <v>158</v>
      </c>
      <c r="CP60" s="132"/>
      <c r="CQ60" s="133"/>
      <c r="CR60" s="106">
        <f>SUM(CR11:CR59)</f>
        <v>0</v>
      </c>
    </row>
    <row r="61" spans="1:97" ht="24" thickBot="1">
      <c r="A61" s="93" t="s">
        <v>159</v>
      </c>
      <c r="B61" s="96" t="s">
        <v>160</v>
      </c>
      <c r="C61" s="95" t="s">
        <v>206</v>
      </c>
    </row>
    <row r="62" spans="1:97">
      <c r="A62" s="94" t="s">
        <v>200</v>
      </c>
      <c r="B62" s="97">
        <f>J60</f>
        <v>0</v>
      </c>
      <c r="C62" s="104" t="e">
        <f>(B62/'Proposal Summary'!$D$15)</f>
        <v>#DIV/0!</v>
      </c>
    </row>
    <row r="63" spans="1:97">
      <c r="A63" s="91" t="s">
        <v>163</v>
      </c>
      <c r="B63" s="99">
        <f>N60</f>
        <v>0</v>
      </c>
      <c r="C63" s="104" t="e">
        <f>(B63/'Proposal Summary'!$D$15)</f>
        <v>#DIV/0!</v>
      </c>
    </row>
    <row r="64" spans="1:97">
      <c r="A64" s="91" t="s">
        <v>164</v>
      </c>
      <c r="B64" s="99">
        <f>R60</f>
        <v>0</v>
      </c>
      <c r="C64" s="104" t="e">
        <f>(B64/'Proposal Summary'!$D$15)</f>
        <v>#DIV/0!</v>
      </c>
    </row>
    <row r="65" spans="1:3">
      <c r="A65" s="91" t="s">
        <v>165</v>
      </c>
      <c r="B65" s="99">
        <f>V60</f>
        <v>0</v>
      </c>
      <c r="C65" s="104" t="e">
        <f>(B65/'Proposal Summary'!$D$15)</f>
        <v>#DIV/0!</v>
      </c>
    </row>
    <row r="66" spans="1:3">
      <c r="A66" s="91" t="s">
        <v>166</v>
      </c>
      <c r="B66" s="99">
        <f>Z60</f>
        <v>0</v>
      </c>
      <c r="C66" s="104" t="e">
        <f>(B66/'Proposal Summary'!$D$15)</f>
        <v>#DIV/0!</v>
      </c>
    </row>
    <row r="67" spans="1:3">
      <c r="A67" s="91" t="s">
        <v>167</v>
      </c>
      <c r="B67" s="99">
        <f>AD60</f>
        <v>0</v>
      </c>
      <c r="C67" s="104" t="e">
        <f>(B67/'Proposal Summary'!$D$15)</f>
        <v>#DIV/0!</v>
      </c>
    </row>
    <row r="68" spans="1:3">
      <c r="A68" s="91" t="s">
        <v>168</v>
      </c>
      <c r="B68" s="99">
        <f>AH60</f>
        <v>0</v>
      </c>
      <c r="C68" s="104" t="e">
        <f>(B68/'Proposal Summary'!$D$15)</f>
        <v>#DIV/0!</v>
      </c>
    </row>
    <row r="69" spans="1:3">
      <c r="A69" s="91" t="s">
        <v>169</v>
      </c>
      <c r="B69" s="99">
        <f>AL60</f>
        <v>0</v>
      </c>
      <c r="C69" s="104" t="e">
        <f>(B69/'Proposal Summary'!$D$15)</f>
        <v>#DIV/0!</v>
      </c>
    </row>
    <row r="70" spans="1:3">
      <c r="A70" s="91" t="s">
        <v>170</v>
      </c>
      <c r="B70" s="99">
        <f>AP60</f>
        <v>0</v>
      </c>
      <c r="C70" s="104" t="e">
        <f>(B70/'Proposal Summary'!$D$15)</f>
        <v>#DIV/0!</v>
      </c>
    </row>
    <row r="71" spans="1:3">
      <c r="A71" s="91" t="s">
        <v>171</v>
      </c>
      <c r="B71" s="99">
        <f>AT60</f>
        <v>0</v>
      </c>
      <c r="C71" s="104" t="e">
        <f>(B71/'Proposal Summary'!$D$15)</f>
        <v>#DIV/0!</v>
      </c>
    </row>
    <row r="72" spans="1:3">
      <c r="A72" s="91" t="s">
        <v>172</v>
      </c>
      <c r="B72" s="99">
        <f>AX60</f>
        <v>0</v>
      </c>
      <c r="C72" s="104" t="e">
        <f>(B72/'Proposal Summary'!$D$15)</f>
        <v>#DIV/0!</v>
      </c>
    </row>
    <row r="73" spans="1:3">
      <c r="A73" s="91" t="s">
        <v>173</v>
      </c>
      <c r="B73" s="99">
        <f>BB60</f>
        <v>0</v>
      </c>
      <c r="C73" s="104" t="e">
        <f>(B73/'Proposal Summary'!$D$15)</f>
        <v>#DIV/0!</v>
      </c>
    </row>
    <row r="74" spans="1:3">
      <c r="A74" s="91" t="s">
        <v>174</v>
      </c>
      <c r="B74" s="99">
        <f>BF60</f>
        <v>0</v>
      </c>
      <c r="C74" s="104" t="e">
        <f>(B74/'Proposal Summary'!$D$15)</f>
        <v>#DIV/0!</v>
      </c>
    </row>
    <row r="75" spans="1:3">
      <c r="A75" s="91" t="s">
        <v>175</v>
      </c>
      <c r="B75" s="99">
        <f>BJ60</f>
        <v>0</v>
      </c>
      <c r="C75" s="104" t="e">
        <f>(B75/'Proposal Summary'!$D$15)</f>
        <v>#DIV/0!</v>
      </c>
    </row>
    <row r="76" spans="1:3">
      <c r="A76" s="91" t="s">
        <v>176</v>
      </c>
      <c r="B76" s="99">
        <f>BN60</f>
        <v>0</v>
      </c>
      <c r="C76" s="104" t="e">
        <f>(B76/'Proposal Summary'!$D$15)</f>
        <v>#DIV/0!</v>
      </c>
    </row>
    <row r="77" spans="1:3">
      <c r="A77" s="91" t="s">
        <v>177</v>
      </c>
      <c r="B77" s="99">
        <f>BR60</f>
        <v>0</v>
      </c>
      <c r="C77" s="104" t="e">
        <f>(B77/'Proposal Summary'!$D$15)</f>
        <v>#DIV/0!</v>
      </c>
    </row>
    <row r="78" spans="1:3">
      <c r="A78" s="91" t="s">
        <v>178</v>
      </c>
      <c r="B78" s="99">
        <f>BV60</f>
        <v>0</v>
      </c>
      <c r="C78" s="104" t="e">
        <f>(B78/'Proposal Summary'!$D$15)</f>
        <v>#DIV/0!</v>
      </c>
    </row>
    <row r="79" spans="1:3">
      <c r="A79" s="91" t="s">
        <v>179</v>
      </c>
      <c r="B79" s="99">
        <f>BZ60</f>
        <v>0</v>
      </c>
      <c r="C79" s="104" t="e">
        <f>(B79/'Proposal Summary'!$D$15)</f>
        <v>#DIV/0!</v>
      </c>
    </row>
    <row r="80" spans="1:3">
      <c r="A80" s="91" t="s">
        <v>180</v>
      </c>
      <c r="B80" s="99">
        <f>CD60</f>
        <v>0</v>
      </c>
      <c r="C80" s="104" t="e">
        <f>(B80/'Proposal Summary'!$D$15)</f>
        <v>#DIV/0!</v>
      </c>
    </row>
    <row r="81" spans="1:3">
      <c r="A81" s="91" t="s">
        <v>181</v>
      </c>
      <c r="B81" s="99">
        <f>CH60</f>
        <v>0</v>
      </c>
      <c r="C81" s="104" t="e">
        <f>(B81/'Proposal Summary'!$D$15)</f>
        <v>#DIV/0!</v>
      </c>
    </row>
    <row r="82" spans="1:3">
      <c r="A82" s="91" t="s">
        <v>182</v>
      </c>
      <c r="B82" s="99">
        <f>CL60</f>
        <v>0</v>
      </c>
      <c r="C82" s="104" t="e">
        <f>(B82/'Proposal Summary'!$D$15)</f>
        <v>#DIV/0!</v>
      </c>
    </row>
  </sheetData>
  <mergeCells count="2">
    <mergeCell ref="A1:B1"/>
    <mergeCell ref="CO60:CQ60"/>
  </mergeCells>
  <dataValidations count="1">
    <dataValidation type="list" allowBlank="1" showInputMessage="1" showErrorMessage="1" sqref="D11:E59" xr:uid="{43E16F2E-64BE-4947-B46C-255EA4877AB8}">
      <formula1>"Yes, No"</formula1>
    </dataValidation>
  </dataValidations>
  <pageMargins left="0.25" right="0.25" top="0.75" bottom="0.75" header="0.3" footer="0.3"/>
  <pageSetup paperSize="5" scale="10" fitToHeight="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5CB8-63E2-4AA0-8BD8-6D1E8E3DC874}">
  <sheetPr codeName="Sheet8">
    <pageSetUpPr fitToPage="1"/>
  </sheetPr>
  <dimension ref="A1:CS82"/>
  <sheetViews>
    <sheetView topLeftCell="A2" zoomScale="70" zoomScaleNormal="70" workbookViewId="0">
      <selection activeCell="C6" sqref="C6"/>
    </sheetView>
  </sheetViews>
  <sheetFormatPr defaultColWidth="9.140625" defaultRowHeight="15"/>
  <cols>
    <col min="1" max="1" width="63.85546875" style="17" bestFit="1" customWidth="1"/>
    <col min="2" max="2" width="40.140625" style="17" bestFit="1" customWidth="1"/>
    <col min="3" max="3" width="38.85546875" style="17" bestFit="1" customWidth="1"/>
    <col min="4" max="4" width="29.7109375" style="17" bestFit="1" customWidth="1"/>
    <col min="5" max="5" width="22.85546875" style="17" bestFit="1" customWidth="1"/>
    <col min="6" max="6" width="19.140625" style="17" bestFit="1" customWidth="1"/>
    <col min="7" max="7" width="21.140625" style="17" customWidth="1"/>
    <col min="8" max="9" width="20" style="17" customWidth="1"/>
    <col min="10" max="10" width="21" style="17" bestFit="1" customWidth="1"/>
    <col min="11" max="11" width="24.5703125" style="17" customWidth="1"/>
    <col min="12" max="12" width="25.42578125" style="17" customWidth="1"/>
    <col min="13" max="13" width="20" style="17" customWidth="1"/>
    <col min="14" max="27" width="20.28515625" style="17" customWidth="1"/>
    <col min="28" max="28" width="22.140625" style="17" customWidth="1"/>
    <col min="29" max="30" width="20" style="17" customWidth="1"/>
    <col min="31" max="31" width="22.140625" style="17" customWidth="1"/>
    <col min="32" max="32" width="24.5703125" style="17" customWidth="1"/>
    <col min="33" max="33" width="25.42578125" style="17" customWidth="1"/>
    <col min="34" max="57" width="20" style="17" customWidth="1"/>
    <col min="58" max="58" width="21.5703125" style="17" customWidth="1"/>
    <col min="59" max="60" width="23.28515625" style="17" customWidth="1"/>
    <col min="61" max="63" width="20" style="17" customWidth="1"/>
    <col min="64" max="65" width="26.85546875" style="17" bestFit="1" customWidth="1"/>
    <col min="66" max="66" width="20" style="17" customWidth="1"/>
    <col min="67" max="67" width="24.28515625" style="17" bestFit="1" customWidth="1"/>
    <col min="68" max="68" width="21.7109375" style="17" bestFit="1" customWidth="1"/>
    <col min="69" max="69" width="21.7109375" style="17" customWidth="1"/>
    <col min="70" max="70" width="22.7109375" style="17" bestFit="1" customWidth="1"/>
    <col min="71" max="72" width="20" style="17" customWidth="1"/>
    <col min="73" max="73" width="24.42578125" style="17" bestFit="1" customWidth="1"/>
    <col min="74" max="74" width="34.140625" style="17" bestFit="1" customWidth="1"/>
    <col min="75" max="75" width="35.42578125" style="17" bestFit="1" customWidth="1"/>
    <col min="76" max="76" width="30.5703125" style="17" bestFit="1" customWidth="1"/>
    <col min="77" max="16384" width="9.140625" style="17"/>
  </cols>
  <sheetData>
    <row r="1" spans="1:97" ht="36">
      <c r="A1" s="138" t="s">
        <v>207</v>
      </c>
      <c r="B1" s="139"/>
    </row>
    <row r="2" spans="1:97">
      <c r="A2" s="18" t="s">
        <v>4</v>
      </c>
      <c r="B2" s="18" t="s">
        <v>5</v>
      </c>
      <c r="C2" s="18" t="s">
        <v>6</v>
      </c>
      <c r="D2" s="18" t="s">
        <v>21</v>
      </c>
      <c r="E2" s="19"/>
      <c r="F2" s="19"/>
      <c r="G2" s="18" t="s">
        <v>7</v>
      </c>
    </row>
    <row r="3" spans="1:97" s="1" customFormat="1">
      <c r="A3" s="101" t="s">
        <v>207</v>
      </c>
      <c r="B3" s="102">
        <v>48259</v>
      </c>
      <c r="C3" s="102">
        <v>48440</v>
      </c>
      <c r="D3" s="103">
        <v>0</v>
      </c>
      <c r="E3" s="21"/>
      <c r="F3" s="21"/>
      <c r="G3" s="23">
        <f>BU60</f>
        <v>0</v>
      </c>
    </row>
    <row r="6" spans="1:97">
      <c r="A6" s="24" t="s">
        <v>22</v>
      </c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</row>
    <row r="7" spans="1:9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</row>
    <row r="9" spans="1:97" ht="15.75" thickBot="1"/>
    <row r="10" spans="1:97" s="29" customFormat="1" ht="63.75" customHeight="1" thickBot="1">
      <c r="A10" s="69" t="s">
        <v>23</v>
      </c>
      <c r="B10" s="70" t="s">
        <v>24</v>
      </c>
      <c r="C10" s="70" t="s">
        <v>25</v>
      </c>
      <c r="D10" s="70" t="s">
        <v>26</v>
      </c>
      <c r="E10" s="70" t="s">
        <v>27</v>
      </c>
      <c r="F10" s="70" t="s">
        <v>28</v>
      </c>
      <c r="G10" s="116" t="s">
        <v>29</v>
      </c>
      <c r="H10" s="70" t="s">
        <v>183</v>
      </c>
      <c r="I10" s="72" t="s">
        <v>184</v>
      </c>
      <c r="J10" s="73" t="s">
        <v>185</v>
      </c>
      <c r="K10" s="72" t="s">
        <v>33</v>
      </c>
      <c r="L10" s="72" t="s">
        <v>34</v>
      </c>
      <c r="M10" s="72" t="s">
        <v>35</v>
      </c>
      <c r="N10" s="73" t="s">
        <v>36</v>
      </c>
      <c r="O10" s="116" t="s">
        <v>202</v>
      </c>
      <c r="P10" s="74" t="s">
        <v>186</v>
      </c>
      <c r="Q10" s="75" t="s">
        <v>187</v>
      </c>
      <c r="R10" s="73" t="s">
        <v>188</v>
      </c>
      <c r="S10" s="75" t="s">
        <v>41</v>
      </c>
      <c r="T10" s="75" t="s">
        <v>42</v>
      </c>
      <c r="U10" s="75" t="s">
        <v>43</v>
      </c>
      <c r="V10" s="73" t="s">
        <v>44</v>
      </c>
      <c r="W10" s="75" t="s">
        <v>45</v>
      </c>
      <c r="X10" s="75" t="s">
        <v>46</v>
      </c>
      <c r="Y10" s="75" t="s">
        <v>47</v>
      </c>
      <c r="Z10" s="73" t="s">
        <v>48</v>
      </c>
      <c r="AA10" s="75" t="s">
        <v>49</v>
      </c>
      <c r="AB10" s="75" t="s">
        <v>50</v>
      </c>
      <c r="AC10" s="75" t="s">
        <v>51</v>
      </c>
      <c r="AD10" s="73" t="s">
        <v>52</v>
      </c>
      <c r="AE10" s="75" t="s">
        <v>53</v>
      </c>
      <c r="AF10" s="75" t="s">
        <v>54</v>
      </c>
      <c r="AG10" s="75" t="s">
        <v>55</v>
      </c>
      <c r="AH10" s="73" t="s">
        <v>56</v>
      </c>
      <c r="AI10" s="116" t="s">
        <v>189</v>
      </c>
      <c r="AJ10" s="70" t="s">
        <v>190</v>
      </c>
      <c r="AK10" s="72" t="s">
        <v>191</v>
      </c>
      <c r="AL10" s="73" t="s">
        <v>192</v>
      </c>
      <c r="AM10" s="116" t="s">
        <v>61</v>
      </c>
      <c r="AN10" s="72" t="s">
        <v>62</v>
      </c>
      <c r="AO10" s="72" t="s">
        <v>63</v>
      </c>
      <c r="AP10" s="73" t="s">
        <v>64</v>
      </c>
      <c r="AQ10" s="116" t="s">
        <v>193</v>
      </c>
      <c r="AR10" s="70" t="s">
        <v>66</v>
      </c>
      <c r="AS10" s="72" t="s">
        <v>67</v>
      </c>
      <c r="AT10" s="73" t="s">
        <v>68</v>
      </c>
      <c r="AU10" s="72" t="s">
        <v>69</v>
      </c>
      <c r="AV10" s="72" t="s">
        <v>70</v>
      </c>
      <c r="AW10" s="72" t="s">
        <v>71</v>
      </c>
      <c r="AX10" s="73" t="s">
        <v>72</v>
      </c>
      <c r="AY10" s="72" t="s">
        <v>73</v>
      </c>
      <c r="AZ10" s="72" t="s">
        <v>74</v>
      </c>
      <c r="BA10" s="72" t="s">
        <v>75</v>
      </c>
      <c r="BB10" s="73" t="s">
        <v>76</v>
      </c>
      <c r="BC10" s="72" t="s">
        <v>77</v>
      </c>
      <c r="BD10" s="72" t="s">
        <v>78</v>
      </c>
      <c r="BE10" s="72" t="s">
        <v>79</v>
      </c>
      <c r="BF10" s="73" t="s">
        <v>80</v>
      </c>
      <c r="BG10" s="72" t="s">
        <v>81</v>
      </c>
      <c r="BH10" s="72" t="s">
        <v>82</v>
      </c>
      <c r="BI10" s="72" t="s">
        <v>83</v>
      </c>
      <c r="BJ10" s="73" t="s">
        <v>84</v>
      </c>
      <c r="BK10" s="72" t="s">
        <v>85</v>
      </c>
      <c r="BL10" s="72" t="s">
        <v>86</v>
      </c>
      <c r="BM10" s="72" t="s">
        <v>87</v>
      </c>
      <c r="BN10" s="73" t="s">
        <v>88</v>
      </c>
      <c r="BO10" s="72" t="s">
        <v>89</v>
      </c>
      <c r="BP10" s="72" t="s">
        <v>90</v>
      </c>
      <c r="BQ10" s="72" t="s">
        <v>91</v>
      </c>
      <c r="BR10" s="73" t="s">
        <v>92</v>
      </c>
      <c r="BS10" s="72" t="s">
        <v>93</v>
      </c>
      <c r="BT10" s="72" t="s">
        <v>94</v>
      </c>
      <c r="BU10" s="72" t="s">
        <v>95</v>
      </c>
      <c r="BV10" s="73" t="s">
        <v>96</v>
      </c>
      <c r="BW10" s="72" t="s">
        <v>97</v>
      </c>
      <c r="BX10" s="70" t="s">
        <v>98</v>
      </c>
      <c r="BY10" s="72" t="s">
        <v>99</v>
      </c>
      <c r="BZ10" s="73" t="s">
        <v>100</v>
      </c>
      <c r="CA10" s="116" t="s">
        <v>194</v>
      </c>
      <c r="CB10" s="70" t="s">
        <v>102</v>
      </c>
      <c r="CC10" s="72" t="s">
        <v>103</v>
      </c>
      <c r="CD10" s="73" t="s">
        <v>104</v>
      </c>
      <c r="CE10" s="72" t="s">
        <v>105</v>
      </c>
      <c r="CF10" s="72" t="s">
        <v>106</v>
      </c>
      <c r="CG10" s="107" t="s">
        <v>107</v>
      </c>
      <c r="CH10" s="73" t="s">
        <v>108</v>
      </c>
      <c r="CI10" s="71" t="s">
        <v>195</v>
      </c>
      <c r="CJ10" s="70" t="s">
        <v>196</v>
      </c>
      <c r="CK10" s="72" t="s">
        <v>197</v>
      </c>
      <c r="CL10" s="73" t="s">
        <v>198</v>
      </c>
      <c r="CM10" s="72" t="s">
        <v>113</v>
      </c>
      <c r="CN10" s="72" t="s">
        <v>114</v>
      </c>
      <c r="CO10" s="72" t="s">
        <v>115</v>
      </c>
      <c r="CP10" s="72" t="s">
        <v>116</v>
      </c>
      <c r="CQ10" s="70" t="s">
        <v>117</v>
      </c>
      <c r="CR10" s="76" t="s">
        <v>118</v>
      </c>
      <c r="CS10" s="28"/>
    </row>
    <row r="11" spans="1:97" s="1" customFormat="1">
      <c r="A11" s="61" t="s">
        <v>119</v>
      </c>
      <c r="B11" s="62"/>
      <c r="C11" s="63" t="s">
        <v>120</v>
      </c>
      <c r="D11" s="64"/>
      <c r="E11" s="64"/>
      <c r="F11" s="86"/>
      <c r="G11" s="65"/>
      <c r="H11" s="83"/>
      <c r="I11" s="80">
        <f>H11*CQ11</f>
        <v>0</v>
      </c>
      <c r="J11" s="79">
        <f>G11*I11</f>
        <v>0</v>
      </c>
      <c r="K11" s="66"/>
      <c r="L11" s="83"/>
      <c r="M11" s="80">
        <f t="shared" ref="M11:M26" si="0">L11*CQ11</f>
        <v>0</v>
      </c>
      <c r="N11" s="79">
        <f t="shared" ref="N11:N42" si="1">K11*M11</f>
        <v>0</v>
      </c>
      <c r="O11" s="65"/>
      <c r="P11" s="83"/>
      <c r="Q11" s="80">
        <f t="shared" ref="Q11:Q42" si="2">P11*CQ11</f>
        <v>0</v>
      </c>
      <c r="R11" s="79">
        <f t="shared" ref="R11:R42" si="3">O11*Q11</f>
        <v>0</v>
      </c>
      <c r="S11" s="66"/>
      <c r="T11" s="83"/>
      <c r="U11" s="80">
        <v>0</v>
      </c>
      <c r="V11" s="79">
        <v>0</v>
      </c>
      <c r="W11" s="66"/>
      <c r="X11" s="83"/>
      <c r="Y11" s="80">
        <v>0</v>
      </c>
      <c r="Z11" s="79">
        <v>0</v>
      </c>
      <c r="AA11" s="66"/>
      <c r="AB11" s="83"/>
      <c r="AC11" s="80">
        <v>0</v>
      </c>
      <c r="AD11" s="79">
        <v>0</v>
      </c>
      <c r="AE11" s="66"/>
      <c r="AF11" s="83"/>
      <c r="AG11" s="80">
        <f>AF11*CQ11</f>
        <v>0</v>
      </c>
      <c r="AH11" s="79">
        <f t="shared" ref="AH11:AH42" si="4">AE11*AG11</f>
        <v>0</v>
      </c>
      <c r="AI11" s="65"/>
      <c r="AJ11" s="83"/>
      <c r="AK11" s="80">
        <f t="shared" ref="AK11:AK42" si="5">AJ11*CQ11</f>
        <v>0</v>
      </c>
      <c r="AL11" s="79">
        <f t="shared" ref="AL11:AL42" si="6">AI11*AK11</f>
        <v>0</v>
      </c>
      <c r="AM11" s="65"/>
      <c r="AN11" s="83"/>
      <c r="AO11" s="80">
        <f t="shared" ref="AO11:AO42" si="7">AN11*CQ11</f>
        <v>0</v>
      </c>
      <c r="AP11" s="79">
        <f t="shared" ref="AP11:AP42" si="8">AM11*AO11</f>
        <v>0</v>
      </c>
      <c r="AQ11" s="65"/>
      <c r="AR11" s="83"/>
      <c r="AS11" s="80">
        <f t="shared" ref="AS11:AS42" si="9">AR11*CQ11</f>
        <v>0</v>
      </c>
      <c r="AT11" s="79">
        <f t="shared" ref="AT11:AT42" si="10">AQ11*AS11</f>
        <v>0</v>
      </c>
      <c r="AU11" s="66"/>
      <c r="AV11" s="83"/>
      <c r="AW11" s="80">
        <v>0</v>
      </c>
      <c r="AX11" s="79">
        <v>0</v>
      </c>
      <c r="AY11" s="66"/>
      <c r="AZ11" s="83"/>
      <c r="BA11" s="80">
        <v>0</v>
      </c>
      <c r="BB11" s="79">
        <v>0</v>
      </c>
      <c r="BC11" s="66"/>
      <c r="BD11" s="83"/>
      <c r="BE11" s="80">
        <v>0</v>
      </c>
      <c r="BF11" s="79">
        <v>0</v>
      </c>
      <c r="BG11" s="66"/>
      <c r="BH11" s="83"/>
      <c r="BI11" s="80">
        <v>0</v>
      </c>
      <c r="BJ11" s="79">
        <v>0</v>
      </c>
      <c r="BK11" s="66"/>
      <c r="BL11" s="83"/>
      <c r="BM11" s="80">
        <v>0</v>
      </c>
      <c r="BN11" s="79">
        <v>0</v>
      </c>
      <c r="BO11" s="66"/>
      <c r="BP11" s="83"/>
      <c r="BQ11" s="80">
        <v>0</v>
      </c>
      <c r="BR11" s="79">
        <v>0</v>
      </c>
      <c r="BS11" s="66"/>
      <c r="BT11" s="83"/>
      <c r="BU11" s="80">
        <f t="shared" ref="BU11:BU42" si="11">BT11*CQ11</f>
        <v>0</v>
      </c>
      <c r="BV11" s="79">
        <f t="shared" ref="BV11:BV42" si="12">BS11*BU11</f>
        <v>0</v>
      </c>
      <c r="BW11" s="65">
        <v>240</v>
      </c>
      <c r="BX11" s="83"/>
      <c r="BY11" s="80">
        <f t="shared" ref="BY11:BY42" si="13">BX11*CQ11</f>
        <v>0</v>
      </c>
      <c r="BZ11" s="79">
        <f t="shared" ref="BZ11:BZ42" si="14">BW11*BY11</f>
        <v>0</v>
      </c>
      <c r="CA11" s="65"/>
      <c r="CB11" s="83"/>
      <c r="CC11" s="80">
        <v>0</v>
      </c>
      <c r="CD11" s="79">
        <v>0</v>
      </c>
      <c r="CE11" s="66"/>
      <c r="CF11" s="83"/>
      <c r="CG11" s="80">
        <f t="shared" ref="CG11:CG42" si="15">CF11*CQ11</f>
        <v>0</v>
      </c>
      <c r="CH11" s="79">
        <f t="shared" ref="CH11:CH42" si="16">CE11*CG11</f>
        <v>0</v>
      </c>
      <c r="CI11" s="43"/>
      <c r="CJ11" s="83"/>
      <c r="CK11" s="80">
        <f t="shared" ref="CK11:CK42" si="17">CJ11*CQ11</f>
        <v>0</v>
      </c>
      <c r="CL11" s="79">
        <f t="shared" ref="CL11:CL42" si="18">CI11*CK11</f>
        <v>0</v>
      </c>
      <c r="CM11" s="67">
        <v>0.1</v>
      </c>
      <c r="CN11" s="67">
        <v>0.15</v>
      </c>
      <c r="CO11" s="67">
        <v>0.05</v>
      </c>
      <c r="CP11" s="67">
        <v>0.1</v>
      </c>
      <c r="CQ11" s="68">
        <f t="shared" ref="CQ11:CQ42" si="19">(1+CM11)*(1+CN11)*(1+CO11)*(1+CP11)</f>
        <v>1.4610750000000001</v>
      </c>
      <c r="CR11" s="77">
        <f t="shared" ref="CR11:CR42" si="20">J11+N11+R11+V11+Z11+AD11+AH11+AL11+AP11+AT11+AX11+BB11+BF11+BJ11+BN11+BR11+BV11+BZ11+CD11+CH11+CL11</f>
        <v>0</v>
      </c>
      <c r="CS11" s="35"/>
    </row>
    <row r="12" spans="1:97" s="1" customFormat="1">
      <c r="A12" s="30" t="s">
        <v>119</v>
      </c>
      <c r="B12" s="47"/>
      <c r="C12" s="31" t="s">
        <v>121</v>
      </c>
      <c r="D12" s="32"/>
      <c r="E12" s="32"/>
      <c r="F12" s="87"/>
      <c r="G12" s="48"/>
      <c r="H12" s="84"/>
      <c r="I12" s="80">
        <f t="shared" ref="I12:I59" si="21">H12*CQ12</f>
        <v>0</v>
      </c>
      <c r="J12" s="79">
        <f t="shared" ref="J12:J59" si="22">G12*I12</f>
        <v>0</v>
      </c>
      <c r="K12" s="49"/>
      <c r="L12" s="84"/>
      <c r="M12" s="81">
        <f t="shared" si="0"/>
        <v>0</v>
      </c>
      <c r="N12" s="79">
        <f t="shared" si="1"/>
        <v>0</v>
      </c>
      <c r="O12" s="48"/>
      <c r="P12" s="84"/>
      <c r="Q12" s="81">
        <f t="shared" si="2"/>
        <v>0</v>
      </c>
      <c r="R12" s="79">
        <f t="shared" si="3"/>
        <v>0</v>
      </c>
      <c r="S12" s="49"/>
      <c r="T12" s="84"/>
      <c r="U12" s="81">
        <v>0</v>
      </c>
      <c r="V12" s="79">
        <v>0</v>
      </c>
      <c r="W12" s="49"/>
      <c r="X12" s="84"/>
      <c r="Y12" s="81">
        <v>0</v>
      </c>
      <c r="Z12" s="79">
        <v>0</v>
      </c>
      <c r="AA12" s="49"/>
      <c r="AB12" s="84"/>
      <c r="AC12" s="81">
        <v>0</v>
      </c>
      <c r="AD12" s="79">
        <v>0</v>
      </c>
      <c r="AE12" s="49"/>
      <c r="AF12" s="84"/>
      <c r="AG12" s="81">
        <f t="shared" ref="AG12:AG59" si="23">AF12*CZ12</f>
        <v>0</v>
      </c>
      <c r="AH12" s="79">
        <f t="shared" si="4"/>
        <v>0</v>
      </c>
      <c r="AI12" s="48"/>
      <c r="AJ12" s="84"/>
      <c r="AK12" s="81">
        <f t="shared" si="5"/>
        <v>0</v>
      </c>
      <c r="AL12" s="79">
        <f t="shared" si="6"/>
        <v>0</v>
      </c>
      <c r="AM12" s="48"/>
      <c r="AN12" s="84"/>
      <c r="AO12" s="81">
        <f t="shared" si="7"/>
        <v>0</v>
      </c>
      <c r="AP12" s="79">
        <f t="shared" si="8"/>
        <v>0</v>
      </c>
      <c r="AQ12" s="48"/>
      <c r="AR12" s="84"/>
      <c r="AS12" s="81">
        <f t="shared" si="9"/>
        <v>0</v>
      </c>
      <c r="AT12" s="79">
        <f t="shared" si="10"/>
        <v>0</v>
      </c>
      <c r="AU12" s="49"/>
      <c r="AV12" s="84"/>
      <c r="AW12" s="81">
        <v>0</v>
      </c>
      <c r="AX12" s="79">
        <v>0</v>
      </c>
      <c r="AY12" s="49"/>
      <c r="AZ12" s="84"/>
      <c r="BA12" s="81">
        <v>0</v>
      </c>
      <c r="BB12" s="79">
        <v>0</v>
      </c>
      <c r="BC12" s="49"/>
      <c r="BD12" s="84"/>
      <c r="BE12" s="81">
        <v>0</v>
      </c>
      <c r="BF12" s="79">
        <v>0</v>
      </c>
      <c r="BG12" s="49"/>
      <c r="BH12" s="84"/>
      <c r="BI12" s="81">
        <v>0</v>
      </c>
      <c r="BJ12" s="79">
        <v>0</v>
      </c>
      <c r="BK12" s="49"/>
      <c r="BL12" s="84"/>
      <c r="BM12" s="81">
        <v>0</v>
      </c>
      <c r="BN12" s="79">
        <v>0</v>
      </c>
      <c r="BO12" s="51"/>
      <c r="BP12" s="84"/>
      <c r="BQ12" s="81">
        <v>0</v>
      </c>
      <c r="BR12" s="79">
        <v>0</v>
      </c>
      <c r="BS12" s="49"/>
      <c r="BT12" s="84"/>
      <c r="BU12" s="81">
        <f t="shared" si="11"/>
        <v>0</v>
      </c>
      <c r="BV12" s="79">
        <f t="shared" si="12"/>
        <v>0</v>
      </c>
      <c r="BW12" s="48">
        <v>240</v>
      </c>
      <c r="BX12" s="84"/>
      <c r="BY12" s="81">
        <f t="shared" si="13"/>
        <v>0</v>
      </c>
      <c r="BZ12" s="79">
        <f t="shared" si="14"/>
        <v>0</v>
      </c>
      <c r="CA12" s="48"/>
      <c r="CB12" s="84"/>
      <c r="CC12" s="81">
        <v>0</v>
      </c>
      <c r="CD12" s="79">
        <v>0</v>
      </c>
      <c r="CE12" s="49"/>
      <c r="CF12" s="84"/>
      <c r="CG12" s="81">
        <f t="shared" si="15"/>
        <v>0</v>
      </c>
      <c r="CH12" s="79">
        <f t="shared" si="16"/>
        <v>0</v>
      </c>
      <c r="CI12" s="33"/>
      <c r="CJ12" s="84"/>
      <c r="CK12" s="81">
        <f t="shared" si="17"/>
        <v>0</v>
      </c>
      <c r="CL12" s="79">
        <f t="shared" si="18"/>
        <v>0</v>
      </c>
      <c r="CM12" s="34"/>
      <c r="CN12" s="34"/>
      <c r="CO12" s="34"/>
      <c r="CP12" s="34"/>
      <c r="CQ12" s="50">
        <f t="shared" si="19"/>
        <v>1</v>
      </c>
      <c r="CR12" s="77">
        <f t="shared" si="20"/>
        <v>0</v>
      </c>
      <c r="CS12" s="35"/>
    </row>
    <row r="13" spans="1:97" s="1" customFormat="1">
      <c r="A13" s="30" t="s">
        <v>122</v>
      </c>
      <c r="B13" s="47"/>
      <c r="C13" s="31" t="s">
        <v>121</v>
      </c>
      <c r="D13" s="32"/>
      <c r="E13" s="32"/>
      <c r="F13" s="87"/>
      <c r="G13" s="48"/>
      <c r="H13" s="84"/>
      <c r="I13" s="80">
        <f t="shared" si="21"/>
        <v>0</v>
      </c>
      <c r="J13" s="79">
        <f t="shared" si="22"/>
        <v>0</v>
      </c>
      <c r="K13" s="49"/>
      <c r="L13" s="84"/>
      <c r="M13" s="81">
        <f t="shared" si="0"/>
        <v>0</v>
      </c>
      <c r="N13" s="79">
        <f t="shared" si="1"/>
        <v>0</v>
      </c>
      <c r="O13" s="48">
        <v>1920</v>
      </c>
      <c r="P13" s="84"/>
      <c r="Q13" s="81">
        <f t="shared" si="2"/>
        <v>0</v>
      </c>
      <c r="R13" s="79">
        <f t="shared" si="3"/>
        <v>0</v>
      </c>
      <c r="S13" s="49"/>
      <c r="T13" s="84"/>
      <c r="U13" s="81">
        <v>0</v>
      </c>
      <c r="V13" s="79">
        <v>0</v>
      </c>
      <c r="W13" s="49"/>
      <c r="X13" s="84"/>
      <c r="Y13" s="81">
        <v>0</v>
      </c>
      <c r="Z13" s="79">
        <v>0</v>
      </c>
      <c r="AA13" s="49"/>
      <c r="AB13" s="84"/>
      <c r="AC13" s="81">
        <v>0</v>
      </c>
      <c r="AD13" s="79">
        <v>0</v>
      </c>
      <c r="AE13" s="49"/>
      <c r="AF13" s="84"/>
      <c r="AG13" s="81">
        <f t="shared" si="23"/>
        <v>0</v>
      </c>
      <c r="AH13" s="79">
        <f t="shared" si="4"/>
        <v>0</v>
      </c>
      <c r="AI13" s="48"/>
      <c r="AJ13" s="84"/>
      <c r="AK13" s="81">
        <f t="shared" si="5"/>
        <v>0</v>
      </c>
      <c r="AL13" s="79">
        <f t="shared" si="6"/>
        <v>0</v>
      </c>
      <c r="AM13" s="48"/>
      <c r="AN13" s="84"/>
      <c r="AO13" s="81">
        <f t="shared" si="7"/>
        <v>0</v>
      </c>
      <c r="AP13" s="79">
        <f t="shared" si="8"/>
        <v>0</v>
      </c>
      <c r="AQ13" s="48"/>
      <c r="AR13" s="84"/>
      <c r="AS13" s="81">
        <f t="shared" si="9"/>
        <v>0</v>
      </c>
      <c r="AT13" s="79">
        <f t="shared" si="10"/>
        <v>0</v>
      </c>
      <c r="AU13" s="49"/>
      <c r="AV13" s="84"/>
      <c r="AW13" s="81">
        <v>0</v>
      </c>
      <c r="AX13" s="79">
        <v>0</v>
      </c>
      <c r="AY13" s="49"/>
      <c r="AZ13" s="84"/>
      <c r="BA13" s="81">
        <v>0</v>
      </c>
      <c r="BB13" s="79">
        <v>0</v>
      </c>
      <c r="BC13" s="49"/>
      <c r="BD13" s="84"/>
      <c r="BE13" s="81">
        <v>0</v>
      </c>
      <c r="BF13" s="79">
        <v>0</v>
      </c>
      <c r="BG13" s="49"/>
      <c r="BH13" s="84"/>
      <c r="BI13" s="81">
        <v>0</v>
      </c>
      <c r="BJ13" s="79">
        <v>0</v>
      </c>
      <c r="BK13" s="49"/>
      <c r="BL13" s="84"/>
      <c r="BM13" s="81">
        <v>0</v>
      </c>
      <c r="BN13" s="79">
        <v>0</v>
      </c>
      <c r="BO13" s="49"/>
      <c r="BP13" s="84"/>
      <c r="BQ13" s="81">
        <v>0</v>
      </c>
      <c r="BR13" s="79">
        <v>0</v>
      </c>
      <c r="BS13" s="49"/>
      <c r="BT13" s="84"/>
      <c r="BU13" s="81">
        <f t="shared" si="11"/>
        <v>0</v>
      </c>
      <c r="BV13" s="79">
        <f t="shared" si="12"/>
        <v>0</v>
      </c>
      <c r="BW13" s="48"/>
      <c r="BX13" s="84"/>
      <c r="BY13" s="81">
        <f t="shared" si="13"/>
        <v>0</v>
      </c>
      <c r="BZ13" s="79">
        <f t="shared" si="14"/>
        <v>0</v>
      </c>
      <c r="CA13" s="48"/>
      <c r="CB13" s="84"/>
      <c r="CC13" s="81">
        <v>0</v>
      </c>
      <c r="CD13" s="79">
        <v>0</v>
      </c>
      <c r="CE13" s="49"/>
      <c r="CF13" s="84"/>
      <c r="CG13" s="81">
        <f t="shared" si="15"/>
        <v>0</v>
      </c>
      <c r="CH13" s="79">
        <f t="shared" si="16"/>
        <v>0</v>
      </c>
      <c r="CI13" s="33"/>
      <c r="CJ13" s="84"/>
      <c r="CK13" s="81">
        <f t="shared" si="17"/>
        <v>0</v>
      </c>
      <c r="CL13" s="79">
        <f t="shared" si="18"/>
        <v>0</v>
      </c>
      <c r="CM13" s="34"/>
      <c r="CN13" s="34"/>
      <c r="CO13" s="34"/>
      <c r="CP13" s="34"/>
      <c r="CQ13" s="50">
        <f t="shared" si="19"/>
        <v>1</v>
      </c>
      <c r="CR13" s="77">
        <f t="shared" si="20"/>
        <v>0</v>
      </c>
      <c r="CS13" s="28"/>
    </row>
    <row r="14" spans="1:97" s="1" customFormat="1">
      <c r="A14" s="30" t="s">
        <v>122</v>
      </c>
      <c r="B14" s="47"/>
      <c r="C14" s="31" t="s">
        <v>123</v>
      </c>
      <c r="D14" s="32"/>
      <c r="E14" s="32"/>
      <c r="F14" s="87"/>
      <c r="G14" s="48"/>
      <c r="H14" s="84"/>
      <c r="I14" s="80">
        <f t="shared" si="21"/>
        <v>0</v>
      </c>
      <c r="J14" s="79">
        <f t="shared" si="22"/>
        <v>0</v>
      </c>
      <c r="K14" s="49"/>
      <c r="L14" s="84"/>
      <c r="M14" s="81">
        <f t="shared" si="0"/>
        <v>0</v>
      </c>
      <c r="N14" s="79">
        <f t="shared" si="1"/>
        <v>0</v>
      </c>
      <c r="O14" s="48">
        <v>960</v>
      </c>
      <c r="P14" s="84"/>
      <c r="Q14" s="81">
        <f t="shared" si="2"/>
        <v>0</v>
      </c>
      <c r="R14" s="79">
        <f t="shared" si="3"/>
        <v>0</v>
      </c>
      <c r="S14" s="49"/>
      <c r="T14" s="84"/>
      <c r="U14" s="81">
        <v>0</v>
      </c>
      <c r="V14" s="79">
        <v>0</v>
      </c>
      <c r="W14" s="49"/>
      <c r="X14" s="84"/>
      <c r="Y14" s="81">
        <v>0</v>
      </c>
      <c r="Z14" s="79">
        <v>0</v>
      </c>
      <c r="AA14" s="49"/>
      <c r="AB14" s="84"/>
      <c r="AC14" s="81">
        <v>0</v>
      </c>
      <c r="AD14" s="79">
        <v>0</v>
      </c>
      <c r="AE14" s="49"/>
      <c r="AF14" s="84"/>
      <c r="AG14" s="81">
        <f t="shared" si="23"/>
        <v>0</v>
      </c>
      <c r="AH14" s="79">
        <f t="shared" si="4"/>
        <v>0</v>
      </c>
      <c r="AI14" s="48"/>
      <c r="AJ14" s="84"/>
      <c r="AK14" s="81">
        <f t="shared" si="5"/>
        <v>0</v>
      </c>
      <c r="AL14" s="79">
        <f t="shared" si="6"/>
        <v>0</v>
      </c>
      <c r="AM14" s="48"/>
      <c r="AN14" s="84"/>
      <c r="AO14" s="81">
        <f t="shared" si="7"/>
        <v>0</v>
      </c>
      <c r="AP14" s="79">
        <f t="shared" si="8"/>
        <v>0</v>
      </c>
      <c r="AQ14" s="48"/>
      <c r="AR14" s="84"/>
      <c r="AS14" s="81">
        <f t="shared" si="9"/>
        <v>0</v>
      </c>
      <c r="AT14" s="79">
        <f t="shared" si="10"/>
        <v>0</v>
      </c>
      <c r="AU14" s="49"/>
      <c r="AV14" s="84"/>
      <c r="AW14" s="81">
        <v>0</v>
      </c>
      <c r="AX14" s="79">
        <v>0</v>
      </c>
      <c r="AY14" s="49"/>
      <c r="AZ14" s="84"/>
      <c r="BA14" s="81">
        <v>0</v>
      </c>
      <c r="BB14" s="79">
        <v>0</v>
      </c>
      <c r="BC14" s="49"/>
      <c r="BD14" s="84"/>
      <c r="BE14" s="81">
        <v>0</v>
      </c>
      <c r="BF14" s="79">
        <v>0</v>
      </c>
      <c r="BG14" s="49"/>
      <c r="BH14" s="84"/>
      <c r="BI14" s="81">
        <v>0</v>
      </c>
      <c r="BJ14" s="79">
        <v>0</v>
      </c>
      <c r="BK14" s="49"/>
      <c r="BL14" s="84"/>
      <c r="BM14" s="81">
        <v>0</v>
      </c>
      <c r="BN14" s="79">
        <v>0</v>
      </c>
      <c r="BO14" s="49"/>
      <c r="BP14" s="84"/>
      <c r="BQ14" s="81">
        <v>0</v>
      </c>
      <c r="BR14" s="79">
        <v>0</v>
      </c>
      <c r="BS14" s="49"/>
      <c r="BT14" s="84"/>
      <c r="BU14" s="81">
        <f t="shared" si="11"/>
        <v>0</v>
      </c>
      <c r="BV14" s="79">
        <f t="shared" si="12"/>
        <v>0</v>
      </c>
      <c r="BW14" s="48"/>
      <c r="BX14" s="84"/>
      <c r="BY14" s="81">
        <f t="shared" si="13"/>
        <v>0</v>
      </c>
      <c r="BZ14" s="79">
        <f t="shared" si="14"/>
        <v>0</v>
      </c>
      <c r="CA14" s="48"/>
      <c r="CB14" s="84"/>
      <c r="CC14" s="81">
        <v>0</v>
      </c>
      <c r="CD14" s="79">
        <v>0</v>
      </c>
      <c r="CE14" s="49"/>
      <c r="CF14" s="84"/>
      <c r="CG14" s="81">
        <f t="shared" si="15"/>
        <v>0</v>
      </c>
      <c r="CH14" s="79">
        <f t="shared" si="16"/>
        <v>0</v>
      </c>
      <c r="CI14" s="33"/>
      <c r="CJ14" s="84"/>
      <c r="CK14" s="81">
        <f t="shared" si="17"/>
        <v>0</v>
      </c>
      <c r="CL14" s="79">
        <f t="shared" si="18"/>
        <v>0</v>
      </c>
      <c r="CM14" s="34"/>
      <c r="CN14" s="34"/>
      <c r="CO14" s="34"/>
      <c r="CP14" s="34"/>
      <c r="CQ14" s="50">
        <f t="shared" si="19"/>
        <v>1</v>
      </c>
      <c r="CR14" s="77">
        <f t="shared" si="20"/>
        <v>0</v>
      </c>
      <c r="CS14" s="28"/>
    </row>
    <row r="15" spans="1:97" s="1" customFormat="1">
      <c r="A15" s="30" t="s">
        <v>124</v>
      </c>
      <c r="B15" s="47"/>
      <c r="C15" s="31" t="s">
        <v>123</v>
      </c>
      <c r="D15" s="32"/>
      <c r="E15" s="32"/>
      <c r="F15" s="87"/>
      <c r="G15" s="48"/>
      <c r="H15" s="84"/>
      <c r="I15" s="80">
        <f t="shared" si="21"/>
        <v>0</v>
      </c>
      <c r="J15" s="79">
        <f t="shared" si="22"/>
        <v>0</v>
      </c>
      <c r="K15" s="49"/>
      <c r="L15" s="84"/>
      <c r="M15" s="81">
        <f t="shared" si="0"/>
        <v>0</v>
      </c>
      <c r="N15" s="79">
        <f t="shared" si="1"/>
        <v>0</v>
      </c>
      <c r="O15" s="48"/>
      <c r="P15" s="84"/>
      <c r="Q15" s="81">
        <f t="shared" si="2"/>
        <v>0</v>
      </c>
      <c r="R15" s="79">
        <f t="shared" si="3"/>
        <v>0</v>
      </c>
      <c r="S15" s="49"/>
      <c r="T15" s="84"/>
      <c r="U15" s="81">
        <v>0</v>
      </c>
      <c r="V15" s="79">
        <v>0</v>
      </c>
      <c r="W15" s="49"/>
      <c r="X15" s="84"/>
      <c r="Y15" s="81">
        <v>0</v>
      </c>
      <c r="Z15" s="79">
        <v>0</v>
      </c>
      <c r="AA15" s="49"/>
      <c r="AB15" s="84"/>
      <c r="AC15" s="81">
        <v>0</v>
      </c>
      <c r="AD15" s="79">
        <v>0</v>
      </c>
      <c r="AE15" s="49"/>
      <c r="AF15" s="84"/>
      <c r="AG15" s="81">
        <f t="shared" si="23"/>
        <v>0</v>
      </c>
      <c r="AH15" s="79">
        <f t="shared" si="4"/>
        <v>0</v>
      </c>
      <c r="AI15" s="48"/>
      <c r="AJ15" s="84"/>
      <c r="AK15" s="81">
        <f t="shared" si="5"/>
        <v>0</v>
      </c>
      <c r="AL15" s="79">
        <f t="shared" si="6"/>
        <v>0</v>
      </c>
      <c r="AM15" s="48"/>
      <c r="AN15" s="84"/>
      <c r="AO15" s="81">
        <f t="shared" si="7"/>
        <v>0</v>
      </c>
      <c r="AP15" s="79">
        <f t="shared" si="8"/>
        <v>0</v>
      </c>
      <c r="AQ15" s="48"/>
      <c r="AR15" s="84"/>
      <c r="AS15" s="81">
        <f t="shared" si="9"/>
        <v>0</v>
      </c>
      <c r="AT15" s="79">
        <f t="shared" si="10"/>
        <v>0</v>
      </c>
      <c r="AU15" s="49"/>
      <c r="AV15" s="84"/>
      <c r="AW15" s="81">
        <v>0</v>
      </c>
      <c r="AX15" s="79">
        <v>0</v>
      </c>
      <c r="AY15" s="49"/>
      <c r="AZ15" s="84"/>
      <c r="BA15" s="81">
        <v>0</v>
      </c>
      <c r="BB15" s="79">
        <v>0</v>
      </c>
      <c r="BC15" s="49"/>
      <c r="BD15" s="84"/>
      <c r="BE15" s="81">
        <v>0</v>
      </c>
      <c r="BF15" s="79">
        <v>0</v>
      </c>
      <c r="BG15" s="49"/>
      <c r="BH15" s="84"/>
      <c r="BI15" s="81">
        <v>0</v>
      </c>
      <c r="BJ15" s="79">
        <v>0</v>
      </c>
      <c r="BK15" s="49"/>
      <c r="BL15" s="84"/>
      <c r="BM15" s="81">
        <v>0</v>
      </c>
      <c r="BN15" s="79">
        <v>0</v>
      </c>
      <c r="BO15" s="49"/>
      <c r="BP15" s="84"/>
      <c r="BQ15" s="81">
        <v>0</v>
      </c>
      <c r="BR15" s="79">
        <v>0</v>
      </c>
      <c r="BS15" s="49"/>
      <c r="BT15" s="84"/>
      <c r="BU15" s="81">
        <f t="shared" si="11"/>
        <v>0</v>
      </c>
      <c r="BV15" s="79">
        <f t="shared" si="12"/>
        <v>0</v>
      </c>
      <c r="BW15" s="48"/>
      <c r="BX15" s="84"/>
      <c r="BY15" s="81">
        <f t="shared" si="13"/>
        <v>0</v>
      </c>
      <c r="BZ15" s="79">
        <f t="shared" si="14"/>
        <v>0</v>
      </c>
      <c r="CA15" s="48"/>
      <c r="CB15" s="84"/>
      <c r="CC15" s="81">
        <v>0</v>
      </c>
      <c r="CD15" s="79">
        <v>0</v>
      </c>
      <c r="CE15" s="49"/>
      <c r="CF15" s="84"/>
      <c r="CG15" s="81">
        <f t="shared" si="15"/>
        <v>0</v>
      </c>
      <c r="CH15" s="79">
        <f t="shared" si="16"/>
        <v>0</v>
      </c>
      <c r="CI15" s="33"/>
      <c r="CJ15" s="84"/>
      <c r="CK15" s="81">
        <f t="shared" si="17"/>
        <v>0</v>
      </c>
      <c r="CL15" s="79">
        <f t="shared" si="18"/>
        <v>0</v>
      </c>
      <c r="CM15" s="34"/>
      <c r="CN15" s="34"/>
      <c r="CO15" s="34"/>
      <c r="CP15" s="34"/>
      <c r="CQ15" s="50">
        <f t="shared" si="19"/>
        <v>1</v>
      </c>
      <c r="CR15" s="77">
        <f t="shared" si="20"/>
        <v>0</v>
      </c>
      <c r="CS15" s="28"/>
    </row>
    <row r="16" spans="1:97" s="1" customFormat="1">
      <c r="A16" s="30" t="s">
        <v>125</v>
      </c>
      <c r="B16" s="47"/>
      <c r="C16" s="31" t="s">
        <v>123</v>
      </c>
      <c r="D16" s="32"/>
      <c r="E16" s="32"/>
      <c r="F16" s="87"/>
      <c r="G16" s="48"/>
      <c r="H16" s="84"/>
      <c r="I16" s="80">
        <f t="shared" si="21"/>
        <v>0</v>
      </c>
      <c r="J16" s="79">
        <f t="shared" si="22"/>
        <v>0</v>
      </c>
      <c r="K16" s="49"/>
      <c r="L16" s="84"/>
      <c r="M16" s="81">
        <f t="shared" si="0"/>
        <v>0</v>
      </c>
      <c r="N16" s="79">
        <f t="shared" si="1"/>
        <v>0</v>
      </c>
      <c r="O16" s="48"/>
      <c r="P16" s="84"/>
      <c r="Q16" s="81">
        <f t="shared" si="2"/>
        <v>0</v>
      </c>
      <c r="R16" s="79">
        <f t="shared" si="3"/>
        <v>0</v>
      </c>
      <c r="S16" s="49"/>
      <c r="T16" s="84"/>
      <c r="U16" s="81">
        <v>0</v>
      </c>
      <c r="V16" s="79">
        <v>0</v>
      </c>
      <c r="W16" s="49"/>
      <c r="X16" s="84"/>
      <c r="Y16" s="81">
        <v>0</v>
      </c>
      <c r="Z16" s="79">
        <v>0</v>
      </c>
      <c r="AA16" s="49"/>
      <c r="AB16" s="84"/>
      <c r="AC16" s="81">
        <v>0</v>
      </c>
      <c r="AD16" s="79">
        <v>0</v>
      </c>
      <c r="AE16" s="49"/>
      <c r="AF16" s="84"/>
      <c r="AG16" s="81">
        <f t="shared" si="23"/>
        <v>0</v>
      </c>
      <c r="AH16" s="79">
        <f t="shared" si="4"/>
        <v>0</v>
      </c>
      <c r="AI16" s="48"/>
      <c r="AJ16" s="84"/>
      <c r="AK16" s="81">
        <f t="shared" si="5"/>
        <v>0</v>
      </c>
      <c r="AL16" s="79">
        <f t="shared" si="6"/>
        <v>0</v>
      </c>
      <c r="AM16" s="48"/>
      <c r="AN16" s="84"/>
      <c r="AO16" s="81">
        <f t="shared" si="7"/>
        <v>0</v>
      </c>
      <c r="AP16" s="79">
        <f t="shared" si="8"/>
        <v>0</v>
      </c>
      <c r="AQ16" s="48"/>
      <c r="AR16" s="84"/>
      <c r="AS16" s="81">
        <f t="shared" si="9"/>
        <v>0</v>
      </c>
      <c r="AT16" s="79">
        <f t="shared" si="10"/>
        <v>0</v>
      </c>
      <c r="AU16" s="49"/>
      <c r="AV16" s="84"/>
      <c r="AW16" s="81">
        <v>0</v>
      </c>
      <c r="AX16" s="79">
        <v>0</v>
      </c>
      <c r="AY16" s="49"/>
      <c r="AZ16" s="84"/>
      <c r="BA16" s="81">
        <v>0</v>
      </c>
      <c r="BB16" s="79">
        <v>0</v>
      </c>
      <c r="BC16" s="49"/>
      <c r="BD16" s="84"/>
      <c r="BE16" s="81">
        <v>0</v>
      </c>
      <c r="BF16" s="79">
        <v>0</v>
      </c>
      <c r="BG16" s="49"/>
      <c r="BH16" s="84"/>
      <c r="BI16" s="81">
        <v>0</v>
      </c>
      <c r="BJ16" s="79">
        <v>0</v>
      </c>
      <c r="BK16" s="49"/>
      <c r="BL16" s="84"/>
      <c r="BM16" s="81">
        <v>0</v>
      </c>
      <c r="BN16" s="79">
        <v>0</v>
      </c>
      <c r="BO16" s="49"/>
      <c r="BP16" s="84"/>
      <c r="BQ16" s="81">
        <v>0</v>
      </c>
      <c r="BR16" s="79">
        <v>0</v>
      </c>
      <c r="BS16" s="49"/>
      <c r="BT16" s="84"/>
      <c r="BU16" s="81">
        <f t="shared" si="11"/>
        <v>0</v>
      </c>
      <c r="BV16" s="79">
        <f t="shared" si="12"/>
        <v>0</v>
      </c>
      <c r="BW16" s="48"/>
      <c r="BX16" s="84"/>
      <c r="BY16" s="81">
        <f t="shared" si="13"/>
        <v>0</v>
      </c>
      <c r="BZ16" s="79">
        <f t="shared" si="14"/>
        <v>0</v>
      </c>
      <c r="CA16" s="48">
        <v>960</v>
      </c>
      <c r="CB16" s="84"/>
      <c r="CC16" s="81">
        <v>0</v>
      </c>
      <c r="CD16" s="79">
        <v>0</v>
      </c>
      <c r="CE16" s="49"/>
      <c r="CF16" s="84"/>
      <c r="CG16" s="81">
        <f t="shared" si="15"/>
        <v>0</v>
      </c>
      <c r="CH16" s="79">
        <f t="shared" si="16"/>
        <v>0</v>
      </c>
      <c r="CI16" s="33"/>
      <c r="CJ16" s="84"/>
      <c r="CK16" s="81">
        <f t="shared" si="17"/>
        <v>0</v>
      </c>
      <c r="CL16" s="79">
        <f t="shared" si="18"/>
        <v>0</v>
      </c>
      <c r="CM16" s="34"/>
      <c r="CN16" s="34"/>
      <c r="CO16" s="34"/>
      <c r="CP16" s="34"/>
      <c r="CQ16" s="50">
        <f t="shared" si="19"/>
        <v>1</v>
      </c>
      <c r="CR16" s="77">
        <f t="shared" si="20"/>
        <v>0</v>
      </c>
      <c r="CS16" s="28"/>
    </row>
    <row r="17" spans="1:97" s="1" customFormat="1">
      <c r="A17" s="30" t="s">
        <v>126</v>
      </c>
      <c r="B17" s="47"/>
      <c r="C17" s="63" t="s">
        <v>120</v>
      </c>
      <c r="D17" s="32"/>
      <c r="E17" s="32"/>
      <c r="F17" s="87"/>
      <c r="G17" s="52">
        <v>960</v>
      </c>
      <c r="H17" s="84"/>
      <c r="I17" s="80">
        <f t="shared" si="21"/>
        <v>0</v>
      </c>
      <c r="J17" s="79">
        <f t="shared" si="22"/>
        <v>0</v>
      </c>
      <c r="K17" s="49"/>
      <c r="L17" s="84"/>
      <c r="M17" s="81">
        <f t="shared" si="0"/>
        <v>0</v>
      </c>
      <c r="N17" s="79">
        <f t="shared" si="1"/>
        <v>0</v>
      </c>
      <c r="O17" s="48"/>
      <c r="P17" s="84"/>
      <c r="Q17" s="81">
        <f t="shared" si="2"/>
        <v>0</v>
      </c>
      <c r="R17" s="79">
        <f t="shared" si="3"/>
        <v>0</v>
      </c>
      <c r="S17" s="49"/>
      <c r="T17" s="84"/>
      <c r="U17" s="81">
        <v>0</v>
      </c>
      <c r="V17" s="79">
        <v>0</v>
      </c>
      <c r="W17" s="49"/>
      <c r="X17" s="84"/>
      <c r="Y17" s="81">
        <v>0</v>
      </c>
      <c r="Z17" s="79">
        <v>0</v>
      </c>
      <c r="AA17" s="49"/>
      <c r="AB17" s="84"/>
      <c r="AC17" s="81">
        <v>0</v>
      </c>
      <c r="AD17" s="79">
        <v>0</v>
      </c>
      <c r="AE17" s="49"/>
      <c r="AF17" s="84"/>
      <c r="AG17" s="81">
        <f t="shared" si="23"/>
        <v>0</v>
      </c>
      <c r="AH17" s="79">
        <f t="shared" si="4"/>
        <v>0</v>
      </c>
      <c r="AI17" s="48">
        <v>1920</v>
      </c>
      <c r="AJ17" s="84"/>
      <c r="AK17" s="81">
        <f t="shared" si="5"/>
        <v>0</v>
      </c>
      <c r="AL17" s="79">
        <f t="shared" si="6"/>
        <v>0</v>
      </c>
      <c r="AM17" s="48"/>
      <c r="AN17" s="84"/>
      <c r="AO17" s="81">
        <f t="shared" si="7"/>
        <v>0</v>
      </c>
      <c r="AP17" s="79">
        <f t="shared" si="8"/>
        <v>0</v>
      </c>
      <c r="AQ17" s="48"/>
      <c r="AR17" s="84"/>
      <c r="AS17" s="81">
        <f t="shared" si="9"/>
        <v>0</v>
      </c>
      <c r="AT17" s="79">
        <f t="shared" si="10"/>
        <v>0</v>
      </c>
      <c r="AU17" s="49"/>
      <c r="AV17" s="84"/>
      <c r="AW17" s="81">
        <v>0</v>
      </c>
      <c r="AX17" s="79">
        <v>0</v>
      </c>
      <c r="AY17" s="49"/>
      <c r="AZ17" s="84"/>
      <c r="BA17" s="81">
        <v>0</v>
      </c>
      <c r="BB17" s="79">
        <v>0</v>
      </c>
      <c r="BC17" s="49"/>
      <c r="BD17" s="84"/>
      <c r="BE17" s="81">
        <v>0</v>
      </c>
      <c r="BF17" s="79">
        <v>0</v>
      </c>
      <c r="BG17" s="49"/>
      <c r="BH17" s="84"/>
      <c r="BI17" s="81">
        <v>0</v>
      </c>
      <c r="BJ17" s="79">
        <v>0</v>
      </c>
      <c r="BK17" s="49"/>
      <c r="BL17" s="84"/>
      <c r="BM17" s="81">
        <v>0</v>
      </c>
      <c r="BN17" s="79">
        <v>0</v>
      </c>
      <c r="BO17" s="49"/>
      <c r="BP17" s="84"/>
      <c r="BQ17" s="81">
        <v>0</v>
      </c>
      <c r="BR17" s="79">
        <v>0</v>
      </c>
      <c r="BS17" s="49"/>
      <c r="BT17" s="84"/>
      <c r="BU17" s="81">
        <f t="shared" si="11"/>
        <v>0</v>
      </c>
      <c r="BV17" s="79">
        <f t="shared" si="12"/>
        <v>0</v>
      </c>
      <c r="BW17" s="48"/>
      <c r="BX17" s="84"/>
      <c r="BY17" s="81">
        <f t="shared" si="13"/>
        <v>0</v>
      </c>
      <c r="BZ17" s="79">
        <f t="shared" si="14"/>
        <v>0</v>
      </c>
      <c r="CA17" s="48"/>
      <c r="CB17" s="84"/>
      <c r="CC17" s="81">
        <v>0</v>
      </c>
      <c r="CD17" s="79">
        <v>0</v>
      </c>
      <c r="CE17" s="49"/>
      <c r="CF17" s="84"/>
      <c r="CG17" s="81">
        <f t="shared" si="15"/>
        <v>0</v>
      </c>
      <c r="CH17" s="79">
        <f t="shared" si="16"/>
        <v>0</v>
      </c>
      <c r="CI17" s="33"/>
      <c r="CJ17" s="84"/>
      <c r="CK17" s="81">
        <f t="shared" si="17"/>
        <v>0</v>
      </c>
      <c r="CL17" s="79">
        <f t="shared" si="18"/>
        <v>0</v>
      </c>
      <c r="CM17" s="34"/>
      <c r="CN17" s="34"/>
      <c r="CO17" s="34"/>
      <c r="CP17" s="34"/>
      <c r="CQ17" s="50">
        <f t="shared" si="19"/>
        <v>1</v>
      </c>
      <c r="CR17" s="77">
        <f t="shared" si="20"/>
        <v>0</v>
      </c>
      <c r="CS17" s="28"/>
    </row>
    <row r="18" spans="1:97" s="1" customFormat="1">
      <c r="A18" s="30" t="s">
        <v>126</v>
      </c>
      <c r="B18" s="47"/>
      <c r="C18" s="31" t="s">
        <v>121</v>
      </c>
      <c r="D18" s="32"/>
      <c r="E18" s="32"/>
      <c r="F18" s="87"/>
      <c r="G18" s="48">
        <v>2880</v>
      </c>
      <c r="H18" s="84"/>
      <c r="I18" s="80">
        <f t="shared" si="21"/>
        <v>0</v>
      </c>
      <c r="J18" s="79">
        <f t="shared" si="22"/>
        <v>0</v>
      </c>
      <c r="K18" s="49"/>
      <c r="L18" s="84"/>
      <c r="M18" s="81">
        <f t="shared" si="0"/>
        <v>0</v>
      </c>
      <c r="N18" s="79">
        <f t="shared" si="1"/>
        <v>0</v>
      </c>
      <c r="O18" s="48"/>
      <c r="P18" s="84"/>
      <c r="Q18" s="81">
        <f t="shared" si="2"/>
        <v>0</v>
      </c>
      <c r="R18" s="79">
        <f t="shared" si="3"/>
        <v>0</v>
      </c>
      <c r="S18" s="49"/>
      <c r="T18" s="84"/>
      <c r="U18" s="81">
        <v>0</v>
      </c>
      <c r="V18" s="79">
        <v>0</v>
      </c>
      <c r="W18" s="49"/>
      <c r="X18" s="84"/>
      <c r="Y18" s="81">
        <v>0</v>
      </c>
      <c r="Z18" s="79">
        <v>0</v>
      </c>
      <c r="AA18" s="49"/>
      <c r="AB18" s="84"/>
      <c r="AC18" s="81">
        <v>0</v>
      </c>
      <c r="AD18" s="79">
        <v>0</v>
      </c>
      <c r="AE18" s="49"/>
      <c r="AF18" s="84"/>
      <c r="AG18" s="81">
        <f t="shared" si="23"/>
        <v>0</v>
      </c>
      <c r="AH18" s="79">
        <f t="shared" si="4"/>
        <v>0</v>
      </c>
      <c r="AI18" s="48"/>
      <c r="AJ18" s="84"/>
      <c r="AK18" s="81">
        <f t="shared" si="5"/>
        <v>0</v>
      </c>
      <c r="AL18" s="79">
        <f t="shared" si="6"/>
        <v>0</v>
      </c>
      <c r="AM18" s="48"/>
      <c r="AN18" s="84"/>
      <c r="AO18" s="81">
        <f t="shared" si="7"/>
        <v>0</v>
      </c>
      <c r="AP18" s="79">
        <f t="shared" si="8"/>
        <v>0</v>
      </c>
      <c r="AQ18" s="48"/>
      <c r="AR18" s="84"/>
      <c r="AS18" s="81">
        <f t="shared" si="9"/>
        <v>0</v>
      </c>
      <c r="AT18" s="79">
        <f t="shared" si="10"/>
        <v>0</v>
      </c>
      <c r="AU18" s="49"/>
      <c r="AV18" s="84"/>
      <c r="AW18" s="81">
        <v>0</v>
      </c>
      <c r="AX18" s="79">
        <v>0</v>
      </c>
      <c r="AY18" s="49"/>
      <c r="AZ18" s="84"/>
      <c r="BA18" s="81">
        <v>0</v>
      </c>
      <c r="BB18" s="79">
        <v>0</v>
      </c>
      <c r="BC18" s="49"/>
      <c r="BD18" s="84"/>
      <c r="BE18" s="81">
        <v>0</v>
      </c>
      <c r="BF18" s="79">
        <v>0</v>
      </c>
      <c r="BG18" s="49"/>
      <c r="BH18" s="84"/>
      <c r="BI18" s="81">
        <v>0</v>
      </c>
      <c r="BJ18" s="79">
        <v>0</v>
      </c>
      <c r="BK18" s="49"/>
      <c r="BL18" s="84"/>
      <c r="BM18" s="81">
        <v>0</v>
      </c>
      <c r="BN18" s="79">
        <v>0</v>
      </c>
      <c r="BO18" s="49"/>
      <c r="BP18" s="84"/>
      <c r="BQ18" s="81">
        <v>0</v>
      </c>
      <c r="BR18" s="79">
        <v>0</v>
      </c>
      <c r="BS18" s="49"/>
      <c r="BT18" s="84"/>
      <c r="BU18" s="81">
        <f t="shared" si="11"/>
        <v>0</v>
      </c>
      <c r="BV18" s="79">
        <f t="shared" si="12"/>
        <v>0</v>
      </c>
      <c r="BW18" s="48"/>
      <c r="BX18" s="84"/>
      <c r="BY18" s="81">
        <f t="shared" si="13"/>
        <v>0</v>
      </c>
      <c r="BZ18" s="79">
        <f t="shared" si="14"/>
        <v>0</v>
      </c>
      <c r="CA18" s="48"/>
      <c r="CB18" s="84"/>
      <c r="CC18" s="81">
        <v>0</v>
      </c>
      <c r="CD18" s="79">
        <v>0</v>
      </c>
      <c r="CE18" s="49"/>
      <c r="CF18" s="84"/>
      <c r="CG18" s="81">
        <f t="shared" si="15"/>
        <v>0</v>
      </c>
      <c r="CH18" s="79">
        <f t="shared" si="16"/>
        <v>0</v>
      </c>
      <c r="CI18" s="33"/>
      <c r="CJ18" s="84"/>
      <c r="CK18" s="81">
        <f t="shared" si="17"/>
        <v>0</v>
      </c>
      <c r="CL18" s="79">
        <f t="shared" si="18"/>
        <v>0</v>
      </c>
      <c r="CM18" s="34"/>
      <c r="CN18" s="34"/>
      <c r="CO18" s="34"/>
      <c r="CP18" s="34"/>
      <c r="CQ18" s="50">
        <f t="shared" si="19"/>
        <v>1</v>
      </c>
      <c r="CR18" s="77">
        <f t="shared" si="20"/>
        <v>0</v>
      </c>
      <c r="CS18" s="28"/>
    </row>
    <row r="19" spans="1:97" s="1" customFormat="1">
      <c r="A19" s="30" t="s">
        <v>126</v>
      </c>
      <c r="B19" s="47"/>
      <c r="C19" s="31" t="s">
        <v>123</v>
      </c>
      <c r="D19" s="32"/>
      <c r="E19" s="32"/>
      <c r="F19" s="87"/>
      <c r="G19" s="48">
        <v>10560</v>
      </c>
      <c r="H19" s="84"/>
      <c r="I19" s="80">
        <f t="shared" si="21"/>
        <v>0</v>
      </c>
      <c r="J19" s="79">
        <f t="shared" si="22"/>
        <v>0</v>
      </c>
      <c r="K19" s="49"/>
      <c r="L19" s="84"/>
      <c r="M19" s="81">
        <f t="shared" si="0"/>
        <v>0</v>
      </c>
      <c r="N19" s="79">
        <f t="shared" si="1"/>
        <v>0</v>
      </c>
      <c r="O19" s="48"/>
      <c r="P19" s="84"/>
      <c r="Q19" s="81">
        <f t="shared" si="2"/>
        <v>0</v>
      </c>
      <c r="R19" s="79">
        <f t="shared" si="3"/>
        <v>0</v>
      </c>
      <c r="S19" s="49"/>
      <c r="T19" s="84"/>
      <c r="U19" s="81">
        <v>0</v>
      </c>
      <c r="V19" s="79">
        <v>0</v>
      </c>
      <c r="W19" s="49"/>
      <c r="X19" s="84"/>
      <c r="Y19" s="81">
        <v>0</v>
      </c>
      <c r="Z19" s="79">
        <v>0</v>
      </c>
      <c r="AA19" s="49"/>
      <c r="AB19" s="84"/>
      <c r="AC19" s="81">
        <v>0</v>
      </c>
      <c r="AD19" s="79">
        <v>0</v>
      </c>
      <c r="AE19" s="49"/>
      <c r="AF19" s="84"/>
      <c r="AG19" s="81">
        <f t="shared" si="23"/>
        <v>0</v>
      </c>
      <c r="AH19" s="79">
        <f t="shared" si="4"/>
        <v>0</v>
      </c>
      <c r="AI19" s="48"/>
      <c r="AJ19" s="84"/>
      <c r="AK19" s="81">
        <f t="shared" si="5"/>
        <v>0</v>
      </c>
      <c r="AL19" s="79">
        <f t="shared" si="6"/>
        <v>0</v>
      </c>
      <c r="AM19" s="48"/>
      <c r="AN19" s="84"/>
      <c r="AO19" s="81">
        <f t="shared" si="7"/>
        <v>0</v>
      </c>
      <c r="AP19" s="79">
        <f t="shared" si="8"/>
        <v>0</v>
      </c>
      <c r="AQ19" s="48"/>
      <c r="AR19" s="84"/>
      <c r="AS19" s="81">
        <f t="shared" si="9"/>
        <v>0</v>
      </c>
      <c r="AT19" s="79">
        <f t="shared" si="10"/>
        <v>0</v>
      </c>
      <c r="AU19" s="49"/>
      <c r="AV19" s="84"/>
      <c r="AW19" s="81">
        <v>0</v>
      </c>
      <c r="AX19" s="79">
        <v>0</v>
      </c>
      <c r="AY19" s="49"/>
      <c r="AZ19" s="84"/>
      <c r="BA19" s="81">
        <v>0</v>
      </c>
      <c r="BB19" s="79">
        <v>0</v>
      </c>
      <c r="BC19" s="49"/>
      <c r="BD19" s="84"/>
      <c r="BE19" s="81">
        <v>0</v>
      </c>
      <c r="BF19" s="79">
        <v>0</v>
      </c>
      <c r="BG19" s="49"/>
      <c r="BH19" s="84"/>
      <c r="BI19" s="81">
        <v>0</v>
      </c>
      <c r="BJ19" s="79">
        <v>0</v>
      </c>
      <c r="BK19" s="49"/>
      <c r="BL19" s="84"/>
      <c r="BM19" s="81">
        <v>0</v>
      </c>
      <c r="BN19" s="79">
        <v>0</v>
      </c>
      <c r="BO19" s="49"/>
      <c r="BP19" s="84"/>
      <c r="BQ19" s="81">
        <v>0</v>
      </c>
      <c r="BR19" s="79">
        <v>0</v>
      </c>
      <c r="BS19" s="49"/>
      <c r="BT19" s="84"/>
      <c r="BU19" s="81">
        <f t="shared" si="11"/>
        <v>0</v>
      </c>
      <c r="BV19" s="79">
        <f t="shared" si="12"/>
        <v>0</v>
      </c>
      <c r="BW19" s="48"/>
      <c r="BX19" s="84"/>
      <c r="BY19" s="81">
        <f t="shared" si="13"/>
        <v>0</v>
      </c>
      <c r="BZ19" s="79">
        <f t="shared" si="14"/>
        <v>0</v>
      </c>
      <c r="CA19" s="48"/>
      <c r="CB19" s="84"/>
      <c r="CC19" s="81">
        <v>0</v>
      </c>
      <c r="CD19" s="79">
        <v>0</v>
      </c>
      <c r="CE19" s="49"/>
      <c r="CF19" s="84"/>
      <c r="CG19" s="81">
        <f t="shared" si="15"/>
        <v>0</v>
      </c>
      <c r="CH19" s="79">
        <f t="shared" si="16"/>
        <v>0</v>
      </c>
      <c r="CI19" s="33"/>
      <c r="CJ19" s="84"/>
      <c r="CK19" s="81">
        <f t="shared" si="17"/>
        <v>0</v>
      </c>
      <c r="CL19" s="79">
        <f t="shared" si="18"/>
        <v>0</v>
      </c>
      <c r="CM19" s="34"/>
      <c r="CN19" s="34"/>
      <c r="CO19" s="34"/>
      <c r="CP19" s="53"/>
      <c r="CQ19" s="50">
        <f t="shared" si="19"/>
        <v>1</v>
      </c>
      <c r="CR19" s="77">
        <f t="shared" si="20"/>
        <v>0</v>
      </c>
      <c r="CS19" s="28"/>
    </row>
    <row r="20" spans="1:97" s="1" customFormat="1">
      <c r="A20" s="30" t="s">
        <v>127</v>
      </c>
      <c r="B20" s="47"/>
      <c r="C20" s="31" t="s">
        <v>128</v>
      </c>
      <c r="D20" s="32"/>
      <c r="E20" s="32"/>
      <c r="F20" s="87"/>
      <c r="G20" s="48"/>
      <c r="H20" s="84"/>
      <c r="I20" s="80">
        <f t="shared" si="21"/>
        <v>0</v>
      </c>
      <c r="J20" s="79">
        <f t="shared" si="22"/>
        <v>0</v>
      </c>
      <c r="K20" s="49"/>
      <c r="L20" s="84"/>
      <c r="M20" s="81">
        <f t="shared" si="0"/>
        <v>0</v>
      </c>
      <c r="N20" s="79">
        <f t="shared" si="1"/>
        <v>0</v>
      </c>
      <c r="O20" s="48">
        <v>5760</v>
      </c>
      <c r="P20" s="84"/>
      <c r="Q20" s="81">
        <f t="shared" si="2"/>
        <v>0</v>
      </c>
      <c r="R20" s="79">
        <f t="shared" si="3"/>
        <v>0</v>
      </c>
      <c r="S20" s="49"/>
      <c r="T20" s="84"/>
      <c r="U20" s="81">
        <v>0</v>
      </c>
      <c r="V20" s="79">
        <v>0</v>
      </c>
      <c r="W20" s="49"/>
      <c r="X20" s="84"/>
      <c r="Y20" s="81">
        <v>0</v>
      </c>
      <c r="Z20" s="79">
        <v>0</v>
      </c>
      <c r="AA20" s="49"/>
      <c r="AB20" s="84"/>
      <c r="AC20" s="81">
        <v>0</v>
      </c>
      <c r="AD20" s="79">
        <v>0</v>
      </c>
      <c r="AE20" s="49"/>
      <c r="AF20" s="84"/>
      <c r="AG20" s="81">
        <f t="shared" si="23"/>
        <v>0</v>
      </c>
      <c r="AH20" s="79">
        <f t="shared" si="4"/>
        <v>0</v>
      </c>
      <c r="AI20" s="48"/>
      <c r="AJ20" s="84"/>
      <c r="AK20" s="81">
        <f t="shared" si="5"/>
        <v>0</v>
      </c>
      <c r="AL20" s="79">
        <f t="shared" si="6"/>
        <v>0</v>
      </c>
      <c r="AM20" s="48"/>
      <c r="AN20" s="84"/>
      <c r="AO20" s="81">
        <f t="shared" si="7"/>
        <v>0</v>
      </c>
      <c r="AP20" s="79">
        <f t="shared" si="8"/>
        <v>0</v>
      </c>
      <c r="AQ20" s="48"/>
      <c r="AR20" s="84"/>
      <c r="AS20" s="81">
        <f t="shared" si="9"/>
        <v>0</v>
      </c>
      <c r="AT20" s="79">
        <f t="shared" si="10"/>
        <v>0</v>
      </c>
      <c r="AU20" s="49"/>
      <c r="AV20" s="84"/>
      <c r="AW20" s="81">
        <v>0</v>
      </c>
      <c r="AX20" s="79">
        <v>0</v>
      </c>
      <c r="AY20" s="49"/>
      <c r="AZ20" s="84"/>
      <c r="BA20" s="81">
        <v>0</v>
      </c>
      <c r="BB20" s="79">
        <v>0</v>
      </c>
      <c r="BC20" s="49"/>
      <c r="BD20" s="84"/>
      <c r="BE20" s="81">
        <v>0</v>
      </c>
      <c r="BF20" s="79">
        <v>0</v>
      </c>
      <c r="BG20" s="49"/>
      <c r="BH20" s="84"/>
      <c r="BI20" s="81">
        <v>0</v>
      </c>
      <c r="BJ20" s="79">
        <v>0</v>
      </c>
      <c r="BK20" s="49"/>
      <c r="BL20" s="84"/>
      <c r="BM20" s="81">
        <v>0</v>
      </c>
      <c r="BN20" s="79">
        <v>0</v>
      </c>
      <c r="BO20" s="49"/>
      <c r="BP20" s="84"/>
      <c r="BQ20" s="81">
        <v>0</v>
      </c>
      <c r="BR20" s="79">
        <v>0</v>
      </c>
      <c r="BS20" s="49"/>
      <c r="BT20" s="84"/>
      <c r="BU20" s="81">
        <f t="shared" si="11"/>
        <v>0</v>
      </c>
      <c r="BV20" s="79">
        <f t="shared" si="12"/>
        <v>0</v>
      </c>
      <c r="BW20" s="48"/>
      <c r="BX20" s="84"/>
      <c r="BY20" s="81">
        <f t="shared" si="13"/>
        <v>0</v>
      </c>
      <c r="BZ20" s="79">
        <f t="shared" si="14"/>
        <v>0</v>
      </c>
      <c r="CA20" s="48"/>
      <c r="CB20" s="84"/>
      <c r="CC20" s="81">
        <v>0</v>
      </c>
      <c r="CD20" s="79">
        <v>0</v>
      </c>
      <c r="CE20" s="49"/>
      <c r="CF20" s="84"/>
      <c r="CG20" s="81">
        <f t="shared" si="15"/>
        <v>0</v>
      </c>
      <c r="CH20" s="79">
        <f t="shared" si="16"/>
        <v>0</v>
      </c>
      <c r="CI20" s="33"/>
      <c r="CJ20" s="84"/>
      <c r="CK20" s="81">
        <f t="shared" si="17"/>
        <v>0</v>
      </c>
      <c r="CL20" s="79">
        <f t="shared" si="18"/>
        <v>0</v>
      </c>
      <c r="CM20" s="34"/>
      <c r="CN20" s="34"/>
      <c r="CO20" s="34"/>
      <c r="CP20" s="34"/>
      <c r="CQ20" s="50">
        <f t="shared" si="19"/>
        <v>1</v>
      </c>
      <c r="CR20" s="77">
        <f t="shared" si="20"/>
        <v>0</v>
      </c>
      <c r="CS20" s="28"/>
    </row>
    <row r="21" spans="1:97" s="1" customFormat="1">
      <c r="A21" s="30" t="s">
        <v>127</v>
      </c>
      <c r="B21" s="47"/>
      <c r="C21" s="31" t="s">
        <v>123</v>
      </c>
      <c r="D21" s="32"/>
      <c r="E21" s="32"/>
      <c r="F21" s="87"/>
      <c r="G21" s="48"/>
      <c r="H21" s="84"/>
      <c r="I21" s="80">
        <f t="shared" si="21"/>
        <v>0</v>
      </c>
      <c r="J21" s="79">
        <f t="shared" si="22"/>
        <v>0</v>
      </c>
      <c r="K21" s="49"/>
      <c r="L21" s="84"/>
      <c r="M21" s="81">
        <f t="shared" si="0"/>
        <v>0</v>
      </c>
      <c r="N21" s="79">
        <f t="shared" si="1"/>
        <v>0</v>
      </c>
      <c r="O21" s="48"/>
      <c r="P21" s="84"/>
      <c r="Q21" s="81">
        <f t="shared" si="2"/>
        <v>0</v>
      </c>
      <c r="R21" s="79">
        <f t="shared" si="3"/>
        <v>0</v>
      </c>
      <c r="S21" s="49"/>
      <c r="T21" s="84"/>
      <c r="U21" s="81">
        <v>0</v>
      </c>
      <c r="V21" s="79">
        <v>0</v>
      </c>
      <c r="W21" s="49"/>
      <c r="X21" s="84"/>
      <c r="Y21" s="81">
        <v>0</v>
      </c>
      <c r="Z21" s="79">
        <v>0</v>
      </c>
      <c r="AA21" s="49"/>
      <c r="AB21" s="84"/>
      <c r="AC21" s="81">
        <v>0</v>
      </c>
      <c r="AD21" s="79">
        <v>0</v>
      </c>
      <c r="AE21" s="49"/>
      <c r="AF21" s="84"/>
      <c r="AG21" s="81">
        <f t="shared" si="23"/>
        <v>0</v>
      </c>
      <c r="AH21" s="79">
        <f t="shared" si="4"/>
        <v>0</v>
      </c>
      <c r="AI21" s="48"/>
      <c r="AJ21" s="84"/>
      <c r="AK21" s="81">
        <f t="shared" si="5"/>
        <v>0</v>
      </c>
      <c r="AL21" s="79">
        <f t="shared" si="6"/>
        <v>0</v>
      </c>
      <c r="AM21" s="48"/>
      <c r="AN21" s="84"/>
      <c r="AO21" s="81">
        <f t="shared" si="7"/>
        <v>0</v>
      </c>
      <c r="AP21" s="79">
        <f t="shared" si="8"/>
        <v>0</v>
      </c>
      <c r="AQ21" s="48"/>
      <c r="AR21" s="84"/>
      <c r="AS21" s="81">
        <f t="shared" si="9"/>
        <v>0</v>
      </c>
      <c r="AT21" s="79">
        <f t="shared" si="10"/>
        <v>0</v>
      </c>
      <c r="AU21" s="49"/>
      <c r="AV21" s="84"/>
      <c r="AW21" s="81">
        <v>0</v>
      </c>
      <c r="AX21" s="79">
        <v>0</v>
      </c>
      <c r="AY21" s="49"/>
      <c r="AZ21" s="84"/>
      <c r="BA21" s="81">
        <v>0</v>
      </c>
      <c r="BB21" s="79">
        <v>0</v>
      </c>
      <c r="BC21" s="49"/>
      <c r="BD21" s="84"/>
      <c r="BE21" s="81">
        <v>0</v>
      </c>
      <c r="BF21" s="79">
        <v>0</v>
      </c>
      <c r="BG21" s="49"/>
      <c r="BH21" s="84"/>
      <c r="BI21" s="81">
        <v>0</v>
      </c>
      <c r="BJ21" s="79">
        <v>0</v>
      </c>
      <c r="BK21" s="49"/>
      <c r="BL21" s="84"/>
      <c r="BM21" s="81">
        <v>0</v>
      </c>
      <c r="BN21" s="79">
        <v>0</v>
      </c>
      <c r="BO21" s="49"/>
      <c r="BP21" s="84"/>
      <c r="BQ21" s="81">
        <v>0</v>
      </c>
      <c r="BR21" s="79">
        <v>0</v>
      </c>
      <c r="BS21" s="49"/>
      <c r="BT21" s="84"/>
      <c r="BU21" s="81">
        <f t="shared" si="11"/>
        <v>0</v>
      </c>
      <c r="BV21" s="79">
        <f t="shared" si="12"/>
        <v>0</v>
      </c>
      <c r="BW21" s="48"/>
      <c r="BX21" s="84"/>
      <c r="BY21" s="81">
        <f t="shared" si="13"/>
        <v>0</v>
      </c>
      <c r="BZ21" s="79">
        <f t="shared" si="14"/>
        <v>0</v>
      </c>
      <c r="CA21" s="48"/>
      <c r="CB21" s="84"/>
      <c r="CC21" s="81">
        <v>0</v>
      </c>
      <c r="CD21" s="79">
        <v>0</v>
      </c>
      <c r="CE21" s="49"/>
      <c r="CF21" s="84"/>
      <c r="CG21" s="81">
        <f t="shared" si="15"/>
        <v>0</v>
      </c>
      <c r="CH21" s="79">
        <f t="shared" si="16"/>
        <v>0</v>
      </c>
      <c r="CI21" s="33"/>
      <c r="CJ21" s="84"/>
      <c r="CK21" s="81">
        <f t="shared" si="17"/>
        <v>0</v>
      </c>
      <c r="CL21" s="79">
        <f t="shared" si="18"/>
        <v>0</v>
      </c>
      <c r="CM21" s="34"/>
      <c r="CN21" s="34"/>
      <c r="CO21" s="34"/>
      <c r="CP21" s="34"/>
      <c r="CQ21" s="50">
        <f t="shared" si="19"/>
        <v>1</v>
      </c>
      <c r="CR21" s="77">
        <f t="shared" si="20"/>
        <v>0</v>
      </c>
      <c r="CS21" s="28"/>
    </row>
    <row r="22" spans="1:97" s="1" customFormat="1">
      <c r="A22" s="30" t="s">
        <v>129</v>
      </c>
      <c r="B22" s="47"/>
      <c r="C22" s="31" t="s">
        <v>123</v>
      </c>
      <c r="D22" s="32"/>
      <c r="E22" s="32"/>
      <c r="F22" s="87"/>
      <c r="G22" s="48"/>
      <c r="H22" s="84"/>
      <c r="I22" s="80">
        <f t="shared" si="21"/>
        <v>0</v>
      </c>
      <c r="J22" s="79">
        <f t="shared" si="22"/>
        <v>0</v>
      </c>
      <c r="K22" s="49"/>
      <c r="L22" s="84"/>
      <c r="M22" s="81">
        <f t="shared" si="0"/>
        <v>0</v>
      </c>
      <c r="N22" s="79">
        <f t="shared" si="1"/>
        <v>0</v>
      </c>
      <c r="O22" s="48"/>
      <c r="P22" s="84"/>
      <c r="Q22" s="81">
        <f t="shared" si="2"/>
        <v>0</v>
      </c>
      <c r="R22" s="79">
        <f t="shared" si="3"/>
        <v>0</v>
      </c>
      <c r="S22" s="49"/>
      <c r="T22" s="84"/>
      <c r="U22" s="81">
        <v>0</v>
      </c>
      <c r="V22" s="79">
        <v>0</v>
      </c>
      <c r="W22" s="49"/>
      <c r="X22" s="84"/>
      <c r="Y22" s="81">
        <v>0</v>
      </c>
      <c r="Z22" s="79">
        <v>0</v>
      </c>
      <c r="AA22" s="49"/>
      <c r="AB22" s="84"/>
      <c r="AC22" s="81">
        <v>0</v>
      </c>
      <c r="AD22" s="79">
        <v>0</v>
      </c>
      <c r="AE22" s="49"/>
      <c r="AF22" s="84"/>
      <c r="AG22" s="81">
        <f t="shared" si="23"/>
        <v>0</v>
      </c>
      <c r="AH22" s="79">
        <f t="shared" si="4"/>
        <v>0</v>
      </c>
      <c r="AI22" s="48">
        <v>1920</v>
      </c>
      <c r="AJ22" s="84"/>
      <c r="AK22" s="81">
        <f t="shared" si="5"/>
        <v>0</v>
      </c>
      <c r="AL22" s="79">
        <f t="shared" si="6"/>
        <v>0</v>
      </c>
      <c r="AM22" s="48"/>
      <c r="AN22" s="84"/>
      <c r="AO22" s="81">
        <f t="shared" si="7"/>
        <v>0</v>
      </c>
      <c r="AP22" s="79">
        <f t="shared" si="8"/>
        <v>0</v>
      </c>
      <c r="AQ22" s="48"/>
      <c r="AR22" s="84"/>
      <c r="AS22" s="81">
        <f t="shared" si="9"/>
        <v>0</v>
      </c>
      <c r="AT22" s="79">
        <f t="shared" si="10"/>
        <v>0</v>
      </c>
      <c r="AU22" s="49"/>
      <c r="AV22" s="84"/>
      <c r="AW22" s="81">
        <v>0</v>
      </c>
      <c r="AX22" s="79">
        <v>0</v>
      </c>
      <c r="AY22" s="49"/>
      <c r="AZ22" s="84"/>
      <c r="BA22" s="81">
        <v>0</v>
      </c>
      <c r="BB22" s="79">
        <v>0</v>
      </c>
      <c r="BC22" s="49"/>
      <c r="BD22" s="84"/>
      <c r="BE22" s="81">
        <v>0</v>
      </c>
      <c r="BF22" s="79">
        <v>0</v>
      </c>
      <c r="BG22" s="49"/>
      <c r="BH22" s="84"/>
      <c r="BI22" s="81">
        <v>0</v>
      </c>
      <c r="BJ22" s="79">
        <v>0</v>
      </c>
      <c r="BK22" s="49"/>
      <c r="BL22" s="84"/>
      <c r="BM22" s="81">
        <v>0</v>
      </c>
      <c r="BN22" s="79">
        <v>0</v>
      </c>
      <c r="BO22" s="49"/>
      <c r="BP22" s="84"/>
      <c r="BQ22" s="81">
        <v>0</v>
      </c>
      <c r="BR22" s="79">
        <v>0</v>
      </c>
      <c r="BS22" s="49"/>
      <c r="BT22" s="84"/>
      <c r="BU22" s="81">
        <f t="shared" si="11"/>
        <v>0</v>
      </c>
      <c r="BV22" s="79">
        <f t="shared" si="12"/>
        <v>0</v>
      </c>
      <c r="BW22" s="48"/>
      <c r="BX22" s="84"/>
      <c r="BY22" s="81">
        <f t="shared" si="13"/>
        <v>0</v>
      </c>
      <c r="BZ22" s="79">
        <f t="shared" si="14"/>
        <v>0</v>
      </c>
      <c r="CA22" s="48"/>
      <c r="CB22" s="84"/>
      <c r="CC22" s="81">
        <v>0</v>
      </c>
      <c r="CD22" s="79">
        <v>0</v>
      </c>
      <c r="CE22" s="49"/>
      <c r="CF22" s="84"/>
      <c r="CG22" s="81">
        <f t="shared" si="15"/>
        <v>0</v>
      </c>
      <c r="CH22" s="79">
        <f t="shared" si="16"/>
        <v>0</v>
      </c>
      <c r="CI22" s="33"/>
      <c r="CJ22" s="84"/>
      <c r="CK22" s="81">
        <f t="shared" si="17"/>
        <v>0</v>
      </c>
      <c r="CL22" s="79">
        <f t="shared" si="18"/>
        <v>0</v>
      </c>
      <c r="CM22" s="34"/>
      <c r="CN22" s="34"/>
      <c r="CO22" s="34"/>
      <c r="CP22" s="34"/>
      <c r="CQ22" s="50">
        <f t="shared" si="19"/>
        <v>1</v>
      </c>
      <c r="CR22" s="77">
        <f t="shared" si="20"/>
        <v>0</v>
      </c>
      <c r="CS22" s="28"/>
    </row>
    <row r="23" spans="1:97" s="1" customFormat="1">
      <c r="A23" s="30" t="s">
        <v>130</v>
      </c>
      <c r="B23" s="47"/>
      <c r="C23" s="31" t="s">
        <v>123</v>
      </c>
      <c r="D23" s="32"/>
      <c r="E23" s="32"/>
      <c r="F23" s="87"/>
      <c r="G23" s="48"/>
      <c r="H23" s="84"/>
      <c r="I23" s="80">
        <f t="shared" si="21"/>
        <v>0</v>
      </c>
      <c r="J23" s="79">
        <f t="shared" si="22"/>
        <v>0</v>
      </c>
      <c r="K23" s="48">
        <v>960</v>
      </c>
      <c r="L23" s="84"/>
      <c r="M23" s="81">
        <f t="shared" si="0"/>
        <v>0</v>
      </c>
      <c r="N23" s="79">
        <f t="shared" si="1"/>
        <v>0</v>
      </c>
      <c r="O23" s="48"/>
      <c r="P23" s="84"/>
      <c r="Q23" s="81">
        <f t="shared" si="2"/>
        <v>0</v>
      </c>
      <c r="R23" s="79">
        <f t="shared" si="3"/>
        <v>0</v>
      </c>
      <c r="S23" s="49"/>
      <c r="T23" s="84"/>
      <c r="U23" s="81">
        <v>0</v>
      </c>
      <c r="V23" s="79">
        <v>0</v>
      </c>
      <c r="W23" s="49"/>
      <c r="X23" s="84"/>
      <c r="Y23" s="81">
        <v>0</v>
      </c>
      <c r="Z23" s="79">
        <v>0</v>
      </c>
      <c r="AA23" s="49"/>
      <c r="AB23" s="84"/>
      <c r="AC23" s="81">
        <v>0</v>
      </c>
      <c r="AD23" s="79">
        <v>0</v>
      </c>
      <c r="AE23" s="49"/>
      <c r="AF23" s="84"/>
      <c r="AG23" s="81">
        <f t="shared" si="23"/>
        <v>0</v>
      </c>
      <c r="AH23" s="79">
        <f t="shared" si="4"/>
        <v>0</v>
      </c>
      <c r="AI23" s="48"/>
      <c r="AJ23" s="84"/>
      <c r="AK23" s="81">
        <f t="shared" si="5"/>
        <v>0</v>
      </c>
      <c r="AL23" s="79">
        <f t="shared" si="6"/>
        <v>0</v>
      </c>
      <c r="AM23" s="48"/>
      <c r="AN23" s="84"/>
      <c r="AO23" s="81">
        <f t="shared" si="7"/>
        <v>0</v>
      </c>
      <c r="AP23" s="79">
        <f t="shared" si="8"/>
        <v>0</v>
      </c>
      <c r="AQ23" s="48"/>
      <c r="AR23" s="84"/>
      <c r="AS23" s="81">
        <f t="shared" si="9"/>
        <v>0</v>
      </c>
      <c r="AT23" s="79">
        <f t="shared" si="10"/>
        <v>0</v>
      </c>
      <c r="AU23" s="49"/>
      <c r="AV23" s="84"/>
      <c r="AW23" s="81">
        <v>0</v>
      </c>
      <c r="AX23" s="79">
        <v>0</v>
      </c>
      <c r="AY23" s="49"/>
      <c r="AZ23" s="84"/>
      <c r="BA23" s="81">
        <v>0</v>
      </c>
      <c r="BB23" s="79">
        <v>0</v>
      </c>
      <c r="BC23" s="49"/>
      <c r="BD23" s="84"/>
      <c r="BE23" s="81">
        <v>0</v>
      </c>
      <c r="BF23" s="79">
        <v>0</v>
      </c>
      <c r="BG23" s="49"/>
      <c r="BH23" s="84"/>
      <c r="BI23" s="81">
        <v>0</v>
      </c>
      <c r="BJ23" s="79">
        <v>0</v>
      </c>
      <c r="BK23" s="49"/>
      <c r="BL23" s="84"/>
      <c r="BM23" s="81">
        <v>0</v>
      </c>
      <c r="BN23" s="79">
        <v>0</v>
      </c>
      <c r="BO23" s="49"/>
      <c r="BP23" s="84"/>
      <c r="BQ23" s="81">
        <v>0</v>
      </c>
      <c r="BR23" s="79">
        <v>0</v>
      </c>
      <c r="BS23" s="49"/>
      <c r="BT23" s="84"/>
      <c r="BU23" s="81">
        <f t="shared" si="11"/>
        <v>0</v>
      </c>
      <c r="BV23" s="79">
        <f t="shared" si="12"/>
        <v>0</v>
      </c>
      <c r="BW23" s="48"/>
      <c r="BX23" s="84"/>
      <c r="BY23" s="81">
        <f t="shared" si="13"/>
        <v>0</v>
      </c>
      <c r="BZ23" s="79">
        <f t="shared" si="14"/>
        <v>0</v>
      </c>
      <c r="CA23" s="48"/>
      <c r="CB23" s="84"/>
      <c r="CC23" s="81">
        <v>0</v>
      </c>
      <c r="CD23" s="79">
        <v>0</v>
      </c>
      <c r="CE23" s="49"/>
      <c r="CF23" s="84"/>
      <c r="CG23" s="81">
        <f t="shared" si="15"/>
        <v>0</v>
      </c>
      <c r="CH23" s="79">
        <f t="shared" si="16"/>
        <v>0</v>
      </c>
      <c r="CI23" s="33"/>
      <c r="CJ23" s="84"/>
      <c r="CK23" s="81">
        <f t="shared" si="17"/>
        <v>0</v>
      </c>
      <c r="CL23" s="79">
        <f t="shared" si="18"/>
        <v>0</v>
      </c>
      <c r="CM23" s="34"/>
      <c r="CN23" s="34"/>
      <c r="CO23" s="34"/>
      <c r="CP23" s="34"/>
      <c r="CQ23" s="50">
        <f t="shared" si="19"/>
        <v>1</v>
      </c>
      <c r="CR23" s="77">
        <f t="shared" si="20"/>
        <v>0</v>
      </c>
      <c r="CS23" s="28"/>
    </row>
    <row r="24" spans="1:97" s="1" customFormat="1">
      <c r="A24" s="30" t="s">
        <v>131</v>
      </c>
      <c r="B24" s="47"/>
      <c r="C24" s="31" t="s">
        <v>121</v>
      </c>
      <c r="D24" s="32"/>
      <c r="E24" s="32"/>
      <c r="F24" s="87"/>
      <c r="G24" s="48"/>
      <c r="H24" s="84"/>
      <c r="I24" s="80">
        <f t="shared" si="21"/>
        <v>0</v>
      </c>
      <c r="J24" s="79">
        <f t="shared" si="22"/>
        <v>0</v>
      </c>
      <c r="K24" s="49"/>
      <c r="L24" s="84"/>
      <c r="M24" s="81">
        <f t="shared" si="0"/>
        <v>0</v>
      </c>
      <c r="N24" s="79">
        <f t="shared" si="1"/>
        <v>0</v>
      </c>
      <c r="O24" s="48">
        <v>960</v>
      </c>
      <c r="P24" s="84"/>
      <c r="Q24" s="81">
        <f t="shared" si="2"/>
        <v>0</v>
      </c>
      <c r="R24" s="79">
        <f t="shared" si="3"/>
        <v>0</v>
      </c>
      <c r="S24" s="49"/>
      <c r="T24" s="84"/>
      <c r="U24" s="81">
        <v>0</v>
      </c>
      <c r="V24" s="79">
        <v>0</v>
      </c>
      <c r="W24" s="49"/>
      <c r="X24" s="84"/>
      <c r="Y24" s="81">
        <v>0</v>
      </c>
      <c r="Z24" s="79">
        <v>0</v>
      </c>
      <c r="AA24" s="49"/>
      <c r="AB24" s="84"/>
      <c r="AC24" s="81">
        <v>0</v>
      </c>
      <c r="AD24" s="79">
        <v>0</v>
      </c>
      <c r="AE24" s="49"/>
      <c r="AF24" s="84"/>
      <c r="AG24" s="81">
        <f t="shared" si="23"/>
        <v>0</v>
      </c>
      <c r="AH24" s="79">
        <f t="shared" si="4"/>
        <v>0</v>
      </c>
      <c r="AI24" s="48"/>
      <c r="AJ24" s="84"/>
      <c r="AK24" s="81">
        <f t="shared" si="5"/>
        <v>0</v>
      </c>
      <c r="AL24" s="79">
        <f t="shared" si="6"/>
        <v>0</v>
      </c>
      <c r="AM24" s="48"/>
      <c r="AN24" s="84"/>
      <c r="AO24" s="81">
        <f t="shared" si="7"/>
        <v>0</v>
      </c>
      <c r="AP24" s="79">
        <f t="shared" si="8"/>
        <v>0</v>
      </c>
      <c r="AQ24" s="48"/>
      <c r="AR24" s="84"/>
      <c r="AS24" s="81">
        <f t="shared" si="9"/>
        <v>0</v>
      </c>
      <c r="AT24" s="79">
        <f t="shared" si="10"/>
        <v>0</v>
      </c>
      <c r="AU24" s="49"/>
      <c r="AV24" s="84"/>
      <c r="AW24" s="81">
        <v>0</v>
      </c>
      <c r="AX24" s="79">
        <v>0</v>
      </c>
      <c r="AY24" s="49"/>
      <c r="AZ24" s="84"/>
      <c r="BA24" s="81">
        <v>0</v>
      </c>
      <c r="BB24" s="79">
        <v>0</v>
      </c>
      <c r="BC24" s="49"/>
      <c r="BD24" s="84"/>
      <c r="BE24" s="81">
        <v>0</v>
      </c>
      <c r="BF24" s="79">
        <v>0</v>
      </c>
      <c r="BG24" s="49"/>
      <c r="BH24" s="84"/>
      <c r="BI24" s="81">
        <v>0</v>
      </c>
      <c r="BJ24" s="79">
        <v>0</v>
      </c>
      <c r="BK24" s="49"/>
      <c r="BL24" s="84"/>
      <c r="BM24" s="81">
        <v>0</v>
      </c>
      <c r="BN24" s="79">
        <v>0</v>
      </c>
      <c r="BO24" s="49"/>
      <c r="BP24" s="84"/>
      <c r="BQ24" s="81">
        <v>0</v>
      </c>
      <c r="BR24" s="79">
        <v>0</v>
      </c>
      <c r="BS24" s="49"/>
      <c r="BT24" s="84"/>
      <c r="BU24" s="81">
        <f t="shared" si="11"/>
        <v>0</v>
      </c>
      <c r="BV24" s="79">
        <f t="shared" si="12"/>
        <v>0</v>
      </c>
      <c r="BW24" s="48"/>
      <c r="BX24" s="84"/>
      <c r="BY24" s="81">
        <f t="shared" si="13"/>
        <v>0</v>
      </c>
      <c r="BZ24" s="79">
        <f t="shared" si="14"/>
        <v>0</v>
      </c>
      <c r="CA24" s="48"/>
      <c r="CB24" s="84"/>
      <c r="CC24" s="81">
        <v>0</v>
      </c>
      <c r="CD24" s="79">
        <v>0</v>
      </c>
      <c r="CE24" s="49"/>
      <c r="CF24" s="84"/>
      <c r="CG24" s="81">
        <f t="shared" si="15"/>
        <v>0</v>
      </c>
      <c r="CH24" s="79">
        <f t="shared" si="16"/>
        <v>0</v>
      </c>
      <c r="CI24" s="33"/>
      <c r="CJ24" s="84"/>
      <c r="CK24" s="81">
        <f t="shared" si="17"/>
        <v>0</v>
      </c>
      <c r="CL24" s="79">
        <f t="shared" si="18"/>
        <v>0</v>
      </c>
      <c r="CM24" s="34"/>
      <c r="CN24" s="34"/>
      <c r="CO24" s="34"/>
      <c r="CP24" s="34"/>
      <c r="CQ24" s="50">
        <f t="shared" si="19"/>
        <v>1</v>
      </c>
      <c r="CR24" s="77">
        <f t="shared" si="20"/>
        <v>0</v>
      </c>
      <c r="CS24" s="28"/>
    </row>
    <row r="25" spans="1:97" s="1" customFormat="1">
      <c r="A25" s="30" t="s">
        <v>131</v>
      </c>
      <c r="B25" s="47"/>
      <c r="C25" s="31" t="s">
        <v>123</v>
      </c>
      <c r="D25" s="32"/>
      <c r="E25" s="32"/>
      <c r="F25" s="87"/>
      <c r="G25" s="48"/>
      <c r="H25" s="84"/>
      <c r="I25" s="80">
        <f t="shared" si="21"/>
        <v>0</v>
      </c>
      <c r="J25" s="79">
        <f t="shared" si="22"/>
        <v>0</v>
      </c>
      <c r="K25" s="49"/>
      <c r="L25" s="84"/>
      <c r="M25" s="81">
        <f t="shared" si="0"/>
        <v>0</v>
      </c>
      <c r="N25" s="79">
        <f t="shared" si="1"/>
        <v>0</v>
      </c>
      <c r="O25" s="48">
        <v>1920</v>
      </c>
      <c r="P25" s="84"/>
      <c r="Q25" s="81">
        <f t="shared" si="2"/>
        <v>0</v>
      </c>
      <c r="R25" s="79">
        <f t="shared" si="3"/>
        <v>0</v>
      </c>
      <c r="S25" s="49"/>
      <c r="T25" s="84"/>
      <c r="U25" s="81">
        <v>0</v>
      </c>
      <c r="V25" s="79">
        <v>0</v>
      </c>
      <c r="W25" s="49"/>
      <c r="X25" s="84"/>
      <c r="Y25" s="81">
        <v>0</v>
      </c>
      <c r="Z25" s="79">
        <v>0</v>
      </c>
      <c r="AA25" s="49"/>
      <c r="AB25" s="84"/>
      <c r="AC25" s="81">
        <v>0</v>
      </c>
      <c r="AD25" s="79">
        <v>0</v>
      </c>
      <c r="AE25" s="49"/>
      <c r="AF25" s="84"/>
      <c r="AG25" s="81">
        <f t="shared" si="23"/>
        <v>0</v>
      </c>
      <c r="AH25" s="79">
        <f t="shared" si="4"/>
        <v>0</v>
      </c>
      <c r="AI25" s="48"/>
      <c r="AJ25" s="84"/>
      <c r="AK25" s="81">
        <f t="shared" si="5"/>
        <v>0</v>
      </c>
      <c r="AL25" s="79">
        <f t="shared" si="6"/>
        <v>0</v>
      </c>
      <c r="AM25" s="48"/>
      <c r="AN25" s="84"/>
      <c r="AO25" s="81">
        <f t="shared" si="7"/>
        <v>0</v>
      </c>
      <c r="AP25" s="79">
        <f t="shared" si="8"/>
        <v>0</v>
      </c>
      <c r="AQ25" s="48"/>
      <c r="AR25" s="84"/>
      <c r="AS25" s="81">
        <f t="shared" si="9"/>
        <v>0</v>
      </c>
      <c r="AT25" s="79">
        <f t="shared" si="10"/>
        <v>0</v>
      </c>
      <c r="AU25" s="49"/>
      <c r="AV25" s="84"/>
      <c r="AW25" s="81">
        <v>0</v>
      </c>
      <c r="AX25" s="79">
        <v>0</v>
      </c>
      <c r="AY25" s="49"/>
      <c r="AZ25" s="84"/>
      <c r="BA25" s="81">
        <v>0</v>
      </c>
      <c r="BB25" s="79">
        <v>0</v>
      </c>
      <c r="BC25" s="49"/>
      <c r="BD25" s="84"/>
      <c r="BE25" s="81">
        <v>0</v>
      </c>
      <c r="BF25" s="79">
        <v>0</v>
      </c>
      <c r="BG25" s="49"/>
      <c r="BH25" s="84"/>
      <c r="BI25" s="81">
        <v>0</v>
      </c>
      <c r="BJ25" s="79">
        <v>0</v>
      </c>
      <c r="BK25" s="49"/>
      <c r="BL25" s="84"/>
      <c r="BM25" s="81">
        <v>0</v>
      </c>
      <c r="BN25" s="79">
        <v>0</v>
      </c>
      <c r="BO25" s="49"/>
      <c r="BP25" s="84"/>
      <c r="BQ25" s="81">
        <v>0</v>
      </c>
      <c r="BR25" s="79">
        <v>0</v>
      </c>
      <c r="BS25" s="49"/>
      <c r="BT25" s="84"/>
      <c r="BU25" s="81">
        <f t="shared" si="11"/>
        <v>0</v>
      </c>
      <c r="BV25" s="79">
        <f t="shared" si="12"/>
        <v>0</v>
      </c>
      <c r="BW25" s="48"/>
      <c r="BX25" s="84"/>
      <c r="BY25" s="81">
        <f t="shared" si="13"/>
        <v>0</v>
      </c>
      <c r="BZ25" s="79">
        <f t="shared" si="14"/>
        <v>0</v>
      </c>
      <c r="CA25" s="48"/>
      <c r="CB25" s="84"/>
      <c r="CC25" s="81">
        <v>0</v>
      </c>
      <c r="CD25" s="79">
        <v>0</v>
      </c>
      <c r="CE25" s="49"/>
      <c r="CF25" s="84"/>
      <c r="CG25" s="81">
        <f t="shared" si="15"/>
        <v>0</v>
      </c>
      <c r="CH25" s="79">
        <f t="shared" si="16"/>
        <v>0</v>
      </c>
      <c r="CI25" s="33"/>
      <c r="CJ25" s="84"/>
      <c r="CK25" s="81">
        <f t="shared" si="17"/>
        <v>0</v>
      </c>
      <c r="CL25" s="79">
        <f t="shared" si="18"/>
        <v>0</v>
      </c>
      <c r="CM25" s="34"/>
      <c r="CN25" s="34"/>
      <c r="CO25" s="34"/>
      <c r="CP25" s="34"/>
      <c r="CQ25" s="50">
        <f t="shared" si="19"/>
        <v>1</v>
      </c>
      <c r="CR25" s="77">
        <f t="shared" si="20"/>
        <v>0</v>
      </c>
      <c r="CS25" s="28"/>
    </row>
    <row r="26" spans="1:97" s="1" customFormat="1">
      <c r="A26" s="30" t="s">
        <v>132</v>
      </c>
      <c r="B26" s="47"/>
      <c r="C26" s="31" t="s">
        <v>123</v>
      </c>
      <c r="D26" s="32"/>
      <c r="E26" s="32"/>
      <c r="F26" s="87"/>
      <c r="G26" s="48"/>
      <c r="H26" s="84"/>
      <c r="I26" s="80">
        <f t="shared" si="21"/>
        <v>0</v>
      </c>
      <c r="J26" s="79">
        <f t="shared" si="22"/>
        <v>0</v>
      </c>
      <c r="K26" s="49"/>
      <c r="L26" s="84"/>
      <c r="M26" s="81">
        <f t="shared" si="0"/>
        <v>0</v>
      </c>
      <c r="N26" s="79">
        <f t="shared" si="1"/>
        <v>0</v>
      </c>
      <c r="O26" s="48"/>
      <c r="P26" s="84"/>
      <c r="Q26" s="81">
        <f t="shared" si="2"/>
        <v>0</v>
      </c>
      <c r="R26" s="79">
        <f t="shared" si="3"/>
        <v>0</v>
      </c>
      <c r="S26" s="49"/>
      <c r="T26" s="84"/>
      <c r="U26" s="81">
        <v>0</v>
      </c>
      <c r="V26" s="79">
        <v>0</v>
      </c>
      <c r="W26" s="49"/>
      <c r="X26" s="84"/>
      <c r="Y26" s="81">
        <v>0</v>
      </c>
      <c r="Z26" s="79">
        <v>0</v>
      </c>
      <c r="AA26" s="49"/>
      <c r="AB26" s="84"/>
      <c r="AC26" s="81">
        <v>0</v>
      </c>
      <c r="AD26" s="79">
        <v>0</v>
      </c>
      <c r="AE26" s="49"/>
      <c r="AF26" s="84"/>
      <c r="AG26" s="81">
        <f t="shared" si="23"/>
        <v>0</v>
      </c>
      <c r="AH26" s="79">
        <f t="shared" si="4"/>
        <v>0</v>
      </c>
      <c r="AI26" s="48"/>
      <c r="AJ26" s="84"/>
      <c r="AK26" s="81">
        <f t="shared" si="5"/>
        <v>0</v>
      </c>
      <c r="AL26" s="79">
        <f t="shared" si="6"/>
        <v>0</v>
      </c>
      <c r="AM26" s="48"/>
      <c r="AN26" s="84"/>
      <c r="AO26" s="81">
        <f t="shared" si="7"/>
        <v>0</v>
      </c>
      <c r="AP26" s="79">
        <f t="shared" si="8"/>
        <v>0</v>
      </c>
      <c r="AQ26" s="48"/>
      <c r="AR26" s="84"/>
      <c r="AS26" s="81">
        <f t="shared" si="9"/>
        <v>0</v>
      </c>
      <c r="AT26" s="79">
        <f t="shared" si="10"/>
        <v>0</v>
      </c>
      <c r="AU26" s="49"/>
      <c r="AV26" s="84"/>
      <c r="AW26" s="81">
        <v>0</v>
      </c>
      <c r="AX26" s="79">
        <v>0</v>
      </c>
      <c r="AY26" s="49"/>
      <c r="AZ26" s="84"/>
      <c r="BA26" s="81">
        <v>0</v>
      </c>
      <c r="BB26" s="79">
        <v>0</v>
      </c>
      <c r="BC26" s="49"/>
      <c r="BD26" s="84"/>
      <c r="BE26" s="81">
        <v>0</v>
      </c>
      <c r="BF26" s="79">
        <v>0</v>
      </c>
      <c r="BG26" s="49"/>
      <c r="BH26" s="84"/>
      <c r="BI26" s="81">
        <v>0</v>
      </c>
      <c r="BJ26" s="79">
        <v>0</v>
      </c>
      <c r="BK26" s="49"/>
      <c r="BL26" s="84"/>
      <c r="BM26" s="81">
        <v>0</v>
      </c>
      <c r="BN26" s="79">
        <v>0</v>
      </c>
      <c r="BO26" s="49"/>
      <c r="BP26" s="84"/>
      <c r="BQ26" s="81">
        <v>0</v>
      </c>
      <c r="BR26" s="79">
        <v>0</v>
      </c>
      <c r="BS26" s="49"/>
      <c r="BT26" s="84"/>
      <c r="BU26" s="81">
        <f t="shared" si="11"/>
        <v>0</v>
      </c>
      <c r="BV26" s="79">
        <f t="shared" si="12"/>
        <v>0</v>
      </c>
      <c r="BW26" s="48">
        <v>960</v>
      </c>
      <c r="BX26" s="84"/>
      <c r="BY26" s="81">
        <f t="shared" si="13"/>
        <v>0</v>
      </c>
      <c r="BZ26" s="79">
        <f t="shared" si="14"/>
        <v>0</v>
      </c>
      <c r="CA26" s="48"/>
      <c r="CB26" s="84"/>
      <c r="CC26" s="81">
        <v>0</v>
      </c>
      <c r="CD26" s="79">
        <v>0</v>
      </c>
      <c r="CE26" s="49"/>
      <c r="CF26" s="84"/>
      <c r="CG26" s="81">
        <f t="shared" si="15"/>
        <v>0</v>
      </c>
      <c r="CH26" s="79">
        <f t="shared" si="16"/>
        <v>0</v>
      </c>
      <c r="CI26" s="33"/>
      <c r="CJ26" s="84"/>
      <c r="CK26" s="81">
        <f t="shared" si="17"/>
        <v>0</v>
      </c>
      <c r="CL26" s="79">
        <f t="shared" si="18"/>
        <v>0</v>
      </c>
      <c r="CM26" s="34"/>
      <c r="CN26" s="34"/>
      <c r="CO26" s="34"/>
      <c r="CP26" s="34"/>
      <c r="CQ26" s="50">
        <f t="shared" si="19"/>
        <v>1</v>
      </c>
      <c r="CR26" s="77">
        <f t="shared" si="20"/>
        <v>0</v>
      </c>
      <c r="CS26" s="28"/>
    </row>
    <row r="27" spans="1:97" s="1" customFormat="1">
      <c r="A27" s="30" t="s">
        <v>133</v>
      </c>
      <c r="B27" s="47"/>
      <c r="C27" s="31" t="s">
        <v>123</v>
      </c>
      <c r="D27" s="32"/>
      <c r="E27" s="32"/>
      <c r="F27" s="87"/>
      <c r="G27" s="48"/>
      <c r="H27" s="84"/>
      <c r="I27" s="80">
        <f t="shared" si="21"/>
        <v>0</v>
      </c>
      <c r="J27" s="79">
        <f t="shared" si="22"/>
        <v>0</v>
      </c>
      <c r="K27" s="49"/>
      <c r="L27" s="84"/>
      <c r="M27" s="81">
        <v>87</v>
      </c>
      <c r="N27" s="79">
        <f t="shared" si="1"/>
        <v>0</v>
      </c>
      <c r="O27" s="48">
        <v>1920</v>
      </c>
      <c r="P27" s="84"/>
      <c r="Q27" s="81">
        <f t="shared" si="2"/>
        <v>0</v>
      </c>
      <c r="R27" s="79">
        <f t="shared" si="3"/>
        <v>0</v>
      </c>
      <c r="S27" s="49"/>
      <c r="T27" s="84"/>
      <c r="U27" s="81">
        <v>0</v>
      </c>
      <c r="V27" s="79">
        <v>0</v>
      </c>
      <c r="W27" s="49"/>
      <c r="X27" s="84"/>
      <c r="Y27" s="81">
        <v>0</v>
      </c>
      <c r="Z27" s="79">
        <v>0</v>
      </c>
      <c r="AA27" s="49"/>
      <c r="AB27" s="84"/>
      <c r="AC27" s="81">
        <v>0</v>
      </c>
      <c r="AD27" s="79">
        <v>0</v>
      </c>
      <c r="AE27" s="49"/>
      <c r="AF27" s="84"/>
      <c r="AG27" s="81">
        <f t="shared" si="23"/>
        <v>0</v>
      </c>
      <c r="AH27" s="79">
        <f t="shared" si="4"/>
        <v>0</v>
      </c>
      <c r="AI27" s="48"/>
      <c r="AJ27" s="84"/>
      <c r="AK27" s="81">
        <f t="shared" si="5"/>
        <v>0</v>
      </c>
      <c r="AL27" s="79">
        <f t="shared" si="6"/>
        <v>0</v>
      </c>
      <c r="AM27" s="48"/>
      <c r="AN27" s="84"/>
      <c r="AO27" s="81">
        <f t="shared" si="7"/>
        <v>0</v>
      </c>
      <c r="AP27" s="79">
        <f t="shared" si="8"/>
        <v>0</v>
      </c>
      <c r="AQ27" s="48"/>
      <c r="AR27" s="84"/>
      <c r="AS27" s="81">
        <f t="shared" si="9"/>
        <v>0</v>
      </c>
      <c r="AT27" s="79">
        <f t="shared" si="10"/>
        <v>0</v>
      </c>
      <c r="AU27" s="49"/>
      <c r="AV27" s="84"/>
      <c r="AW27" s="81">
        <v>0</v>
      </c>
      <c r="AX27" s="79">
        <v>0</v>
      </c>
      <c r="AY27" s="49"/>
      <c r="AZ27" s="84"/>
      <c r="BA27" s="81">
        <v>0</v>
      </c>
      <c r="BB27" s="79">
        <v>0</v>
      </c>
      <c r="BC27" s="49"/>
      <c r="BD27" s="84"/>
      <c r="BE27" s="81">
        <v>0</v>
      </c>
      <c r="BF27" s="79">
        <v>0</v>
      </c>
      <c r="BG27" s="49"/>
      <c r="BH27" s="84"/>
      <c r="BI27" s="81">
        <v>0</v>
      </c>
      <c r="BJ27" s="79">
        <v>0</v>
      </c>
      <c r="BK27" s="49"/>
      <c r="BL27" s="84"/>
      <c r="BM27" s="81">
        <v>0</v>
      </c>
      <c r="BN27" s="79">
        <v>0</v>
      </c>
      <c r="BO27" s="49"/>
      <c r="BP27" s="84"/>
      <c r="BQ27" s="81">
        <v>0</v>
      </c>
      <c r="BR27" s="79">
        <v>0</v>
      </c>
      <c r="BS27" s="49"/>
      <c r="BT27" s="84"/>
      <c r="BU27" s="81">
        <f t="shared" si="11"/>
        <v>0</v>
      </c>
      <c r="BV27" s="79">
        <f t="shared" si="12"/>
        <v>0</v>
      </c>
      <c r="BW27" s="48"/>
      <c r="BX27" s="84"/>
      <c r="BY27" s="81">
        <f t="shared" si="13"/>
        <v>0</v>
      </c>
      <c r="BZ27" s="79">
        <f t="shared" si="14"/>
        <v>0</v>
      </c>
      <c r="CA27" s="48"/>
      <c r="CB27" s="84"/>
      <c r="CC27" s="81">
        <v>0</v>
      </c>
      <c r="CD27" s="79">
        <v>0</v>
      </c>
      <c r="CE27" s="49"/>
      <c r="CF27" s="84"/>
      <c r="CG27" s="81">
        <f t="shared" si="15"/>
        <v>0</v>
      </c>
      <c r="CH27" s="79">
        <f t="shared" si="16"/>
        <v>0</v>
      </c>
      <c r="CI27" s="33"/>
      <c r="CJ27" s="84"/>
      <c r="CK27" s="81">
        <f t="shared" si="17"/>
        <v>0</v>
      </c>
      <c r="CL27" s="79">
        <f t="shared" si="18"/>
        <v>0</v>
      </c>
      <c r="CM27" s="34"/>
      <c r="CN27" s="34"/>
      <c r="CO27" s="34"/>
      <c r="CP27" s="34"/>
      <c r="CQ27" s="50">
        <f t="shared" si="19"/>
        <v>1</v>
      </c>
      <c r="CR27" s="77">
        <f t="shared" si="20"/>
        <v>0</v>
      </c>
      <c r="CS27" s="28"/>
    </row>
    <row r="28" spans="1:97" s="1" customFormat="1">
      <c r="A28" s="30" t="s">
        <v>134</v>
      </c>
      <c r="B28" s="47"/>
      <c r="C28" s="36" t="s">
        <v>123</v>
      </c>
      <c r="D28" s="32"/>
      <c r="E28" s="32"/>
      <c r="F28" s="87"/>
      <c r="G28" s="48"/>
      <c r="H28" s="84"/>
      <c r="I28" s="80">
        <f t="shared" si="21"/>
        <v>0</v>
      </c>
      <c r="J28" s="79">
        <f t="shared" si="22"/>
        <v>0</v>
      </c>
      <c r="K28" s="48">
        <v>960</v>
      </c>
      <c r="L28" s="84"/>
      <c r="M28" s="81">
        <f t="shared" ref="M28:M59" si="24">L28*CQ28</f>
        <v>0</v>
      </c>
      <c r="N28" s="79">
        <f t="shared" si="1"/>
        <v>0</v>
      </c>
      <c r="O28" s="48"/>
      <c r="P28" s="84"/>
      <c r="Q28" s="81">
        <f t="shared" si="2"/>
        <v>0</v>
      </c>
      <c r="R28" s="79">
        <f t="shared" si="3"/>
        <v>0</v>
      </c>
      <c r="S28" s="49"/>
      <c r="T28" s="84"/>
      <c r="U28" s="81">
        <v>0</v>
      </c>
      <c r="V28" s="79">
        <v>0</v>
      </c>
      <c r="W28" s="49"/>
      <c r="X28" s="84"/>
      <c r="Y28" s="81">
        <v>0</v>
      </c>
      <c r="Z28" s="79">
        <v>0</v>
      </c>
      <c r="AA28" s="49"/>
      <c r="AB28" s="84"/>
      <c r="AC28" s="81">
        <v>0</v>
      </c>
      <c r="AD28" s="79">
        <v>0</v>
      </c>
      <c r="AE28" s="49"/>
      <c r="AF28" s="84"/>
      <c r="AG28" s="81">
        <f t="shared" si="23"/>
        <v>0</v>
      </c>
      <c r="AH28" s="79">
        <f t="shared" si="4"/>
        <v>0</v>
      </c>
      <c r="AI28" s="48"/>
      <c r="AJ28" s="84"/>
      <c r="AK28" s="81">
        <f t="shared" si="5"/>
        <v>0</v>
      </c>
      <c r="AL28" s="79">
        <f t="shared" si="6"/>
        <v>0</v>
      </c>
      <c r="AM28" s="48"/>
      <c r="AN28" s="84"/>
      <c r="AO28" s="81">
        <f t="shared" si="7"/>
        <v>0</v>
      </c>
      <c r="AP28" s="79">
        <f t="shared" si="8"/>
        <v>0</v>
      </c>
      <c r="AQ28" s="48"/>
      <c r="AR28" s="84"/>
      <c r="AS28" s="81">
        <f t="shared" si="9"/>
        <v>0</v>
      </c>
      <c r="AT28" s="79">
        <f t="shared" si="10"/>
        <v>0</v>
      </c>
      <c r="AU28" s="49"/>
      <c r="AV28" s="84"/>
      <c r="AW28" s="81">
        <v>0</v>
      </c>
      <c r="AX28" s="79">
        <v>0</v>
      </c>
      <c r="AY28" s="49"/>
      <c r="AZ28" s="84"/>
      <c r="BA28" s="81">
        <v>0</v>
      </c>
      <c r="BB28" s="79">
        <v>0</v>
      </c>
      <c r="BC28" s="49"/>
      <c r="BD28" s="84"/>
      <c r="BE28" s="81">
        <v>0</v>
      </c>
      <c r="BF28" s="79">
        <v>0</v>
      </c>
      <c r="BG28" s="49"/>
      <c r="BH28" s="84"/>
      <c r="BI28" s="81">
        <v>0</v>
      </c>
      <c r="BJ28" s="79">
        <v>0</v>
      </c>
      <c r="BK28" s="49"/>
      <c r="BL28" s="84"/>
      <c r="BM28" s="81">
        <v>0</v>
      </c>
      <c r="BN28" s="79">
        <v>0</v>
      </c>
      <c r="BO28" s="49"/>
      <c r="BP28" s="84"/>
      <c r="BQ28" s="81">
        <v>0</v>
      </c>
      <c r="BR28" s="79">
        <v>0</v>
      </c>
      <c r="BS28" s="49"/>
      <c r="BT28" s="84"/>
      <c r="BU28" s="81">
        <f t="shared" si="11"/>
        <v>0</v>
      </c>
      <c r="BV28" s="79">
        <f t="shared" si="12"/>
        <v>0</v>
      </c>
      <c r="BW28" s="48"/>
      <c r="BX28" s="84"/>
      <c r="BY28" s="81">
        <f t="shared" si="13"/>
        <v>0</v>
      </c>
      <c r="BZ28" s="79">
        <f t="shared" si="14"/>
        <v>0</v>
      </c>
      <c r="CA28" s="48"/>
      <c r="CB28" s="84"/>
      <c r="CC28" s="81">
        <v>0</v>
      </c>
      <c r="CD28" s="79">
        <v>0</v>
      </c>
      <c r="CE28" s="49"/>
      <c r="CF28" s="84"/>
      <c r="CG28" s="81">
        <f t="shared" si="15"/>
        <v>0</v>
      </c>
      <c r="CH28" s="79">
        <f t="shared" si="16"/>
        <v>0</v>
      </c>
      <c r="CI28" s="33"/>
      <c r="CJ28" s="84"/>
      <c r="CK28" s="81">
        <f t="shared" si="17"/>
        <v>0</v>
      </c>
      <c r="CL28" s="79">
        <f t="shared" si="18"/>
        <v>0</v>
      </c>
      <c r="CM28" s="34"/>
      <c r="CN28" s="34"/>
      <c r="CO28" s="34"/>
      <c r="CP28" s="34"/>
      <c r="CQ28" s="50">
        <f t="shared" si="19"/>
        <v>1</v>
      </c>
      <c r="CR28" s="77">
        <f t="shared" si="20"/>
        <v>0</v>
      </c>
      <c r="CS28" s="28"/>
    </row>
    <row r="29" spans="1:97" s="1" customFormat="1">
      <c r="A29" s="30" t="s">
        <v>135</v>
      </c>
      <c r="B29" s="47"/>
      <c r="C29" s="31" t="s">
        <v>121</v>
      </c>
      <c r="D29" s="32"/>
      <c r="E29" s="32"/>
      <c r="F29" s="87"/>
      <c r="G29" s="48"/>
      <c r="H29" s="84"/>
      <c r="I29" s="80">
        <f t="shared" si="21"/>
        <v>0</v>
      </c>
      <c r="J29" s="79">
        <f t="shared" si="22"/>
        <v>0</v>
      </c>
      <c r="K29" s="49"/>
      <c r="L29" s="84"/>
      <c r="M29" s="81">
        <f t="shared" si="24"/>
        <v>0</v>
      </c>
      <c r="N29" s="79">
        <f t="shared" si="1"/>
        <v>0</v>
      </c>
      <c r="O29" s="48">
        <v>960</v>
      </c>
      <c r="P29" s="84"/>
      <c r="Q29" s="81">
        <f t="shared" si="2"/>
        <v>0</v>
      </c>
      <c r="R29" s="79">
        <f t="shared" si="3"/>
        <v>0</v>
      </c>
      <c r="S29" s="49"/>
      <c r="T29" s="84"/>
      <c r="U29" s="81">
        <v>0</v>
      </c>
      <c r="V29" s="79">
        <v>0</v>
      </c>
      <c r="W29" s="49"/>
      <c r="X29" s="84"/>
      <c r="Y29" s="81">
        <v>0</v>
      </c>
      <c r="Z29" s="79">
        <v>0</v>
      </c>
      <c r="AA29" s="49"/>
      <c r="AB29" s="84"/>
      <c r="AC29" s="81">
        <v>0</v>
      </c>
      <c r="AD29" s="79">
        <v>0</v>
      </c>
      <c r="AE29" s="49"/>
      <c r="AF29" s="84"/>
      <c r="AG29" s="81">
        <f t="shared" si="23"/>
        <v>0</v>
      </c>
      <c r="AH29" s="79">
        <f t="shared" si="4"/>
        <v>0</v>
      </c>
      <c r="AI29" s="48"/>
      <c r="AJ29" s="84"/>
      <c r="AK29" s="81">
        <f t="shared" si="5"/>
        <v>0</v>
      </c>
      <c r="AL29" s="79">
        <f t="shared" si="6"/>
        <v>0</v>
      </c>
      <c r="AM29" s="48"/>
      <c r="AN29" s="84"/>
      <c r="AO29" s="81">
        <f t="shared" si="7"/>
        <v>0</v>
      </c>
      <c r="AP29" s="79">
        <f t="shared" si="8"/>
        <v>0</v>
      </c>
      <c r="AQ29" s="48"/>
      <c r="AR29" s="84"/>
      <c r="AS29" s="81">
        <f t="shared" si="9"/>
        <v>0</v>
      </c>
      <c r="AT29" s="79">
        <f t="shared" si="10"/>
        <v>0</v>
      </c>
      <c r="AU29" s="49"/>
      <c r="AV29" s="84"/>
      <c r="AW29" s="81">
        <v>0</v>
      </c>
      <c r="AX29" s="79">
        <v>0</v>
      </c>
      <c r="AY29" s="49"/>
      <c r="AZ29" s="84"/>
      <c r="BA29" s="81">
        <v>0</v>
      </c>
      <c r="BB29" s="79">
        <v>0</v>
      </c>
      <c r="BC29" s="49"/>
      <c r="BD29" s="84"/>
      <c r="BE29" s="81">
        <v>0</v>
      </c>
      <c r="BF29" s="79">
        <v>0</v>
      </c>
      <c r="BG29" s="49"/>
      <c r="BH29" s="84"/>
      <c r="BI29" s="81">
        <v>0</v>
      </c>
      <c r="BJ29" s="79">
        <v>0</v>
      </c>
      <c r="BK29" s="49"/>
      <c r="BL29" s="84"/>
      <c r="BM29" s="81">
        <v>0</v>
      </c>
      <c r="BN29" s="79">
        <v>0</v>
      </c>
      <c r="BO29" s="49"/>
      <c r="BP29" s="84"/>
      <c r="BQ29" s="81">
        <v>0</v>
      </c>
      <c r="BR29" s="79">
        <v>0</v>
      </c>
      <c r="BS29" s="49"/>
      <c r="BT29" s="84"/>
      <c r="BU29" s="81">
        <f t="shared" si="11"/>
        <v>0</v>
      </c>
      <c r="BV29" s="79">
        <f t="shared" si="12"/>
        <v>0</v>
      </c>
      <c r="BW29" s="48"/>
      <c r="BX29" s="84"/>
      <c r="BY29" s="81">
        <f t="shared" si="13"/>
        <v>0</v>
      </c>
      <c r="BZ29" s="79">
        <f t="shared" si="14"/>
        <v>0</v>
      </c>
      <c r="CA29" s="48"/>
      <c r="CB29" s="84"/>
      <c r="CC29" s="81">
        <v>0</v>
      </c>
      <c r="CD29" s="79">
        <v>0</v>
      </c>
      <c r="CE29" s="49"/>
      <c r="CF29" s="84"/>
      <c r="CG29" s="81">
        <f t="shared" si="15"/>
        <v>0</v>
      </c>
      <c r="CH29" s="79">
        <f t="shared" si="16"/>
        <v>0</v>
      </c>
      <c r="CI29" s="33"/>
      <c r="CJ29" s="84"/>
      <c r="CK29" s="81">
        <f t="shared" si="17"/>
        <v>0</v>
      </c>
      <c r="CL29" s="79">
        <f t="shared" si="18"/>
        <v>0</v>
      </c>
      <c r="CM29" s="34"/>
      <c r="CN29" s="34"/>
      <c r="CO29" s="34"/>
      <c r="CP29" s="34"/>
      <c r="CQ29" s="50">
        <f t="shared" si="19"/>
        <v>1</v>
      </c>
      <c r="CR29" s="77">
        <f t="shared" si="20"/>
        <v>0</v>
      </c>
      <c r="CS29" s="28"/>
    </row>
    <row r="30" spans="1:97" s="1" customFormat="1">
      <c r="A30" s="30" t="s">
        <v>136</v>
      </c>
      <c r="B30" s="47"/>
      <c r="C30" s="31" t="s">
        <v>123</v>
      </c>
      <c r="D30" s="32"/>
      <c r="E30" s="32"/>
      <c r="F30" s="87"/>
      <c r="G30" s="48"/>
      <c r="H30" s="84"/>
      <c r="I30" s="80">
        <f t="shared" si="21"/>
        <v>0</v>
      </c>
      <c r="J30" s="79">
        <f t="shared" si="22"/>
        <v>0</v>
      </c>
      <c r="K30" s="49"/>
      <c r="L30" s="84"/>
      <c r="M30" s="81">
        <f t="shared" si="24"/>
        <v>0</v>
      </c>
      <c r="N30" s="79">
        <f t="shared" si="1"/>
        <v>0</v>
      </c>
      <c r="O30" s="48">
        <v>960</v>
      </c>
      <c r="P30" s="84"/>
      <c r="Q30" s="81">
        <f t="shared" si="2"/>
        <v>0</v>
      </c>
      <c r="R30" s="79">
        <f t="shared" si="3"/>
        <v>0</v>
      </c>
      <c r="S30" s="49"/>
      <c r="T30" s="84"/>
      <c r="U30" s="81">
        <v>0</v>
      </c>
      <c r="V30" s="79">
        <v>0</v>
      </c>
      <c r="W30" s="49"/>
      <c r="X30" s="84"/>
      <c r="Y30" s="81">
        <v>0</v>
      </c>
      <c r="Z30" s="79">
        <v>0</v>
      </c>
      <c r="AA30" s="49"/>
      <c r="AB30" s="84"/>
      <c r="AC30" s="81">
        <v>0</v>
      </c>
      <c r="AD30" s="79">
        <v>0</v>
      </c>
      <c r="AE30" s="49"/>
      <c r="AF30" s="84"/>
      <c r="AG30" s="81">
        <f t="shared" si="23"/>
        <v>0</v>
      </c>
      <c r="AH30" s="79">
        <f t="shared" si="4"/>
        <v>0</v>
      </c>
      <c r="AI30" s="48"/>
      <c r="AJ30" s="84"/>
      <c r="AK30" s="81">
        <f t="shared" si="5"/>
        <v>0</v>
      </c>
      <c r="AL30" s="79">
        <f t="shared" si="6"/>
        <v>0</v>
      </c>
      <c r="AM30" s="48"/>
      <c r="AN30" s="84"/>
      <c r="AO30" s="81">
        <f t="shared" si="7"/>
        <v>0</v>
      </c>
      <c r="AP30" s="79">
        <f t="shared" si="8"/>
        <v>0</v>
      </c>
      <c r="AQ30" s="48"/>
      <c r="AR30" s="84"/>
      <c r="AS30" s="81">
        <f t="shared" si="9"/>
        <v>0</v>
      </c>
      <c r="AT30" s="79">
        <f t="shared" si="10"/>
        <v>0</v>
      </c>
      <c r="AU30" s="49"/>
      <c r="AV30" s="84"/>
      <c r="AW30" s="81">
        <v>0</v>
      </c>
      <c r="AX30" s="79">
        <v>0</v>
      </c>
      <c r="AY30" s="49"/>
      <c r="AZ30" s="84"/>
      <c r="BA30" s="81">
        <v>0</v>
      </c>
      <c r="BB30" s="79">
        <v>0</v>
      </c>
      <c r="BC30" s="49"/>
      <c r="BD30" s="84"/>
      <c r="BE30" s="81">
        <v>0</v>
      </c>
      <c r="BF30" s="79">
        <v>0</v>
      </c>
      <c r="BG30" s="49"/>
      <c r="BH30" s="84"/>
      <c r="BI30" s="81">
        <v>0</v>
      </c>
      <c r="BJ30" s="79">
        <v>0</v>
      </c>
      <c r="BK30" s="49"/>
      <c r="BL30" s="84"/>
      <c r="BM30" s="81">
        <v>0</v>
      </c>
      <c r="BN30" s="79">
        <v>0</v>
      </c>
      <c r="BO30" s="49"/>
      <c r="BP30" s="84"/>
      <c r="BQ30" s="81">
        <v>0</v>
      </c>
      <c r="BR30" s="79">
        <v>0</v>
      </c>
      <c r="BS30" s="49"/>
      <c r="BT30" s="84"/>
      <c r="BU30" s="81">
        <f t="shared" si="11"/>
        <v>0</v>
      </c>
      <c r="BV30" s="79">
        <f t="shared" si="12"/>
        <v>0</v>
      </c>
      <c r="BW30" s="48"/>
      <c r="BX30" s="84"/>
      <c r="BY30" s="81">
        <f t="shared" si="13"/>
        <v>0</v>
      </c>
      <c r="BZ30" s="79">
        <f t="shared" si="14"/>
        <v>0</v>
      </c>
      <c r="CA30" s="48"/>
      <c r="CB30" s="84"/>
      <c r="CC30" s="81">
        <v>0</v>
      </c>
      <c r="CD30" s="79">
        <v>0</v>
      </c>
      <c r="CE30" s="49"/>
      <c r="CF30" s="84"/>
      <c r="CG30" s="81">
        <f t="shared" si="15"/>
        <v>0</v>
      </c>
      <c r="CH30" s="79">
        <f t="shared" si="16"/>
        <v>0</v>
      </c>
      <c r="CI30" s="33"/>
      <c r="CJ30" s="84"/>
      <c r="CK30" s="81">
        <f t="shared" si="17"/>
        <v>0</v>
      </c>
      <c r="CL30" s="79">
        <f t="shared" si="18"/>
        <v>0</v>
      </c>
      <c r="CM30" s="34"/>
      <c r="CN30" s="34"/>
      <c r="CO30" s="34"/>
      <c r="CP30" s="34"/>
      <c r="CQ30" s="50">
        <f t="shared" si="19"/>
        <v>1</v>
      </c>
      <c r="CR30" s="77">
        <f t="shared" si="20"/>
        <v>0</v>
      </c>
      <c r="CS30" s="28"/>
    </row>
    <row r="31" spans="1:97" s="1" customFormat="1">
      <c r="A31" s="30" t="s">
        <v>137</v>
      </c>
      <c r="B31" s="47"/>
      <c r="C31" s="31" t="s">
        <v>123</v>
      </c>
      <c r="D31" s="32"/>
      <c r="E31" s="32"/>
      <c r="F31" s="87"/>
      <c r="G31" s="48">
        <v>480</v>
      </c>
      <c r="H31" s="84"/>
      <c r="I31" s="80">
        <f t="shared" si="21"/>
        <v>0</v>
      </c>
      <c r="J31" s="79">
        <f t="shared" si="22"/>
        <v>0</v>
      </c>
      <c r="K31" s="49"/>
      <c r="L31" s="84"/>
      <c r="M31" s="81">
        <f t="shared" si="24"/>
        <v>0</v>
      </c>
      <c r="N31" s="79">
        <f t="shared" si="1"/>
        <v>0</v>
      </c>
      <c r="O31" s="48">
        <v>960</v>
      </c>
      <c r="P31" s="84"/>
      <c r="Q31" s="81">
        <f t="shared" si="2"/>
        <v>0</v>
      </c>
      <c r="R31" s="79">
        <f t="shared" si="3"/>
        <v>0</v>
      </c>
      <c r="S31" s="49"/>
      <c r="T31" s="84"/>
      <c r="U31" s="81">
        <v>0</v>
      </c>
      <c r="V31" s="79">
        <v>0</v>
      </c>
      <c r="W31" s="49"/>
      <c r="X31" s="84"/>
      <c r="Y31" s="81">
        <v>0</v>
      </c>
      <c r="Z31" s="79">
        <v>0</v>
      </c>
      <c r="AA31" s="49"/>
      <c r="AB31" s="84"/>
      <c r="AC31" s="81">
        <v>0</v>
      </c>
      <c r="AD31" s="79">
        <v>0</v>
      </c>
      <c r="AE31" s="49"/>
      <c r="AF31" s="84"/>
      <c r="AG31" s="81">
        <f t="shared" si="23"/>
        <v>0</v>
      </c>
      <c r="AH31" s="79">
        <f t="shared" si="4"/>
        <v>0</v>
      </c>
      <c r="AI31" s="48"/>
      <c r="AJ31" s="84"/>
      <c r="AK31" s="81">
        <f t="shared" si="5"/>
        <v>0</v>
      </c>
      <c r="AL31" s="79">
        <f t="shared" si="6"/>
        <v>0</v>
      </c>
      <c r="AM31" s="48"/>
      <c r="AN31" s="84"/>
      <c r="AO31" s="81">
        <f t="shared" si="7"/>
        <v>0</v>
      </c>
      <c r="AP31" s="79">
        <f t="shared" si="8"/>
        <v>0</v>
      </c>
      <c r="AQ31" s="48"/>
      <c r="AR31" s="84"/>
      <c r="AS31" s="81">
        <f t="shared" si="9"/>
        <v>0</v>
      </c>
      <c r="AT31" s="79">
        <f t="shared" si="10"/>
        <v>0</v>
      </c>
      <c r="AU31" s="49"/>
      <c r="AV31" s="84"/>
      <c r="AW31" s="81">
        <v>0</v>
      </c>
      <c r="AX31" s="79">
        <v>0</v>
      </c>
      <c r="AY31" s="49"/>
      <c r="AZ31" s="84"/>
      <c r="BA31" s="81">
        <v>0</v>
      </c>
      <c r="BB31" s="79">
        <v>0</v>
      </c>
      <c r="BC31" s="49"/>
      <c r="BD31" s="84"/>
      <c r="BE31" s="81">
        <v>0</v>
      </c>
      <c r="BF31" s="79">
        <v>0</v>
      </c>
      <c r="BG31" s="49"/>
      <c r="BH31" s="84"/>
      <c r="BI31" s="81">
        <v>0</v>
      </c>
      <c r="BJ31" s="79">
        <v>0</v>
      </c>
      <c r="BK31" s="49"/>
      <c r="BL31" s="84"/>
      <c r="BM31" s="81">
        <v>0</v>
      </c>
      <c r="BN31" s="79">
        <v>0</v>
      </c>
      <c r="BO31" s="49"/>
      <c r="BP31" s="84"/>
      <c r="BQ31" s="81">
        <v>0</v>
      </c>
      <c r="BR31" s="79">
        <v>0</v>
      </c>
      <c r="BS31" s="49"/>
      <c r="BT31" s="84"/>
      <c r="BU31" s="81">
        <f t="shared" si="11"/>
        <v>0</v>
      </c>
      <c r="BV31" s="79">
        <f t="shared" si="12"/>
        <v>0</v>
      </c>
      <c r="BW31" s="48"/>
      <c r="BX31" s="84"/>
      <c r="BY31" s="81">
        <f t="shared" si="13"/>
        <v>0</v>
      </c>
      <c r="BZ31" s="79">
        <f t="shared" si="14"/>
        <v>0</v>
      </c>
      <c r="CA31" s="48"/>
      <c r="CB31" s="84"/>
      <c r="CC31" s="81">
        <v>0</v>
      </c>
      <c r="CD31" s="79">
        <v>0</v>
      </c>
      <c r="CE31" s="49"/>
      <c r="CF31" s="84"/>
      <c r="CG31" s="81">
        <f t="shared" si="15"/>
        <v>0</v>
      </c>
      <c r="CH31" s="79">
        <f t="shared" si="16"/>
        <v>0</v>
      </c>
      <c r="CI31" s="33"/>
      <c r="CJ31" s="84"/>
      <c r="CK31" s="81">
        <f t="shared" si="17"/>
        <v>0</v>
      </c>
      <c r="CL31" s="79">
        <f t="shared" si="18"/>
        <v>0</v>
      </c>
      <c r="CM31" s="34"/>
      <c r="CN31" s="34"/>
      <c r="CO31" s="34"/>
      <c r="CP31" s="34"/>
      <c r="CQ31" s="50">
        <f t="shared" si="19"/>
        <v>1</v>
      </c>
      <c r="CR31" s="77">
        <f t="shared" si="20"/>
        <v>0</v>
      </c>
      <c r="CS31" s="28"/>
    </row>
    <row r="32" spans="1:97" s="1" customFormat="1">
      <c r="A32" s="30" t="s">
        <v>138</v>
      </c>
      <c r="B32" s="47"/>
      <c r="C32" s="31" t="s">
        <v>121</v>
      </c>
      <c r="D32" s="32"/>
      <c r="E32" s="32"/>
      <c r="F32" s="87"/>
      <c r="G32" s="48"/>
      <c r="H32" s="84"/>
      <c r="I32" s="80">
        <f t="shared" si="21"/>
        <v>0</v>
      </c>
      <c r="J32" s="79">
        <f t="shared" si="22"/>
        <v>0</v>
      </c>
      <c r="K32" s="49"/>
      <c r="L32" s="84"/>
      <c r="M32" s="81">
        <f t="shared" si="24"/>
        <v>0</v>
      </c>
      <c r="N32" s="79">
        <f t="shared" si="1"/>
        <v>0</v>
      </c>
      <c r="O32" s="48">
        <v>960</v>
      </c>
      <c r="P32" s="84"/>
      <c r="Q32" s="81">
        <f t="shared" si="2"/>
        <v>0</v>
      </c>
      <c r="R32" s="79">
        <f t="shared" si="3"/>
        <v>0</v>
      </c>
      <c r="S32" s="49"/>
      <c r="T32" s="84"/>
      <c r="U32" s="81">
        <v>0</v>
      </c>
      <c r="V32" s="79">
        <v>0</v>
      </c>
      <c r="W32" s="49"/>
      <c r="X32" s="84"/>
      <c r="Y32" s="81">
        <v>0</v>
      </c>
      <c r="Z32" s="79">
        <v>0</v>
      </c>
      <c r="AA32" s="49"/>
      <c r="AB32" s="84"/>
      <c r="AC32" s="81">
        <v>0</v>
      </c>
      <c r="AD32" s="79">
        <v>0</v>
      </c>
      <c r="AE32" s="49"/>
      <c r="AF32" s="84"/>
      <c r="AG32" s="81">
        <f t="shared" si="23"/>
        <v>0</v>
      </c>
      <c r="AH32" s="79">
        <f t="shared" si="4"/>
        <v>0</v>
      </c>
      <c r="AI32" s="48"/>
      <c r="AJ32" s="84"/>
      <c r="AK32" s="81">
        <f t="shared" si="5"/>
        <v>0</v>
      </c>
      <c r="AL32" s="79">
        <f t="shared" si="6"/>
        <v>0</v>
      </c>
      <c r="AM32" s="48"/>
      <c r="AN32" s="84"/>
      <c r="AO32" s="81">
        <f t="shared" si="7"/>
        <v>0</v>
      </c>
      <c r="AP32" s="79">
        <f t="shared" si="8"/>
        <v>0</v>
      </c>
      <c r="AQ32" s="48"/>
      <c r="AR32" s="84"/>
      <c r="AS32" s="81">
        <f t="shared" si="9"/>
        <v>0</v>
      </c>
      <c r="AT32" s="79">
        <f t="shared" si="10"/>
        <v>0</v>
      </c>
      <c r="AU32" s="49"/>
      <c r="AV32" s="84"/>
      <c r="AW32" s="81">
        <v>0</v>
      </c>
      <c r="AX32" s="79">
        <v>0</v>
      </c>
      <c r="AY32" s="49"/>
      <c r="AZ32" s="84"/>
      <c r="BA32" s="81">
        <v>0</v>
      </c>
      <c r="BB32" s="79">
        <v>0</v>
      </c>
      <c r="BC32" s="49"/>
      <c r="BD32" s="84"/>
      <c r="BE32" s="81">
        <v>0</v>
      </c>
      <c r="BF32" s="79">
        <v>0</v>
      </c>
      <c r="BG32" s="49"/>
      <c r="BH32" s="84"/>
      <c r="BI32" s="81">
        <v>0</v>
      </c>
      <c r="BJ32" s="79">
        <v>0</v>
      </c>
      <c r="BK32" s="49"/>
      <c r="BL32" s="84"/>
      <c r="BM32" s="81">
        <v>0</v>
      </c>
      <c r="BN32" s="79">
        <v>0</v>
      </c>
      <c r="BO32" s="49"/>
      <c r="BP32" s="84"/>
      <c r="BQ32" s="81">
        <v>0</v>
      </c>
      <c r="BR32" s="79">
        <v>0</v>
      </c>
      <c r="BS32" s="49"/>
      <c r="BT32" s="84"/>
      <c r="BU32" s="81">
        <f t="shared" si="11"/>
        <v>0</v>
      </c>
      <c r="BV32" s="79">
        <f t="shared" si="12"/>
        <v>0</v>
      </c>
      <c r="BW32" s="48"/>
      <c r="BX32" s="84"/>
      <c r="BY32" s="81">
        <f t="shared" si="13"/>
        <v>0</v>
      </c>
      <c r="BZ32" s="79">
        <f t="shared" si="14"/>
        <v>0</v>
      </c>
      <c r="CA32" s="48"/>
      <c r="CB32" s="84"/>
      <c r="CC32" s="81">
        <v>0</v>
      </c>
      <c r="CD32" s="79">
        <v>0</v>
      </c>
      <c r="CE32" s="49"/>
      <c r="CF32" s="84"/>
      <c r="CG32" s="81">
        <f t="shared" si="15"/>
        <v>0</v>
      </c>
      <c r="CH32" s="79">
        <f t="shared" si="16"/>
        <v>0</v>
      </c>
      <c r="CI32" s="33"/>
      <c r="CJ32" s="84"/>
      <c r="CK32" s="81">
        <f t="shared" si="17"/>
        <v>0</v>
      </c>
      <c r="CL32" s="79">
        <f t="shared" si="18"/>
        <v>0</v>
      </c>
      <c r="CM32" s="34"/>
      <c r="CN32" s="34"/>
      <c r="CO32" s="34"/>
      <c r="CP32" s="34"/>
      <c r="CQ32" s="50">
        <f t="shared" si="19"/>
        <v>1</v>
      </c>
      <c r="CR32" s="77">
        <f t="shared" si="20"/>
        <v>0</v>
      </c>
      <c r="CS32" s="28"/>
    </row>
    <row r="33" spans="1:97" s="1" customFormat="1">
      <c r="A33" s="30" t="s">
        <v>138</v>
      </c>
      <c r="B33" s="47"/>
      <c r="C33" s="31" t="s">
        <v>123</v>
      </c>
      <c r="D33" s="32"/>
      <c r="E33" s="32"/>
      <c r="F33" s="87"/>
      <c r="G33" s="48"/>
      <c r="H33" s="84"/>
      <c r="I33" s="80">
        <f t="shared" si="21"/>
        <v>0</v>
      </c>
      <c r="J33" s="79">
        <f t="shared" si="22"/>
        <v>0</v>
      </c>
      <c r="K33" s="49"/>
      <c r="L33" s="84"/>
      <c r="M33" s="81">
        <f t="shared" si="24"/>
        <v>0</v>
      </c>
      <c r="N33" s="79">
        <f t="shared" si="1"/>
        <v>0</v>
      </c>
      <c r="O33" s="48"/>
      <c r="P33" s="84"/>
      <c r="Q33" s="81">
        <f t="shared" si="2"/>
        <v>0</v>
      </c>
      <c r="R33" s="79">
        <f t="shared" si="3"/>
        <v>0</v>
      </c>
      <c r="S33" s="49"/>
      <c r="T33" s="84"/>
      <c r="U33" s="81">
        <v>0</v>
      </c>
      <c r="V33" s="79">
        <v>0</v>
      </c>
      <c r="W33" s="49"/>
      <c r="X33" s="84"/>
      <c r="Y33" s="81">
        <v>0</v>
      </c>
      <c r="Z33" s="79">
        <v>0</v>
      </c>
      <c r="AA33" s="49"/>
      <c r="AB33" s="84"/>
      <c r="AC33" s="81">
        <v>0</v>
      </c>
      <c r="AD33" s="79">
        <v>0</v>
      </c>
      <c r="AE33" s="49"/>
      <c r="AF33" s="84"/>
      <c r="AG33" s="81">
        <f t="shared" si="23"/>
        <v>0</v>
      </c>
      <c r="AH33" s="79">
        <f t="shared" si="4"/>
        <v>0</v>
      </c>
      <c r="AI33" s="48">
        <v>1920</v>
      </c>
      <c r="AJ33" s="84"/>
      <c r="AK33" s="81">
        <f t="shared" si="5"/>
        <v>0</v>
      </c>
      <c r="AL33" s="79">
        <f t="shared" si="6"/>
        <v>0</v>
      </c>
      <c r="AM33" s="48"/>
      <c r="AN33" s="84"/>
      <c r="AO33" s="81">
        <f t="shared" si="7"/>
        <v>0</v>
      </c>
      <c r="AP33" s="79">
        <f t="shared" si="8"/>
        <v>0</v>
      </c>
      <c r="AQ33" s="48"/>
      <c r="AR33" s="84"/>
      <c r="AS33" s="81">
        <f t="shared" si="9"/>
        <v>0</v>
      </c>
      <c r="AT33" s="79">
        <f t="shared" si="10"/>
        <v>0</v>
      </c>
      <c r="AU33" s="49"/>
      <c r="AV33" s="84"/>
      <c r="AW33" s="81">
        <v>0</v>
      </c>
      <c r="AX33" s="79">
        <v>0</v>
      </c>
      <c r="AY33" s="49"/>
      <c r="AZ33" s="84"/>
      <c r="BA33" s="81">
        <v>0</v>
      </c>
      <c r="BB33" s="79">
        <v>0</v>
      </c>
      <c r="BC33" s="49"/>
      <c r="BD33" s="84"/>
      <c r="BE33" s="81">
        <v>0</v>
      </c>
      <c r="BF33" s="79">
        <v>0</v>
      </c>
      <c r="BG33" s="49"/>
      <c r="BH33" s="84"/>
      <c r="BI33" s="81">
        <v>0</v>
      </c>
      <c r="BJ33" s="79">
        <v>0</v>
      </c>
      <c r="BK33" s="49"/>
      <c r="BL33" s="84"/>
      <c r="BM33" s="81">
        <v>0</v>
      </c>
      <c r="BN33" s="79">
        <v>0</v>
      </c>
      <c r="BO33" s="49"/>
      <c r="BP33" s="84"/>
      <c r="BQ33" s="81">
        <v>0</v>
      </c>
      <c r="BR33" s="79">
        <v>0</v>
      </c>
      <c r="BS33" s="49"/>
      <c r="BT33" s="84"/>
      <c r="BU33" s="81">
        <f t="shared" si="11"/>
        <v>0</v>
      </c>
      <c r="BV33" s="79">
        <f t="shared" si="12"/>
        <v>0</v>
      </c>
      <c r="BW33" s="48"/>
      <c r="BX33" s="84"/>
      <c r="BY33" s="81">
        <f t="shared" si="13"/>
        <v>0</v>
      </c>
      <c r="BZ33" s="79">
        <f t="shared" si="14"/>
        <v>0</v>
      </c>
      <c r="CA33" s="48"/>
      <c r="CB33" s="84"/>
      <c r="CC33" s="81">
        <v>0</v>
      </c>
      <c r="CD33" s="79">
        <v>0</v>
      </c>
      <c r="CE33" s="49"/>
      <c r="CF33" s="84"/>
      <c r="CG33" s="81">
        <f t="shared" si="15"/>
        <v>0</v>
      </c>
      <c r="CH33" s="79">
        <f t="shared" si="16"/>
        <v>0</v>
      </c>
      <c r="CI33" s="33"/>
      <c r="CJ33" s="84"/>
      <c r="CK33" s="81">
        <f t="shared" si="17"/>
        <v>0</v>
      </c>
      <c r="CL33" s="79">
        <f t="shared" si="18"/>
        <v>0</v>
      </c>
      <c r="CM33" s="34"/>
      <c r="CN33" s="34"/>
      <c r="CO33" s="34"/>
      <c r="CP33" s="34"/>
      <c r="CQ33" s="50">
        <f t="shared" si="19"/>
        <v>1</v>
      </c>
      <c r="CR33" s="77">
        <f t="shared" si="20"/>
        <v>0</v>
      </c>
      <c r="CS33" s="28"/>
    </row>
    <row r="34" spans="1:97" s="1" customFormat="1">
      <c r="A34" s="30" t="s">
        <v>139</v>
      </c>
      <c r="B34" s="47"/>
      <c r="C34" s="31" t="s">
        <v>140</v>
      </c>
      <c r="D34" s="32"/>
      <c r="E34" s="32"/>
      <c r="F34" s="87"/>
      <c r="G34" s="48">
        <v>960</v>
      </c>
      <c r="H34" s="84"/>
      <c r="I34" s="80">
        <f t="shared" si="21"/>
        <v>0</v>
      </c>
      <c r="J34" s="79">
        <f t="shared" si="22"/>
        <v>0</v>
      </c>
      <c r="K34" s="49"/>
      <c r="L34" s="84"/>
      <c r="M34" s="81">
        <f t="shared" si="24"/>
        <v>0</v>
      </c>
      <c r="N34" s="79">
        <f t="shared" si="1"/>
        <v>0</v>
      </c>
      <c r="O34" s="48"/>
      <c r="P34" s="84"/>
      <c r="Q34" s="81">
        <f t="shared" si="2"/>
        <v>0</v>
      </c>
      <c r="R34" s="79">
        <f t="shared" si="3"/>
        <v>0</v>
      </c>
      <c r="S34" s="49"/>
      <c r="T34" s="84"/>
      <c r="U34" s="81">
        <v>0</v>
      </c>
      <c r="V34" s="79">
        <v>0</v>
      </c>
      <c r="W34" s="49"/>
      <c r="X34" s="84"/>
      <c r="Y34" s="81">
        <v>0</v>
      </c>
      <c r="Z34" s="79">
        <v>0</v>
      </c>
      <c r="AA34" s="49"/>
      <c r="AB34" s="84"/>
      <c r="AC34" s="81">
        <v>0</v>
      </c>
      <c r="AD34" s="79">
        <v>0</v>
      </c>
      <c r="AE34" s="49"/>
      <c r="AF34" s="84"/>
      <c r="AG34" s="81">
        <f t="shared" si="23"/>
        <v>0</v>
      </c>
      <c r="AH34" s="79">
        <f t="shared" si="4"/>
        <v>0</v>
      </c>
      <c r="AI34" s="48"/>
      <c r="AJ34" s="84"/>
      <c r="AK34" s="81">
        <f t="shared" si="5"/>
        <v>0</v>
      </c>
      <c r="AL34" s="79">
        <f t="shared" si="6"/>
        <v>0</v>
      </c>
      <c r="AM34" s="48"/>
      <c r="AN34" s="84"/>
      <c r="AO34" s="81">
        <f t="shared" si="7"/>
        <v>0</v>
      </c>
      <c r="AP34" s="79">
        <f t="shared" si="8"/>
        <v>0</v>
      </c>
      <c r="AQ34" s="48"/>
      <c r="AR34" s="84"/>
      <c r="AS34" s="81">
        <f t="shared" si="9"/>
        <v>0</v>
      </c>
      <c r="AT34" s="79">
        <f t="shared" si="10"/>
        <v>0</v>
      </c>
      <c r="AU34" s="49"/>
      <c r="AV34" s="84"/>
      <c r="AW34" s="81">
        <v>0</v>
      </c>
      <c r="AX34" s="79">
        <v>0</v>
      </c>
      <c r="AY34" s="49"/>
      <c r="AZ34" s="84"/>
      <c r="BA34" s="81">
        <v>0</v>
      </c>
      <c r="BB34" s="79">
        <v>0</v>
      </c>
      <c r="BC34" s="49"/>
      <c r="BD34" s="84"/>
      <c r="BE34" s="81">
        <v>0</v>
      </c>
      <c r="BF34" s="79">
        <v>0</v>
      </c>
      <c r="BG34" s="49"/>
      <c r="BH34" s="84"/>
      <c r="BI34" s="81">
        <v>0</v>
      </c>
      <c r="BJ34" s="79">
        <v>0</v>
      </c>
      <c r="BK34" s="49"/>
      <c r="BL34" s="84"/>
      <c r="BM34" s="81">
        <v>0</v>
      </c>
      <c r="BN34" s="79">
        <v>0</v>
      </c>
      <c r="BO34" s="49"/>
      <c r="BP34" s="84"/>
      <c r="BQ34" s="81">
        <v>0</v>
      </c>
      <c r="BR34" s="79">
        <v>0</v>
      </c>
      <c r="BS34" s="49"/>
      <c r="BT34" s="84"/>
      <c r="BU34" s="81">
        <f t="shared" si="11"/>
        <v>0</v>
      </c>
      <c r="BV34" s="79">
        <f t="shared" si="12"/>
        <v>0</v>
      </c>
      <c r="BW34" s="48"/>
      <c r="BX34" s="84"/>
      <c r="BY34" s="81">
        <f t="shared" si="13"/>
        <v>0</v>
      </c>
      <c r="BZ34" s="79">
        <f t="shared" si="14"/>
        <v>0</v>
      </c>
      <c r="CA34" s="48"/>
      <c r="CB34" s="84"/>
      <c r="CC34" s="81">
        <v>0</v>
      </c>
      <c r="CD34" s="79">
        <v>0</v>
      </c>
      <c r="CE34" s="49"/>
      <c r="CF34" s="84"/>
      <c r="CG34" s="81">
        <f t="shared" si="15"/>
        <v>0</v>
      </c>
      <c r="CH34" s="79">
        <f t="shared" si="16"/>
        <v>0</v>
      </c>
      <c r="CI34" s="33"/>
      <c r="CJ34" s="84"/>
      <c r="CK34" s="81">
        <f t="shared" si="17"/>
        <v>0</v>
      </c>
      <c r="CL34" s="79">
        <f t="shared" si="18"/>
        <v>0</v>
      </c>
      <c r="CM34" s="34"/>
      <c r="CN34" s="34"/>
      <c r="CO34" s="34"/>
      <c r="CP34" s="34"/>
      <c r="CQ34" s="50">
        <f t="shared" si="19"/>
        <v>1</v>
      </c>
      <c r="CR34" s="77">
        <f t="shared" si="20"/>
        <v>0</v>
      </c>
      <c r="CS34" s="28"/>
    </row>
    <row r="35" spans="1:97" s="1" customFormat="1">
      <c r="A35" s="30" t="s">
        <v>141</v>
      </c>
      <c r="B35" s="47"/>
      <c r="C35" s="63" t="s">
        <v>120</v>
      </c>
      <c r="D35" s="32"/>
      <c r="E35" s="32"/>
      <c r="F35" s="87"/>
      <c r="G35" s="48"/>
      <c r="H35" s="84"/>
      <c r="I35" s="80">
        <f t="shared" si="21"/>
        <v>0</v>
      </c>
      <c r="J35" s="79">
        <f t="shared" si="22"/>
        <v>0</v>
      </c>
      <c r="K35" s="49">
        <v>5760</v>
      </c>
      <c r="L35" s="84"/>
      <c r="M35" s="81">
        <f t="shared" si="24"/>
        <v>0</v>
      </c>
      <c r="N35" s="79">
        <f t="shared" si="1"/>
        <v>0</v>
      </c>
      <c r="O35" s="48"/>
      <c r="P35" s="84"/>
      <c r="Q35" s="81">
        <f t="shared" si="2"/>
        <v>0</v>
      </c>
      <c r="R35" s="79">
        <f t="shared" si="3"/>
        <v>0</v>
      </c>
      <c r="S35" s="49"/>
      <c r="T35" s="84"/>
      <c r="U35" s="81">
        <v>0</v>
      </c>
      <c r="V35" s="79">
        <v>0</v>
      </c>
      <c r="W35" s="49"/>
      <c r="X35" s="84"/>
      <c r="Y35" s="81">
        <v>0</v>
      </c>
      <c r="Z35" s="79">
        <v>0</v>
      </c>
      <c r="AA35" s="49"/>
      <c r="AB35" s="84"/>
      <c r="AC35" s="81">
        <v>0</v>
      </c>
      <c r="AD35" s="79">
        <v>0</v>
      </c>
      <c r="AE35" s="49"/>
      <c r="AF35" s="84"/>
      <c r="AG35" s="81">
        <f t="shared" si="23"/>
        <v>0</v>
      </c>
      <c r="AH35" s="79">
        <f t="shared" si="4"/>
        <v>0</v>
      </c>
      <c r="AI35" s="48"/>
      <c r="AJ35" s="84"/>
      <c r="AK35" s="81">
        <f t="shared" si="5"/>
        <v>0</v>
      </c>
      <c r="AL35" s="79">
        <f t="shared" si="6"/>
        <v>0</v>
      </c>
      <c r="AM35" s="48">
        <v>960</v>
      </c>
      <c r="AN35" s="84"/>
      <c r="AO35" s="81">
        <f t="shared" si="7"/>
        <v>0</v>
      </c>
      <c r="AP35" s="79">
        <f t="shared" si="8"/>
        <v>0</v>
      </c>
      <c r="AQ35" s="48"/>
      <c r="AR35" s="84"/>
      <c r="AS35" s="81">
        <f t="shared" si="9"/>
        <v>0</v>
      </c>
      <c r="AT35" s="79">
        <f t="shared" si="10"/>
        <v>0</v>
      </c>
      <c r="AU35" s="49"/>
      <c r="AV35" s="84"/>
      <c r="AW35" s="81">
        <v>0</v>
      </c>
      <c r="AX35" s="79">
        <v>0</v>
      </c>
      <c r="AY35" s="49"/>
      <c r="AZ35" s="84"/>
      <c r="BA35" s="81">
        <v>0</v>
      </c>
      <c r="BB35" s="79">
        <v>0</v>
      </c>
      <c r="BC35" s="49"/>
      <c r="BD35" s="84"/>
      <c r="BE35" s="81">
        <v>0</v>
      </c>
      <c r="BF35" s="79">
        <v>0</v>
      </c>
      <c r="BG35" s="49"/>
      <c r="BH35" s="84"/>
      <c r="BI35" s="81">
        <v>0</v>
      </c>
      <c r="BJ35" s="79">
        <v>0</v>
      </c>
      <c r="BK35" s="49"/>
      <c r="BL35" s="84"/>
      <c r="BM35" s="81">
        <v>0</v>
      </c>
      <c r="BN35" s="79">
        <v>0</v>
      </c>
      <c r="BO35" s="49"/>
      <c r="BP35" s="84"/>
      <c r="BQ35" s="81">
        <v>0</v>
      </c>
      <c r="BR35" s="79">
        <v>0</v>
      </c>
      <c r="BS35" s="49"/>
      <c r="BT35" s="84"/>
      <c r="BU35" s="81">
        <f t="shared" si="11"/>
        <v>0</v>
      </c>
      <c r="BV35" s="79">
        <f t="shared" si="12"/>
        <v>0</v>
      </c>
      <c r="BW35" s="48"/>
      <c r="BX35" s="84"/>
      <c r="BY35" s="81">
        <f t="shared" si="13"/>
        <v>0</v>
      </c>
      <c r="BZ35" s="79">
        <f t="shared" si="14"/>
        <v>0</v>
      </c>
      <c r="CA35" s="48"/>
      <c r="CB35" s="84"/>
      <c r="CC35" s="81">
        <v>0</v>
      </c>
      <c r="CD35" s="79">
        <v>0</v>
      </c>
      <c r="CE35" s="49"/>
      <c r="CF35" s="84"/>
      <c r="CG35" s="81">
        <f t="shared" si="15"/>
        <v>0</v>
      </c>
      <c r="CH35" s="79">
        <f t="shared" si="16"/>
        <v>0</v>
      </c>
      <c r="CI35" s="33"/>
      <c r="CJ35" s="84"/>
      <c r="CK35" s="81">
        <f t="shared" si="17"/>
        <v>0</v>
      </c>
      <c r="CL35" s="79">
        <f t="shared" si="18"/>
        <v>0</v>
      </c>
      <c r="CM35" s="34"/>
      <c r="CN35" s="34"/>
      <c r="CO35" s="34"/>
      <c r="CP35" s="34"/>
      <c r="CQ35" s="50">
        <f t="shared" si="19"/>
        <v>1</v>
      </c>
      <c r="CR35" s="77">
        <f t="shared" si="20"/>
        <v>0</v>
      </c>
      <c r="CS35" s="28"/>
    </row>
    <row r="36" spans="1:97" s="1" customFormat="1">
      <c r="A36" s="30" t="s">
        <v>141</v>
      </c>
      <c r="B36" s="47"/>
      <c r="C36" s="31" t="s">
        <v>121</v>
      </c>
      <c r="D36" s="32"/>
      <c r="E36" s="32"/>
      <c r="F36" s="87"/>
      <c r="G36" s="48">
        <v>1920</v>
      </c>
      <c r="H36" s="84"/>
      <c r="I36" s="80">
        <f t="shared" si="21"/>
        <v>0</v>
      </c>
      <c r="J36" s="79">
        <f t="shared" si="22"/>
        <v>0</v>
      </c>
      <c r="K36" s="49"/>
      <c r="L36" s="84"/>
      <c r="M36" s="81">
        <f t="shared" si="24"/>
        <v>0</v>
      </c>
      <c r="N36" s="79">
        <f t="shared" si="1"/>
        <v>0</v>
      </c>
      <c r="O36" s="48"/>
      <c r="P36" s="84"/>
      <c r="Q36" s="81">
        <f t="shared" si="2"/>
        <v>0</v>
      </c>
      <c r="R36" s="79">
        <f t="shared" si="3"/>
        <v>0</v>
      </c>
      <c r="S36" s="49"/>
      <c r="T36" s="84"/>
      <c r="U36" s="81">
        <v>0</v>
      </c>
      <c r="V36" s="79">
        <v>0</v>
      </c>
      <c r="W36" s="49"/>
      <c r="X36" s="84"/>
      <c r="Y36" s="81">
        <v>0</v>
      </c>
      <c r="Z36" s="79">
        <v>0</v>
      </c>
      <c r="AA36" s="49"/>
      <c r="AB36" s="84"/>
      <c r="AC36" s="81">
        <v>0</v>
      </c>
      <c r="AD36" s="79">
        <v>0</v>
      </c>
      <c r="AE36" s="49"/>
      <c r="AF36" s="84"/>
      <c r="AG36" s="81">
        <f t="shared" si="23"/>
        <v>0</v>
      </c>
      <c r="AH36" s="79">
        <f t="shared" si="4"/>
        <v>0</v>
      </c>
      <c r="AI36" s="48">
        <v>1920</v>
      </c>
      <c r="AJ36" s="84"/>
      <c r="AK36" s="81">
        <f t="shared" si="5"/>
        <v>0</v>
      </c>
      <c r="AL36" s="79">
        <f t="shared" si="6"/>
        <v>0</v>
      </c>
      <c r="AM36" s="48"/>
      <c r="AN36" s="84"/>
      <c r="AO36" s="81">
        <f t="shared" si="7"/>
        <v>0</v>
      </c>
      <c r="AP36" s="79">
        <f t="shared" si="8"/>
        <v>0</v>
      </c>
      <c r="AQ36" s="48"/>
      <c r="AR36" s="84"/>
      <c r="AS36" s="81">
        <f t="shared" si="9"/>
        <v>0</v>
      </c>
      <c r="AT36" s="79">
        <f t="shared" si="10"/>
        <v>0</v>
      </c>
      <c r="AU36" s="49"/>
      <c r="AV36" s="84"/>
      <c r="AW36" s="81">
        <v>0</v>
      </c>
      <c r="AX36" s="79">
        <v>0</v>
      </c>
      <c r="AY36" s="49"/>
      <c r="AZ36" s="84"/>
      <c r="BA36" s="81">
        <v>0</v>
      </c>
      <c r="BB36" s="79">
        <v>0</v>
      </c>
      <c r="BC36" s="49"/>
      <c r="BD36" s="84"/>
      <c r="BE36" s="81">
        <v>0</v>
      </c>
      <c r="BF36" s="79">
        <v>0</v>
      </c>
      <c r="BG36" s="49"/>
      <c r="BH36" s="84"/>
      <c r="BI36" s="81">
        <v>0</v>
      </c>
      <c r="BJ36" s="79">
        <v>0</v>
      </c>
      <c r="BK36" s="49"/>
      <c r="BL36" s="84"/>
      <c r="BM36" s="81">
        <v>0</v>
      </c>
      <c r="BN36" s="79">
        <v>0</v>
      </c>
      <c r="BO36" s="49"/>
      <c r="BP36" s="84"/>
      <c r="BQ36" s="81">
        <v>0</v>
      </c>
      <c r="BR36" s="79">
        <v>0</v>
      </c>
      <c r="BS36" s="49"/>
      <c r="BT36" s="84"/>
      <c r="BU36" s="81">
        <f t="shared" si="11"/>
        <v>0</v>
      </c>
      <c r="BV36" s="79">
        <f t="shared" si="12"/>
        <v>0</v>
      </c>
      <c r="BW36" s="48"/>
      <c r="BX36" s="84"/>
      <c r="BY36" s="81">
        <f t="shared" si="13"/>
        <v>0</v>
      </c>
      <c r="BZ36" s="79">
        <f t="shared" si="14"/>
        <v>0</v>
      </c>
      <c r="CA36" s="48"/>
      <c r="CB36" s="84"/>
      <c r="CC36" s="81">
        <v>0</v>
      </c>
      <c r="CD36" s="79">
        <v>0</v>
      </c>
      <c r="CE36" s="49"/>
      <c r="CF36" s="84"/>
      <c r="CG36" s="81">
        <f t="shared" si="15"/>
        <v>0</v>
      </c>
      <c r="CH36" s="79">
        <f t="shared" si="16"/>
        <v>0</v>
      </c>
      <c r="CI36" s="33"/>
      <c r="CJ36" s="84"/>
      <c r="CK36" s="81">
        <f t="shared" si="17"/>
        <v>0</v>
      </c>
      <c r="CL36" s="79">
        <f t="shared" si="18"/>
        <v>0</v>
      </c>
      <c r="CM36" s="34"/>
      <c r="CN36" s="34"/>
      <c r="CO36" s="34"/>
      <c r="CP36" s="34"/>
      <c r="CQ36" s="50">
        <f t="shared" si="19"/>
        <v>1</v>
      </c>
      <c r="CR36" s="77">
        <f t="shared" si="20"/>
        <v>0</v>
      </c>
      <c r="CS36" s="28"/>
    </row>
    <row r="37" spans="1:97" s="1" customFormat="1">
      <c r="A37" s="30" t="s">
        <v>141</v>
      </c>
      <c r="B37" s="47"/>
      <c r="C37" s="36" t="s">
        <v>123</v>
      </c>
      <c r="D37" s="32"/>
      <c r="E37" s="32"/>
      <c r="F37" s="87"/>
      <c r="G37" s="48">
        <v>5760</v>
      </c>
      <c r="H37" s="84"/>
      <c r="I37" s="80">
        <f t="shared" si="21"/>
        <v>0</v>
      </c>
      <c r="J37" s="79">
        <f t="shared" si="22"/>
        <v>0</v>
      </c>
      <c r="K37" s="49">
        <v>960</v>
      </c>
      <c r="L37" s="84"/>
      <c r="M37" s="81">
        <f t="shared" si="24"/>
        <v>0</v>
      </c>
      <c r="N37" s="79">
        <f t="shared" si="1"/>
        <v>0</v>
      </c>
      <c r="O37" s="48"/>
      <c r="P37" s="84"/>
      <c r="Q37" s="81">
        <f t="shared" si="2"/>
        <v>0</v>
      </c>
      <c r="R37" s="79">
        <f t="shared" si="3"/>
        <v>0</v>
      </c>
      <c r="S37" s="49"/>
      <c r="T37" s="84"/>
      <c r="U37" s="81">
        <v>0</v>
      </c>
      <c r="V37" s="79">
        <v>0</v>
      </c>
      <c r="W37" s="49"/>
      <c r="X37" s="84"/>
      <c r="Y37" s="81">
        <v>0</v>
      </c>
      <c r="Z37" s="79">
        <v>0</v>
      </c>
      <c r="AA37" s="49"/>
      <c r="AB37" s="84"/>
      <c r="AC37" s="81">
        <v>0</v>
      </c>
      <c r="AD37" s="79">
        <v>0</v>
      </c>
      <c r="AE37" s="49"/>
      <c r="AF37" s="84"/>
      <c r="AG37" s="81">
        <f t="shared" si="23"/>
        <v>0</v>
      </c>
      <c r="AH37" s="79">
        <f t="shared" si="4"/>
        <v>0</v>
      </c>
      <c r="AI37" s="48">
        <v>1920</v>
      </c>
      <c r="AJ37" s="84"/>
      <c r="AK37" s="81">
        <f t="shared" si="5"/>
        <v>0</v>
      </c>
      <c r="AL37" s="79">
        <f t="shared" si="6"/>
        <v>0</v>
      </c>
      <c r="AM37" s="48"/>
      <c r="AN37" s="84"/>
      <c r="AO37" s="81">
        <f t="shared" si="7"/>
        <v>0</v>
      </c>
      <c r="AP37" s="79">
        <f t="shared" si="8"/>
        <v>0</v>
      </c>
      <c r="AQ37" s="48"/>
      <c r="AR37" s="84"/>
      <c r="AS37" s="81">
        <f t="shared" si="9"/>
        <v>0</v>
      </c>
      <c r="AT37" s="79">
        <f t="shared" si="10"/>
        <v>0</v>
      </c>
      <c r="AU37" s="49"/>
      <c r="AV37" s="84"/>
      <c r="AW37" s="81">
        <v>0</v>
      </c>
      <c r="AX37" s="79">
        <v>0</v>
      </c>
      <c r="AY37" s="49"/>
      <c r="AZ37" s="84"/>
      <c r="BA37" s="81">
        <v>0</v>
      </c>
      <c r="BB37" s="79">
        <v>0</v>
      </c>
      <c r="BC37" s="49"/>
      <c r="BD37" s="84"/>
      <c r="BE37" s="81">
        <v>0</v>
      </c>
      <c r="BF37" s="79">
        <v>0</v>
      </c>
      <c r="BG37" s="49"/>
      <c r="BH37" s="84"/>
      <c r="BI37" s="81">
        <v>0</v>
      </c>
      <c r="BJ37" s="79">
        <v>0</v>
      </c>
      <c r="BK37" s="49"/>
      <c r="BL37" s="84"/>
      <c r="BM37" s="81">
        <v>0</v>
      </c>
      <c r="BN37" s="79">
        <v>0</v>
      </c>
      <c r="BO37" s="49"/>
      <c r="BP37" s="84"/>
      <c r="BQ37" s="81">
        <v>0</v>
      </c>
      <c r="BR37" s="79">
        <v>0</v>
      </c>
      <c r="BS37" s="49"/>
      <c r="BT37" s="84"/>
      <c r="BU37" s="81">
        <f t="shared" si="11"/>
        <v>0</v>
      </c>
      <c r="BV37" s="79">
        <f t="shared" si="12"/>
        <v>0</v>
      </c>
      <c r="BW37" s="48"/>
      <c r="BX37" s="84"/>
      <c r="BY37" s="81">
        <f t="shared" si="13"/>
        <v>0</v>
      </c>
      <c r="BZ37" s="79">
        <f t="shared" si="14"/>
        <v>0</v>
      </c>
      <c r="CA37" s="48"/>
      <c r="CB37" s="84"/>
      <c r="CC37" s="81">
        <v>0</v>
      </c>
      <c r="CD37" s="79">
        <v>0</v>
      </c>
      <c r="CE37" s="49"/>
      <c r="CF37" s="84"/>
      <c r="CG37" s="81">
        <f t="shared" si="15"/>
        <v>0</v>
      </c>
      <c r="CH37" s="79">
        <f t="shared" si="16"/>
        <v>0</v>
      </c>
      <c r="CI37" s="33"/>
      <c r="CJ37" s="84"/>
      <c r="CK37" s="81">
        <f t="shared" si="17"/>
        <v>0</v>
      </c>
      <c r="CL37" s="79">
        <f t="shared" si="18"/>
        <v>0</v>
      </c>
      <c r="CM37" s="34"/>
      <c r="CN37" s="34"/>
      <c r="CO37" s="34"/>
      <c r="CP37" s="34"/>
      <c r="CQ37" s="50">
        <f t="shared" si="19"/>
        <v>1</v>
      </c>
      <c r="CR37" s="77">
        <f t="shared" si="20"/>
        <v>0</v>
      </c>
      <c r="CS37" s="28"/>
    </row>
    <row r="38" spans="1:97" s="1" customFormat="1">
      <c r="A38" s="30" t="s">
        <v>142</v>
      </c>
      <c r="B38" s="47"/>
      <c r="C38" s="31" t="s">
        <v>143</v>
      </c>
      <c r="D38" s="32"/>
      <c r="E38" s="32"/>
      <c r="F38" s="87"/>
      <c r="G38" s="48"/>
      <c r="H38" s="84"/>
      <c r="I38" s="80">
        <f t="shared" si="21"/>
        <v>0</v>
      </c>
      <c r="J38" s="79">
        <f t="shared" si="22"/>
        <v>0</v>
      </c>
      <c r="K38" s="49"/>
      <c r="L38" s="84"/>
      <c r="M38" s="81">
        <f t="shared" si="24"/>
        <v>0</v>
      </c>
      <c r="N38" s="79">
        <f t="shared" si="1"/>
        <v>0</v>
      </c>
      <c r="O38" s="48"/>
      <c r="P38" s="84"/>
      <c r="Q38" s="81">
        <f t="shared" si="2"/>
        <v>0</v>
      </c>
      <c r="R38" s="79">
        <f t="shared" si="3"/>
        <v>0</v>
      </c>
      <c r="S38" s="49"/>
      <c r="T38" s="84"/>
      <c r="U38" s="81">
        <v>0</v>
      </c>
      <c r="V38" s="79">
        <v>0</v>
      </c>
      <c r="W38" s="49"/>
      <c r="X38" s="84"/>
      <c r="Y38" s="81">
        <v>0</v>
      </c>
      <c r="Z38" s="79">
        <v>0</v>
      </c>
      <c r="AA38" s="49"/>
      <c r="AB38" s="84"/>
      <c r="AC38" s="81">
        <v>0</v>
      </c>
      <c r="AD38" s="79">
        <v>0</v>
      </c>
      <c r="AE38" s="49"/>
      <c r="AF38" s="84"/>
      <c r="AG38" s="81">
        <f t="shared" si="23"/>
        <v>0</v>
      </c>
      <c r="AH38" s="79">
        <f t="shared" si="4"/>
        <v>0</v>
      </c>
      <c r="AI38" s="48"/>
      <c r="AJ38" s="84"/>
      <c r="AK38" s="81">
        <f t="shared" si="5"/>
        <v>0</v>
      </c>
      <c r="AL38" s="79">
        <f t="shared" si="6"/>
        <v>0</v>
      </c>
      <c r="AM38" s="48"/>
      <c r="AN38" s="84"/>
      <c r="AO38" s="81">
        <f t="shared" si="7"/>
        <v>0</v>
      </c>
      <c r="AP38" s="79">
        <f t="shared" si="8"/>
        <v>0</v>
      </c>
      <c r="AQ38" s="48">
        <v>1920</v>
      </c>
      <c r="AR38" s="84"/>
      <c r="AS38" s="81">
        <f t="shared" si="9"/>
        <v>0</v>
      </c>
      <c r="AT38" s="79">
        <f t="shared" si="10"/>
        <v>0</v>
      </c>
      <c r="AU38" s="49"/>
      <c r="AV38" s="84"/>
      <c r="AW38" s="81">
        <v>0</v>
      </c>
      <c r="AX38" s="79">
        <v>0</v>
      </c>
      <c r="AY38" s="49"/>
      <c r="AZ38" s="84"/>
      <c r="BA38" s="81">
        <v>0</v>
      </c>
      <c r="BB38" s="79">
        <v>0</v>
      </c>
      <c r="BC38" s="49"/>
      <c r="BD38" s="84"/>
      <c r="BE38" s="81">
        <v>0</v>
      </c>
      <c r="BF38" s="79">
        <v>0</v>
      </c>
      <c r="BG38" s="49"/>
      <c r="BH38" s="84"/>
      <c r="BI38" s="81">
        <v>0</v>
      </c>
      <c r="BJ38" s="79">
        <v>0</v>
      </c>
      <c r="BK38" s="49"/>
      <c r="BL38" s="84"/>
      <c r="BM38" s="81">
        <v>0</v>
      </c>
      <c r="BN38" s="79">
        <v>0</v>
      </c>
      <c r="BO38" s="49"/>
      <c r="BP38" s="84"/>
      <c r="BQ38" s="81">
        <v>0</v>
      </c>
      <c r="BR38" s="79">
        <v>0</v>
      </c>
      <c r="BS38" s="49"/>
      <c r="BT38" s="84"/>
      <c r="BU38" s="81">
        <f t="shared" si="11"/>
        <v>0</v>
      </c>
      <c r="BV38" s="79">
        <f t="shared" si="12"/>
        <v>0</v>
      </c>
      <c r="BW38" s="48"/>
      <c r="BX38" s="84"/>
      <c r="BY38" s="81">
        <f t="shared" si="13"/>
        <v>0</v>
      </c>
      <c r="BZ38" s="79">
        <f t="shared" si="14"/>
        <v>0</v>
      </c>
      <c r="CA38" s="48"/>
      <c r="CB38" s="84"/>
      <c r="CC38" s="81">
        <v>0</v>
      </c>
      <c r="CD38" s="79">
        <v>0</v>
      </c>
      <c r="CE38" s="49"/>
      <c r="CF38" s="84"/>
      <c r="CG38" s="81">
        <f t="shared" si="15"/>
        <v>0</v>
      </c>
      <c r="CH38" s="79">
        <f t="shared" si="16"/>
        <v>0</v>
      </c>
      <c r="CI38" s="33"/>
      <c r="CJ38" s="84"/>
      <c r="CK38" s="81">
        <f t="shared" si="17"/>
        <v>0</v>
      </c>
      <c r="CL38" s="79">
        <f t="shared" si="18"/>
        <v>0</v>
      </c>
      <c r="CM38" s="34"/>
      <c r="CN38" s="34"/>
      <c r="CO38" s="34"/>
      <c r="CP38" s="34"/>
      <c r="CQ38" s="50">
        <f t="shared" si="19"/>
        <v>1</v>
      </c>
      <c r="CR38" s="77">
        <f t="shared" si="20"/>
        <v>0</v>
      </c>
      <c r="CS38" s="28"/>
    </row>
    <row r="39" spans="1:97" s="1" customFormat="1">
      <c r="A39" s="30" t="s">
        <v>144</v>
      </c>
      <c r="B39" s="47"/>
      <c r="C39" s="63" t="s">
        <v>120</v>
      </c>
      <c r="D39" s="32"/>
      <c r="E39" s="32"/>
      <c r="F39" s="87"/>
      <c r="G39" s="48">
        <v>2880</v>
      </c>
      <c r="H39" s="84"/>
      <c r="I39" s="80">
        <f t="shared" si="21"/>
        <v>0</v>
      </c>
      <c r="J39" s="79">
        <f t="shared" si="22"/>
        <v>0</v>
      </c>
      <c r="K39" s="49"/>
      <c r="L39" s="84"/>
      <c r="M39" s="81">
        <f t="shared" si="24"/>
        <v>0</v>
      </c>
      <c r="N39" s="79">
        <f t="shared" si="1"/>
        <v>0</v>
      </c>
      <c r="O39" s="48"/>
      <c r="P39" s="84"/>
      <c r="Q39" s="81">
        <f t="shared" si="2"/>
        <v>0</v>
      </c>
      <c r="R39" s="79">
        <f t="shared" si="3"/>
        <v>0</v>
      </c>
      <c r="S39" s="49"/>
      <c r="T39" s="84"/>
      <c r="U39" s="81">
        <v>0</v>
      </c>
      <c r="V39" s="79">
        <v>0</v>
      </c>
      <c r="W39" s="49"/>
      <c r="X39" s="84"/>
      <c r="Y39" s="81">
        <v>0</v>
      </c>
      <c r="Z39" s="79">
        <v>0</v>
      </c>
      <c r="AA39" s="49"/>
      <c r="AB39" s="84"/>
      <c r="AC39" s="81">
        <v>0</v>
      </c>
      <c r="AD39" s="79">
        <v>0</v>
      </c>
      <c r="AE39" s="49"/>
      <c r="AF39" s="84"/>
      <c r="AG39" s="81">
        <f t="shared" si="23"/>
        <v>0</v>
      </c>
      <c r="AH39" s="79">
        <f t="shared" si="4"/>
        <v>0</v>
      </c>
      <c r="AI39" s="48">
        <v>5760</v>
      </c>
      <c r="AJ39" s="84"/>
      <c r="AK39" s="81">
        <f t="shared" si="5"/>
        <v>0</v>
      </c>
      <c r="AL39" s="79">
        <f t="shared" si="6"/>
        <v>0</v>
      </c>
      <c r="AM39" s="48"/>
      <c r="AN39" s="84"/>
      <c r="AO39" s="81">
        <f t="shared" si="7"/>
        <v>0</v>
      </c>
      <c r="AP39" s="79">
        <f t="shared" si="8"/>
        <v>0</v>
      </c>
      <c r="AQ39" s="48"/>
      <c r="AR39" s="84"/>
      <c r="AS39" s="81">
        <f t="shared" si="9"/>
        <v>0</v>
      </c>
      <c r="AT39" s="79">
        <f t="shared" si="10"/>
        <v>0</v>
      </c>
      <c r="AU39" s="54">
        <v>960</v>
      </c>
      <c r="AV39" s="84"/>
      <c r="AW39" s="81">
        <v>0</v>
      </c>
      <c r="AX39" s="79">
        <v>0</v>
      </c>
      <c r="AY39" s="54">
        <v>960</v>
      </c>
      <c r="AZ39" s="84"/>
      <c r="BA39" s="81">
        <v>0</v>
      </c>
      <c r="BB39" s="79">
        <v>0</v>
      </c>
      <c r="BC39" s="54">
        <v>4800</v>
      </c>
      <c r="BD39" s="84"/>
      <c r="BE39" s="81">
        <v>0</v>
      </c>
      <c r="BF39" s="79">
        <v>0</v>
      </c>
      <c r="BG39" s="49"/>
      <c r="BH39" s="84"/>
      <c r="BI39" s="81">
        <v>0</v>
      </c>
      <c r="BJ39" s="79">
        <v>0</v>
      </c>
      <c r="BK39" s="49"/>
      <c r="BL39" s="84"/>
      <c r="BM39" s="81">
        <v>0</v>
      </c>
      <c r="BN39" s="79">
        <v>0</v>
      </c>
      <c r="BO39" s="49"/>
      <c r="BP39" s="84"/>
      <c r="BQ39" s="81">
        <v>0</v>
      </c>
      <c r="BR39" s="79">
        <v>0</v>
      </c>
      <c r="BS39" s="49"/>
      <c r="BT39" s="84"/>
      <c r="BU39" s="81">
        <f t="shared" si="11"/>
        <v>0</v>
      </c>
      <c r="BV39" s="79">
        <f t="shared" si="12"/>
        <v>0</v>
      </c>
      <c r="BW39" s="48"/>
      <c r="BX39" s="84"/>
      <c r="BY39" s="81">
        <f t="shared" si="13"/>
        <v>0</v>
      </c>
      <c r="BZ39" s="79">
        <f t="shared" si="14"/>
        <v>0</v>
      </c>
      <c r="CA39" s="48"/>
      <c r="CB39" s="84"/>
      <c r="CC39" s="81">
        <v>0</v>
      </c>
      <c r="CD39" s="79">
        <v>0</v>
      </c>
      <c r="CE39" s="49"/>
      <c r="CF39" s="84"/>
      <c r="CG39" s="81">
        <f t="shared" si="15"/>
        <v>0</v>
      </c>
      <c r="CH39" s="79">
        <f t="shared" si="16"/>
        <v>0</v>
      </c>
      <c r="CI39" s="33"/>
      <c r="CJ39" s="84"/>
      <c r="CK39" s="81">
        <f t="shared" si="17"/>
        <v>0</v>
      </c>
      <c r="CL39" s="79">
        <f t="shared" si="18"/>
        <v>0</v>
      </c>
      <c r="CM39" s="34"/>
      <c r="CN39" s="34"/>
      <c r="CO39" s="34"/>
      <c r="CP39" s="34"/>
      <c r="CQ39" s="50">
        <f t="shared" si="19"/>
        <v>1</v>
      </c>
      <c r="CR39" s="77">
        <f t="shared" si="20"/>
        <v>0</v>
      </c>
      <c r="CS39" s="28"/>
    </row>
    <row r="40" spans="1:97" s="1" customFormat="1">
      <c r="A40" s="30" t="s">
        <v>144</v>
      </c>
      <c r="B40" s="47"/>
      <c r="C40" s="31" t="s">
        <v>123</v>
      </c>
      <c r="D40" s="32"/>
      <c r="E40" s="32"/>
      <c r="F40" s="87"/>
      <c r="G40" s="48">
        <v>960</v>
      </c>
      <c r="H40" s="84"/>
      <c r="I40" s="80">
        <f t="shared" si="21"/>
        <v>0</v>
      </c>
      <c r="J40" s="79">
        <f t="shared" si="22"/>
        <v>0</v>
      </c>
      <c r="K40" s="49"/>
      <c r="L40" s="84"/>
      <c r="M40" s="81">
        <f t="shared" si="24"/>
        <v>0</v>
      </c>
      <c r="N40" s="79">
        <f t="shared" si="1"/>
        <v>0</v>
      </c>
      <c r="O40" s="48">
        <v>12480</v>
      </c>
      <c r="P40" s="84"/>
      <c r="Q40" s="81">
        <f t="shared" si="2"/>
        <v>0</v>
      </c>
      <c r="R40" s="79">
        <f t="shared" si="3"/>
        <v>0</v>
      </c>
      <c r="S40" s="49"/>
      <c r="T40" s="84"/>
      <c r="U40" s="81">
        <v>0</v>
      </c>
      <c r="V40" s="79">
        <v>0</v>
      </c>
      <c r="W40" s="49"/>
      <c r="X40" s="84"/>
      <c r="Y40" s="81">
        <v>0</v>
      </c>
      <c r="Z40" s="79">
        <v>0</v>
      </c>
      <c r="AA40" s="49"/>
      <c r="AB40" s="84"/>
      <c r="AC40" s="81">
        <v>0</v>
      </c>
      <c r="AD40" s="79">
        <v>0</v>
      </c>
      <c r="AE40" s="49"/>
      <c r="AF40" s="84"/>
      <c r="AG40" s="81">
        <f t="shared" si="23"/>
        <v>0</v>
      </c>
      <c r="AH40" s="79">
        <f t="shared" si="4"/>
        <v>0</v>
      </c>
      <c r="AI40" s="48"/>
      <c r="AJ40" s="84"/>
      <c r="AK40" s="81">
        <f t="shared" si="5"/>
        <v>0</v>
      </c>
      <c r="AL40" s="79">
        <f t="shared" si="6"/>
        <v>0</v>
      </c>
      <c r="AM40" s="48"/>
      <c r="AN40" s="84"/>
      <c r="AO40" s="81">
        <f t="shared" si="7"/>
        <v>0</v>
      </c>
      <c r="AP40" s="79">
        <f t="shared" si="8"/>
        <v>0</v>
      </c>
      <c r="AQ40" s="48"/>
      <c r="AR40" s="84"/>
      <c r="AS40" s="81">
        <f t="shared" si="9"/>
        <v>0</v>
      </c>
      <c r="AT40" s="79">
        <f t="shared" si="10"/>
        <v>0</v>
      </c>
      <c r="AU40" s="49"/>
      <c r="AV40" s="84"/>
      <c r="AW40" s="81">
        <v>0</v>
      </c>
      <c r="AX40" s="79">
        <v>0</v>
      </c>
      <c r="AY40" s="49"/>
      <c r="AZ40" s="84"/>
      <c r="BA40" s="81">
        <v>0</v>
      </c>
      <c r="BB40" s="79">
        <v>0</v>
      </c>
      <c r="BC40" s="49"/>
      <c r="BD40" s="84"/>
      <c r="BE40" s="81">
        <v>0</v>
      </c>
      <c r="BF40" s="79">
        <v>0</v>
      </c>
      <c r="BG40" s="49"/>
      <c r="BH40" s="84"/>
      <c r="BI40" s="81">
        <v>0</v>
      </c>
      <c r="BJ40" s="79">
        <v>0</v>
      </c>
      <c r="BK40" s="49"/>
      <c r="BL40" s="84"/>
      <c r="BM40" s="81">
        <v>0</v>
      </c>
      <c r="BN40" s="79">
        <v>0</v>
      </c>
      <c r="BO40" s="49"/>
      <c r="BP40" s="84"/>
      <c r="BQ40" s="81">
        <v>0</v>
      </c>
      <c r="BR40" s="79">
        <v>0</v>
      </c>
      <c r="BS40" s="49"/>
      <c r="BT40" s="84"/>
      <c r="BU40" s="81">
        <f t="shared" si="11"/>
        <v>0</v>
      </c>
      <c r="BV40" s="79">
        <f t="shared" si="12"/>
        <v>0</v>
      </c>
      <c r="BW40" s="48"/>
      <c r="BX40" s="84"/>
      <c r="BY40" s="81">
        <f t="shared" si="13"/>
        <v>0</v>
      </c>
      <c r="BZ40" s="79">
        <f t="shared" si="14"/>
        <v>0</v>
      </c>
      <c r="CA40" s="48"/>
      <c r="CB40" s="84"/>
      <c r="CC40" s="81">
        <v>0</v>
      </c>
      <c r="CD40" s="79">
        <v>0</v>
      </c>
      <c r="CE40" s="49"/>
      <c r="CF40" s="84"/>
      <c r="CG40" s="81">
        <f t="shared" si="15"/>
        <v>0</v>
      </c>
      <c r="CH40" s="79">
        <f t="shared" si="16"/>
        <v>0</v>
      </c>
      <c r="CI40" s="33"/>
      <c r="CJ40" s="84"/>
      <c r="CK40" s="81">
        <f t="shared" si="17"/>
        <v>0</v>
      </c>
      <c r="CL40" s="79">
        <f t="shared" si="18"/>
        <v>0</v>
      </c>
      <c r="CM40" s="34"/>
      <c r="CN40" s="34"/>
      <c r="CO40" s="34"/>
      <c r="CP40" s="34"/>
      <c r="CQ40" s="50">
        <f t="shared" si="19"/>
        <v>1</v>
      </c>
      <c r="CR40" s="77">
        <f t="shared" si="20"/>
        <v>0</v>
      </c>
      <c r="CS40" s="28"/>
    </row>
    <row r="41" spans="1:97" s="1" customFormat="1">
      <c r="A41" s="30" t="s">
        <v>145</v>
      </c>
      <c r="B41" s="47"/>
      <c r="C41" s="31" t="s">
        <v>121</v>
      </c>
      <c r="D41" s="32"/>
      <c r="E41" s="32"/>
      <c r="F41" s="87"/>
      <c r="G41" s="48"/>
      <c r="H41" s="84"/>
      <c r="I41" s="80">
        <f t="shared" si="21"/>
        <v>0</v>
      </c>
      <c r="J41" s="79">
        <f t="shared" si="22"/>
        <v>0</v>
      </c>
      <c r="K41" s="49"/>
      <c r="L41" s="84"/>
      <c r="M41" s="81">
        <f t="shared" si="24"/>
        <v>0</v>
      </c>
      <c r="N41" s="79">
        <f t="shared" si="1"/>
        <v>0</v>
      </c>
      <c r="O41" s="48">
        <v>5760</v>
      </c>
      <c r="P41" s="84"/>
      <c r="Q41" s="81">
        <f t="shared" si="2"/>
        <v>0</v>
      </c>
      <c r="R41" s="79">
        <f t="shared" si="3"/>
        <v>0</v>
      </c>
      <c r="S41" s="49"/>
      <c r="T41" s="84"/>
      <c r="U41" s="81">
        <v>0</v>
      </c>
      <c r="V41" s="79">
        <v>0</v>
      </c>
      <c r="W41" s="49"/>
      <c r="X41" s="84"/>
      <c r="Y41" s="81">
        <v>0</v>
      </c>
      <c r="Z41" s="79">
        <v>0</v>
      </c>
      <c r="AA41" s="49"/>
      <c r="AB41" s="84"/>
      <c r="AC41" s="81">
        <v>0</v>
      </c>
      <c r="AD41" s="79">
        <v>0</v>
      </c>
      <c r="AE41" s="49"/>
      <c r="AF41" s="84"/>
      <c r="AG41" s="81">
        <f t="shared" si="23"/>
        <v>0</v>
      </c>
      <c r="AH41" s="79">
        <f t="shared" si="4"/>
        <v>0</v>
      </c>
      <c r="AI41" s="48"/>
      <c r="AJ41" s="84"/>
      <c r="AK41" s="81">
        <f t="shared" si="5"/>
        <v>0</v>
      </c>
      <c r="AL41" s="79">
        <f t="shared" si="6"/>
        <v>0</v>
      </c>
      <c r="AM41" s="48"/>
      <c r="AN41" s="84"/>
      <c r="AO41" s="81">
        <f t="shared" si="7"/>
        <v>0</v>
      </c>
      <c r="AP41" s="79">
        <f t="shared" si="8"/>
        <v>0</v>
      </c>
      <c r="AQ41" s="48"/>
      <c r="AR41" s="84"/>
      <c r="AS41" s="81">
        <f t="shared" si="9"/>
        <v>0</v>
      </c>
      <c r="AT41" s="79">
        <f t="shared" si="10"/>
        <v>0</v>
      </c>
      <c r="AU41" s="49"/>
      <c r="AV41" s="84"/>
      <c r="AW41" s="81">
        <v>0</v>
      </c>
      <c r="AX41" s="79">
        <v>0</v>
      </c>
      <c r="AY41" s="49"/>
      <c r="AZ41" s="84"/>
      <c r="BA41" s="81">
        <v>0</v>
      </c>
      <c r="BB41" s="79">
        <v>0</v>
      </c>
      <c r="BC41" s="49"/>
      <c r="BD41" s="84"/>
      <c r="BE41" s="81">
        <v>0</v>
      </c>
      <c r="BF41" s="79">
        <v>0</v>
      </c>
      <c r="BG41" s="49"/>
      <c r="BH41" s="84"/>
      <c r="BI41" s="81">
        <v>0</v>
      </c>
      <c r="BJ41" s="79">
        <v>0</v>
      </c>
      <c r="BK41" s="49"/>
      <c r="BL41" s="84"/>
      <c r="BM41" s="81">
        <v>0</v>
      </c>
      <c r="BN41" s="79">
        <v>0</v>
      </c>
      <c r="BO41" s="49"/>
      <c r="BP41" s="84"/>
      <c r="BQ41" s="81">
        <v>0</v>
      </c>
      <c r="BR41" s="79">
        <v>0</v>
      </c>
      <c r="BS41" s="49"/>
      <c r="BT41" s="84"/>
      <c r="BU41" s="81">
        <f t="shared" si="11"/>
        <v>0</v>
      </c>
      <c r="BV41" s="79">
        <f t="shared" si="12"/>
        <v>0</v>
      </c>
      <c r="BW41" s="48"/>
      <c r="BX41" s="84"/>
      <c r="BY41" s="81">
        <f t="shared" si="13"/>
        <v>0</v>
      </c>
      <c r="BZ41" s="79">
        <f t="shared" si="14"/>
        <v>0</v>
      </c>
      <c r="CA41" s="48"/>
      <c r="CB41" s="84"/>
      <c r="CC41" s="81">
        <v>0</v>
      </c>
      <c r="CD41" s="79">
        <v>0</v>
      </c>
      <c r="CE41" s="49">
        <v>960</v>
      </c>
      <c r="CF41" s="84"/>
      <c r="CG41" s="81">
        <f t="shared" si="15"/>
        <v>0</v>
      </c>
      <c r="CH41" s="79">
        <f t="shared" si="16"/>
        <v>0</v>
      </c>
      <c r="CI41" s="33"/>
      <c r="CJ41" s="84"/>
      <c r="CK41" s="81">
        <f t="shared" si="17"/>
        <v>0</v>
      </c>
      <c r="CL41" s="79">
        <f t="shared" si="18"/>
        <v>0</v>
      </c>
      <c r="CM41" s="34"/>
      <c r="CN41" s="34"/>
      <c r="CO41" s="34"/>
      <c r="CP41" s="34"/>
      <c r="CQ41" s="50">
        <f t="shared" si="19"/>
        <v>1</v>
      </c>
      <c r="CR41" s="77">
        <f t="shared" si="20"/>
        <v>0</v>
      </c>
      <c r="CS41" s="28"/>
    </row>
    <row r="42" spans="1:97" s="1" customFormat="1">
      <c r="A42" s="30" t="s">
        <v>146</v>
      </c>
      <c r="B42" s="47"/>
      <c r="C42" s="63" t="s">
        <v>120</v>
      </c>
      <c r="D42" s="32"/>
      <c r="E42" s="32"/>
      <c r="F42" s="87"/>
      <c r="G42" s="48">
        <v>2880</v>
      </c>
      <c r="H42" s="84"/>
      <c r="I42" s="80">
        <f t="shared" si="21"/>
        <v>0</v>
      </c>
      <c r="J42" s="79">
        <f t="shared" si="22"/>
        <v>0</v>
      </c>
      <c r="K42" s="49"/>
      <c r="L42" s="84"/>
      <c r="M42" s="81">
        <f t="shared" si="24"/>
        <v>0</v>
      </c>
      <c r="N42" s="79">
        <f t="shared" si="1"/>
        <v>0</v>
      </c>
      <c r="O42" s="48"/>
      <c r="P42" s="84"/>
      <c r="Q42" s="81">
        <f t="shared" si="2"/>
        <v>0</v>
      </c>
      <c r="R42" s="79">
        <f t="shared" si="3"/>
        <v>0</v>
      </c>
      <c r="S42" s="49"/>
      <c r="T42" s="84"/>
      <c r="U42" s="81">
        <v>0</v>
      </c>
      <c r="V42" s="79">
        <v>0</v>
      </c>
      <c r="W42" s="54">
        <v>960</v>
      </c>
      <c r="X42" s="84"/>
      <c r="Y42" s="81">
        <v>0</v>
      </c>
      <c r="Z42" s="79">
        <v>0</v>
      </c>
      <c r="AA42" s="54"/>
      <c r="AB42" s="84"/>
      <c r="AC42" s="81">
        <v>0</v>
      </c>
      <c r="AD42" s="79">
        <v>0</v>
      </c>
      <c r="AE42" s="54"/>
      <c r="AF42" s="84"/>
      <c r="AG42" s="81">
        <f t="shared" si="23"/>
        <v>0</v>
      </c>
      <c r="AH42" s="79">
        <f t="shared" si="4"/>
        <v>0</v>
      </c>
      <c r="AI42" s="48">
        <v>7680</v>
      </c>
      <c r="AJ42" s="84"/>
      <c r="AK42" s="81">
        <f t="shared" si="5"/>
        <v>0</v>
      </c>
      <c r="AL42" s="79">
        <f t="shared" si="6"/>
        <v>0</v>
      </c>
      <c r="AM42" s="48"/>
      <c r="AN42" s="84"/>
      <c r="AO42" s="81">
        <f t="shared" si="7"/>
        <v>0</v>
      </c>
      <c r="AP42" s="79">
        <f t="shared" si="8"/>
        <v>0</v>
      </c>
      <c r="AQ42" s="48"/>
      <c r="AR42" s="84"/>
      <c r="AS42" s="81">
        <f t="shared" si="9"/>
        <v>0</v>
      </c>
      <c r="AT42" s="79">
        <f t="shared" si="10"/>
        <v>0</v>
      </c>
      <c r="AU42" s="49"/>
      <c r="AV42" s="84"/>
      <c r="AW42" s="81">
        <v>0</v>
      </c>
      <c r="AX42" s="79">
        <v>0</v>
      </c>
      <c r="AY42" s="49"/>
      <c r="AZ42" s="84"/>
      <c r="BA42" s="81">
        <v>0</v>
      </c>
      <c r="BB42" s="79">
        <v>0</v>
      </c>
      <c r="BC42" s="49"/>
      <c r="BD42" s="84"/>
      <c r="BE42" s="81">
        <v>0</v>
      </c>
      <c r="BF42" s="79">
        <v>0</v>
      </c>
      <c r="BG42" s="49"/>
      <c r="BH42" s="84"/>
      <c r="BI42" s="81">
        <v>0</v>
      </c>
      <c r="BJ42" s="79">
        <v>0</v>
      </c>
      <c r="BK42" s="49"/>
      <c r="BL42" s="84"/>
      <c r="BM42" s="81">
        <v>0</v>
      </c>
      <c r="BN42" s="79">
        <v>0</v>
      </c>
      <c r="BO42" s="49"/>
      <c r="BP42" s="84"/>
      <c r="BQ42" s="81">
        <v>0</v>
      </c>
      <c r="BR42" s="79">
        <v>0</v>
      </c>
      <c r="BS42" s="49"/>
      <c r="BT42" s="84"/>
      <c r="BU42" s="81">
        <f t="shared" si="11"/>
        <v>0</v>
      </c>
      <c r="BV42" s="79">
        <f t="shared" si="12"/>
        <v>0</v>
      </c>
      <c r="BW42" s="48"/>
      <c r="BX42" s="84"/>
      <c r="BY42" s="81">
        <f t="shared" si="13"/>
        <v>0</v>
      </c>
      <c r="BZ42" s="79">
        <f t="shared" si="14"/>
        <v>0</v>
      </c>
      <c r="CA42" s="48"/>
      <c r="CB42" s="84"/>
      <c r="CC42" s="81">
        <v>0</v>
      </c>
      <c r="CD42" s="79">
        <v>0</v>
      </c>
      <c r="CE42" s="49"/>
      <c r="CF42" s="84"/>
      <c r="CG42" s="81">
        <f t="shared" si="15"/>
        <v>0</v>
      </c>
      <c r="CH42" s="79">
        <f t="shared" si="16"/>
        <v>0</v>
      </c>
      <c r="CI42" s="33"/>
      <c r="CJ42" s="84"/>
      <c r="CK42" s="81">
        <f t="shared" si="17"/>
        <v>0</v>
      </c>
      <c r="CL42" s="79">
        <f t="shared" si="18"/>
        <v>0</v>
      </c>
      <c r="CM42" s="34"/>
      <c r="CN42" s="34"/>
      <c r="CO42" s="34"/>
      <c r="CP42" s="34"/>
      <c r="CQ42" s="50">
        <f t="shared" si="19"/>
        <v>1</v>
      </c>
      <c r="CR42" s="77">
        <f t="shared" si="20"/>
        <v>0</v>
      </c>
      <c r="CS42" s="28"/>
    </row>
    <row r="43" spans="1:97" s="1" customFormat="1">
      <c r="A43" s="30" t="s">
        <v>146</v>
      </c>
      <c r="B43" s="47"/>
      <c r="C43" s="31" t="s">
        <v>121</v>
      </c>
      <c r="D43" s="32"/>
      <c r="E43" s="32"/>
      <c r="F43" s="87"/>
      <c r="G43" s="48">
        <v>960</v>
      </c>
      <c r="H43" s="84"/>
      <c r="I43" s="80">
        <f t="shared" si="21"/>
        <v>0</v>
      </c>
      <c r="J43" s="79">
        <f t="shared" si="22"/>
        <v>0</v>
      </c>
      <c r="K43" s="49"/>
      <c r="L43" s="84"/>
      <c r="M43" s="81">
        <f t="shared" si="24"/>
        <v>0</v>
      </c>
      <c r="N43" s="79">
        <f t="shared" ref="N43:N59" si="25">K43*M43</f>
        <v>0</v>
      </c>
      <c r="O43" s="48">
        <v>2880</v>
      </c>
      <c r="P43" s="84"/>
      <c r="Q43" s="81">
        <f t="shared" ref="Q43:Q59" si="26">P43*CQ43</f>
        <v>0</v>
      </c>
      <c r="R43" s="79">
        <f t="shared" ref="R43:R59" si="27">O43*Q43</f>
        <v>0</v>
      </c>
      <c r="S43" s="49"/>
      <c r="T43" s="84"/>
      <c r="U43" s="81">
        <v>0</v>
      </c>
      <c r="V43" s="79">
        <v>0</v>
      </c>
      <c r="W43" s="49"/>
      <c r="X43" s="84"/>
      <c r="Y43" s="81">
        <v>0</v>
      </c>
      <c r="Z43" s="79">
        <v>0</v>
      </c>
      <c r="AA43" s="49"/>
      <c r="AB43" s="84"/>
      <c r="AC43" s="81">
        <v>0</v>
      </c>
      <c r="AD43" s="79">
        <v>0</v>
      </c>
      <c r="AE43" s="49"/>
      <c r="AF43" s="84"/>
      <c r="AG43" s="81">
        <f t="shared" si="23"/>
        <v>0</v>
      </c>
      <c r="AH43" s="79">
        <f t="shared" ref="AH43:AH59" si="28">AE43*AG43</f>
        <v>0</v>
      </c>
      <c r="AI43" s="48">
        <v>13440</v>
      </c>
      <c r="AJ43" s="84"/>
      <c r="AK43" s="81">
        <f t="shared" ref="AK43:AK59" si="29">AJ43*CQ43</f>
        <v>0</v>
      </c>
      <c r="AL43" s="79">
        <f t="shared" ref="AL43:AL59" si="30">AI43*AK43</f>
        <v>0</v>
      </c>
      <c r="AM43" s="48"/>
      <c r="AN43" s="84"/>
      <c r="AO43" s="81">
        <f t="shared" ref="AO43:AO59" si="31">AN43*CQ43</f>
        <v>0</v>
      </c>
      <c r="AP43" s="79">
        <f t="shared" ref="AP43:AP59" si="32">AM43*AO43</f>
        <v>0</v>
      </c>
      <c r="AQ43" s="48"/>
      <c r="AR43" s="84"/>
      <c r="AS43" s="81">
        <f t="shared" ref="AS43:AS59" si="33">AR43*CQ43</f>
        <v>0</v>
      </c>
      <c r="AT43" s="79">
        <f t="shared" ref="AT43:AT59" si="34">AQ43*AS43</f>
        <v>0</v>
      </c>
      <c r="AU43" s="49"/>
      <c r="AV43" s="84"/>
      <c r="AW43" s="81">
        <v>0</v>
      </c>
      <c r="AX43" s="79">
        <v>0</v>
      </c>
      <c r="AY43" s="49"/>
      <c r="AZ43" s="84"/>
      <c r="BA43" s="81">
        <v>0</v>
      </c>
      <c r="BB43" s="79">
        <v>0</v>
      </c>
      <c r="BC43" s="49"/>
      <c r="BD43" s="84"/>
      <c r="BE43" s="81">
        <v>0</v>
      </c>
      <c r="BF43" s="79">
        <v>0</v>
      </c>
      <c r="BG43" s="49"/>
      <c r="BH43" s="84"/>
      <c r="BI43" s="81">
        <v>0</v>
      </c>
      <c r="BJ43" s="79">
        <v>0</v>
      </c>
      <c r="BK43" s="49"/>
      <c r="BL43" s="84"/>
      <c r="BM43" s="81">
        <v>0</v>
      </c>
      <c r="BN43" s="79">
        <v>0</v>
      </c>
      <c r="BO43" s="49"/>
      <c r="BP43" s="84"/>
      <c r="BQ43" s="81">
        <v>0</v>
      </c>
      <c r="BR43" s="79">
        <v>0</v>
      </c>
      <c r="BS43" s="49"/>
      <c r="BT43" s="84"/>
      <c r="BU43" s="81">
        <f t="shared" ref="BU43:BU59" si="35">BT43*CQ43</f>
        <v>0</v>
      </c>
      <c r="BV43" s="79">
        <f t="shared" ref="BV43:BV59" si="36">BS43*BU43</f>
        <v>0</v>
      </c>
      <c r="BW43" s="48">
        <v>480</v>
      </c>
      <c r="BX43" s="84"/>
      <c r="BY43" s="81">
        <f t="shared" ref="BY43:BY59" si="37">BX43*CQ43</f>
        <v>0</v>
      </c>
      <c r="BZ43" s="79">
        <f t="shared" ref="BZ43:BZ59" si="38">BW43*BY43</f>
        <v>0</v>
      </c>
      <c r="CA43" s="48"/>
      <c r="CB43" s="84"/>
      <c r="CC43" s="81">
        <v>0</v>
      </c>
      <c r="CD43" s="79">
        <v>0</v>
      </c>
      <c r="CE43" s="49"/>
      <c r="CF43" s="84"/>
      <c r="CG43" s="81">
        <f t="shared" ref="CG43:CG59" si="39">CF43*CQ43</f>
        <v>0</v>
      </c>
      <c r="CH43" s="79">
        <f t="shared" ref="CH43:CH59" si="40">CE43*CG43</f>
        <v>0</v>
      </c>
      <c r="CI43" s="33"/>
      <c r="CJ43" s="84"/>
      <c r="CK43" s="81">
        <f t="shared" ref="CK43:CK59" si="41">CJ43*CQ43</f>
        <v>0</v>
      </c>
      <c r="CL43" s="79">
        <f t="shared" ref="CL43:CL59" si="42">CI43*CK43</f>
        <v>0</v>
      </c>
      <c r="CM43" s="34"/>
      <c r="CN43" s="34"/>
      <c r="CO43" s="34"/>
      <c r="CP43" s="34"/>
      <c r="CQ43" s="50">
        <f t="shared" ref="CQ43:CQ59" si="43">(1+CM43)*(1+CN43)*(1+CO43)*(1+CP43)</f>
        <v>1</v>
      </c>
      <c r="CR43" s="77">
        <f t="shared" ref="CR43:CR59" si="44">J43+N43+R43+V43+Z43+AD43+AH43+AL43+AP43+AT43+AX43+BB43+BF43+BJ43+BN43+BR43+BV43+BZ43+CD43+CH43+CL43</f>
        <v>0</v>
      </c>
      <c r="CS43" s="28"/>
    </row>
    <row r="44" spans="1:97" s="1" customFormat="1">
      <c r="A44" s="30" t="s">
        <v>146</v>
      </c>
      <c r="B44" s="47"/>
      <c r="C44" s="31" t="s">
        <v>123</v>
      </c>
      <c r="D44" s="32"/>
      <c r="E44" s="32"/>
      <c r="F44" s="87"/>
      <c r="G44" s="48">
        <v>960</v>
      </c>
      <c r="H44" s="84"/>
      <c r="I44" s="80">
        <f t="shared" si="21"/>
        <v>0</v>
      </c>
      <c r="J44" s="79">
        <f t="shared" si="22"/>
        <v>0</v>
      </c>
      <c r="K44" s="49"/>
      <c r="L44" s="84"/>
      <c r="M44" s="81">
        <f t="shared" si="24"/>
        <v>0</v>
      </c>
      <c r="N44" s="79">
        <f t="shared" si="25"/>
        <v>0</v>
      </c>
      <c r="O44" s="48">
        <v>23040</v>
      </c>
      <c r="P44" s="84"/>
      <c r="Q44" s="81">
        <f t="shared" si="26"/>
        <v>0</v>
      </c>
      <c r="R44" s="79">
        <f t="shared" si="27"/>
        <v>0</v>
      </c>
      <c r="S44" s="49"/>
      <c r="T44" s="84"/>
      <c r="U44" s="81">
        <v>0</v>
      </c>
      <c r="V44" s="79">
        <v>0</v>
      </c>
      <c r="W44" s="49"/>
      <c r="X44" s="84"/>
      <c r="Y44" s="81">
        <v>0</v>
      </c>
      <c r="Z44" s="79">
        <v>0</v>
      </c>
      <c r="AA44" s="54">
        <v>960</v>
      </c>
      <c r="AB44" s="84"/>
      <c r="AC44" s="81">
        <v>0</v>
      </c>
      <c r="AD44" s="79">
        <v>0</v>
      </c>
      <c r="AE44" s="54">
        <v>960</v>
      </c>
      <c r="AF44" s="84"/>
      <c r="AG44" s="81">
        <f t="shared" si="23"/>
        <v>0</v>
      </c>
      <c r="AH44" s="79">
        <f t="shared" si="28"/>
        <v>0</v>
      </c>
      <c r="AI44" s="48"/>
      <c r="AJ44" s="84"/>
      <c r="AK44" s="81">
        <f t="shared" si="29"/>
        <v>0</v>
      </c>
      <c r="AL44" s="79">
        <f t="shared" si="30"/>
        <v>0</v>
      </c>
      <c r="AM44" s="48"/>
      <c r="AN44" s="84"/>
      <c r="AO44" s="81">
        <f t="shared" si="31"/>
        <v>0</v>
      </c>
      <c r="AP44" s="79">
        <f t="shared" si="32"/>
        <v>0</v>
      </c>
      <c r="AQ44" s="48"/>
      <c r="AR44" s="84"/>
      <c r="AS44" s="81">
        <f t="shared" si="33"/>
        <v>0</v>
      </c>
      <c r="AT44" s="79">
        <f t="shared" si="34"/>
        <v>0</v>
      </c>
      <c r="AU44" s="49"/>
      <c r="AV44" s="84"/>
      <c r="AW44" s="81">
        <v>0</v>
      </c>
      <c r="AX44" s="79">
        <v>0</v>
      </c>
      <c r="AY44" s="49"/>
      <c r="AZ44" s="84"/>
      <c r="BA44" s="81">
        <v>0</v>
      </c>
      <c r="BB44" s="79">
        <v>0</v>
      </c>
      <c r="BC44" s="49"/>
      <c r="BD44" s="84"/>
      <c r="BE44" s="81">
        <v>0</v>
      </c>
      <c r="BF44" s="79">
        <v>0</v>
      </c>
      <c r="BG44" s="54">
        <v>960</v>
      </c>
      <c r="BH44" s="84"/>
      <c r="BI44" s="81">
        <v>0</v>
      </c>
      <c r="BJ44" s="79">
        <v>0</v>
      </c>
      <c r="BK44" s="54">
        <v>960</v>
      </c>
      <c r="BL44" s="84"/>
      <c r="BM44" s="81">
        <v>0</v>
      </c>
      <c r="BN44" s="79">
        <v>0</v>
      </c>
      <c r="BO44" s="54">
        <v>960</v>
      </c>
      <c r="BP44" s="84"/>
      <c r="BQ44" s="81">
        <v>0</v>
      </c>
      <c r="BR44" s="79">
        <v>0</v>
      </c>
      <c r="BS44" s="54">
        <v>960</v>
      </c>
      <c r="BT44" s="84"/>
      <c r="BU44" s="81">
        <f t="shared" si="35"/>
        <v>0</v>
      </c>
      <c r="BV44" s="79">
        <f t="shared" si="36"/>
        <v>0</v>
      </c>
      <c r="BW44" s="48"/>
      <c r="BX44" s="84"/>
      <c r="BY44" s="81">
        <f t="shared" si="37"/>
        <v>0</v>
      </c>
      <c r="BZ44" s="79">
        <f t="shared" si="38"/>
        <v>0</v>
      </c>
      <c r="CA44" s="48"/>
      <c r="CB44" s="84"/>
      <c r="CC44" s="81">
        <v>0</v>
      </c>
      <c r="CD44" s="79">
        <v>0</v>
      </c>
      <c r="CE44" s="49"/>
      <c r="CF44" s="84"/>
      <c r="CG44" s="81">
        <f t="shared" si="39"/>
        <v>0</v>
      </c>
      <c r="CH44" s="79">
        <f t="shared" si="40"/>
        <v>0</v>
      </c>
      <c r="CI44" s="33"/>
      <c r="CJ44" s="84"/>
      <c r="CK44" s="81">
        <f t="shared" si="41"/>
        <v>0</v>
      </c>
      <c r="CL44" s="79">
        <f t="shared" si="42"/>
        <v>0</v>
      </c>
      <c r="CM44" s="34"/>
      <c r="CN44" s="34"/>
      <c r="CO44" s="34"/>
      <c r="CP44" s="34"/>
      <c r="CQ44" s="50">
        <f t="shared" si="43"/>
        <v>1</v>
      </c>
      <c r="CR44" s="77">
        <f t="shared" si="44"/>
        <v>0</v>
      </c>
      <c r="CS44" s="28"/>
    </row>
    <row r="45" spans="1:97" s="1" customFormat="1">
      <c r="A45" s="30" t="s">
        <v>147</v>
      </c>
      <c r="B45" s="47"/>
      <c r="C45" s="63" t="s">
        <v>120</v>
      </c>
      <c r="D45" s="32"/>
      <c r="E45" s="32"/>
      <c r="F45" s="87"/>
      <c r="G45" s="48"/>
      <c r="H45" s="84"/>
      <c r="I45" s="80">
        <f t="shared" si="21"/>
        <v>0</v>
      </c>
      <c r="J45" s="79">
        <f t="shared" si="22"/>
        <v>0</v>
      </c>
      <c r="K45" s="49"/>
      <c r="L45" s="84"/>
      <c r="M45" s="81">
        <f t="shared" si="24"/>
        <v>0</v>
      </c>
      <c r="N45" s="79">
        <f t="shared" si="25"/>
        <v>0</v>
      </c>
      <c r="O45" s="48"/>
      <c r="P45" s="84"/>
      <c r="Q45" s="81">
        <f t="shared" si="26"/>
        <v>0</v>
      </c>
      <c r="R45" s="79">
        <f t="shared" si="27"/>
        <v>0</v>
      </c>
      <c r="S45" s="54">
        <v>960</v>
      </c>
      <c r="T45" s="89"/>
      <c r="U45" s="81">
        <v>0</v>
      </c>
      <c r="V45" s="79">
        <v>0</v>
      </c>
      <c r="W45" s="49"/>
      <c r="X45" s="89"/>
      <c r="Y45" s="81">
        <v>0</v>
      </c>
      <c r="Z45" s="79">
        <v>0</v>
      </c>
      <c r="AA45" s="49"/>
      <c r="AB45" s="89"/>
      <c r="AC45" s="81">
        <v>0</v>
      </c>
      <c r="AD45" s="79">
        <v>0</v>
      </c>
      <c r="AE45" s="49"/>
      <c r="AF45" s="89"/>
      <c r="AG45" s="81">
        <f t="shared" si="23"/>
        <v>0</v>
      </c>
      <c r="AH45" s="79">
        <f t="shared" si="28"/>
        <v>0</v>
      </c>
      <c r="AI45" s="48"/>
      <c r="AJ45" s="84"/>
      <c r="AK45" s="81">
        <f t="shared" si="29"/>
        <v>0</v>
      </c>
      <c r="AL45" s="79">
        <f t="shared" si="30"/>
        <v>0</v>
      </c>
      <c r="AM45" s="48"/>
      <c r="AN45" s="84"/>
      <c r="AO45" s="81">
        <f t="shared" si="31"/>
        <v>0</v>
      </c>
      <c r="AP45" s="79">
        <f t="shared" si="32"/>
        <v>0</v>
      </c>
      <c r="AQ45" s="48"/>
      <c r="AR45" s="84"/>
      <c r="AS45" s="81">
        <f t="shared" si="33"/>
        <v>0</v>
      </c>
      <c r="AT45" s="79">
        <f t="shared" si="34"/>
        <v>0</v>
      </c>
      <c r="AU45" s="49"/>
      <c r="AV45" s="84"/>
      <c r="AW45" s="81">
        <v>0</v>
      </c>
      <c r="AX45" s="79">
        <v>0</v>
      </c>
      <c r="AY45" s="49"/>
      <c r="AZ45" s="84"/>
      <c r="BA45" s="81">
        <v>0</v>
      </c>
      <c r="BB45" s="79">
        <v>0</v>
      </c>
      <c r="BC45" s="49"/>
      <c r="BD45" s="84"/>
      <c r="BE45" s="81">
        <v>0</v>
      </c>
      <c r="BF45" s="79">
        <v>0</v>
      </c>
      <c r="BG45" s="49"/>
      <c r="BH45" s="84"/>
      <c r="BI45" s="81">
        <v>0</v>
      </c>
      <c r="BJ45" s="79">
        <v>0</v>
      </c>
      <c r="BK45" s="49"/>
      <c r="BL45" s="84"/>
      <c r="BM45" s="81">
        <v>0</v>
      </c>
      <c r="BN45" s="79">
        <v>0</v>
      </c>
      <c r="BO45" s="49"/>
      <c r="BP45" s="84"/>
      <c r="BQ45" s="81">
        <v>0</v>
      </c>
      <c r="BR45" s="79">
        <v>0</v>
      </c>
      <c r="BS45" s="49"/>
      <c r="BT45" s="84"/>
      <c r="BU45" s="81">
        <f t="shared" si="35"/>
        <v>0</v>
      </c>
      <c r="BV45" s="79">
        <f t="shared" si="36"/>
        <v>0</v>
      </c>
      <c r="BW45" s="48"/>
      <c r="BX45" s="84"/>
      <c r="BY45" s="81">
        <f t="shared" si="37"/>
        <v>0</v>
      </c>
      <c r="BZ45" s="79">
        <f t="shared" si="38"/>
        <v>0</v>
      </c>
      <c r="CA45" s="48"/>
      <c r="CB45" s="84"/>
      <c r="CC45" s="81">
        <v>0</v>
      </c>
      <c r="CD45" s="79">
        <v>0</v>
      </c>
      <c r="CE45" s="49"/>
      <c r="CF45" s="84"/>
      <c r="CG45" s="81">
        <f t="shared" si="39"/>
        <v>0</v>
      </c>
      <c r="CH45" s="79">
        <f t="shared" si="40"/>
        <v>0</v>
      </c>
      <c r="CI45" s="33"/>
      <c r="CJ45" s="84"/>
      <c r="CK45" s="81">
        <f t="shared" si="41"/>
        <v>0</v>
      </c>
      <c r="CL45" s="79">
        <f t="shared" si="42"/>
        <v>0</v>
      </c>
      <c r="CM45" s="34"/>
      <c r="CN45" s="34"/>
      <c r="CO45" s="34"/>
      <c r="CP45" s="34"/>
      <c r="CQ45" s="50">
        <f t="shared" si="43"/>
        <v>1</v>
      </c>
      <c r="CR45" s="77">
        <f t="shared" si="44"/>
        <v>0</v>
      </c>
      <c r="CS45" s="28"/>
    </row>
    <row r="46" spans="1:97" s="1" customFormat="1">
      <c r="A46" s="30" t="s">
        <v>148</v>
      </c>
      <c r="B46" s="47"/>
      <c r="C46" s="31" t="s">
        <v>121</v>
      </c>
      <c r="D46" s="32"/>
      <c r="E46" s="32"/>
      <c r="F46" s="87"/>
      <c r="G46" s="48"/>
      <c r="H46" s="84"/>
      <c r="I46" s="80">
        <f t="shared" si="21"/>
        <v>0</v>
      </c>
      <c r="J46" s="79">
        <f t="shared" si="22"/>
        <v>0</v>
      </c>
      <c r="K46" s="49"/>
      <c r="L46" s="84"/>
      <c r="M46" s="81">
        <f t="shared" si="24"/>
        <v>0</v>
      </c>
      <c r="N46" s="79">
        <f t="shared" si="25"/>
        <v>0</v>
      </c>
      <c r="O46" s="48">
        <v>1920</v>
      </c>
      <c r="P46" s="84"/>
      <c r="Q46" s="81">
        <f t="shared" si="26"/>
        <v>0</v>
      </c>
      <c r="R46" s="79">
        <f t="shared" si="27"/>
        <v>0</v>
      </c>
      <c r="S46" s="49"/>
      <c r="T46" s="84"/>
      <c r="U46" s="81">
        <v>0</v>
      </c>
      <c r="V46" s="79">
        <v>0</v>
      </c>
      <c r="W46" s="49"/>
      <c r="X46" s="84"/>
      <c r="Y46" s="81">
        <v>0</v>
      </c>
      <c r="Z46" s="79">
        <v>0</v>
      </c>
      <c r="AA46" s="49"/>
      <c r="AB46" s="84"/>
      <c r="AC46" s="81">
        <v>0</v>
      </c>
      <c r="AD46" s="79">
        <v>0</v>
      </c>
      <c r="AE46" s="49"/>
      <c r="AF46" s="84"/>
      <c r="AG46" s="81">
        <f t="shared" si="23"/>
        <v>0</v>
      </c>
      <c r="AH46" s="79">
        <f t="shared" si="28"/>
        <v>0</v>
      </c>
      <c r="AI46" s="48"/>
      <c r="AJ46" s="84"/>
      <c r="AK46" s="81">
        <f t="shared" si="29"/>
        <v>0</v>
      </c>
      <c r="AL46" s="79">
        <f t="shared" si="30"/>
        <v>0</v>
      </c>
      <c r="AM46" s="48"/>
      <c r="AN46" s="84"/>
      <c r="AO46" s="81">
        <f t="shared" si="31"/>
        <v>0</v>
      </c>
      <c r="AP46" s="79">
        <f t="shared" si="32"/>
        <v>0</v>
      </c>
      <c r="AQ46" s="48">
        <v>24960</v>
      </c>
      <c r="AR46" s="84"/>
      <c r="AS46" s="81">
        <f t="shared" si="33"/>
        <v>0</v>
      </c>
      <c r="AT46" s="79">
        <f t="shared" si="34"/>
        <v>0</v>
      </c>
      <c r="AU46" s="49"/>
      <c r="AV46" s="84"/>
      <c r="AW46" s="81">
        <v>0</v>
      </c>
      <c r="AX46" s="79">
        <v>0</v>
      </c>
      <c r="AY46" s="49"/>
      <c r="AZ46" s="84"/>
      <c r="BA46" s="81">
        <v>0</v>
      </c>
      <c r="BB46" s="79">
        <v>0</v>
      </c>
      <c r="BC46" s="49"/>
      <c r="BD46" s="84"/>
      <c r="BE46" s="81">
        <v>0</v>
      </c>
      <c r="BF46" s="79">
        <v>0</v>
      </c>
      <c r="BG46" s="49"/>
      <c r="BH46" s="84"/>
      <c r="BI46" s="81">
        <v>0</v>
      </c>
      <c r="BJ46" s="79">
        <v>0</v>
      </c>
      <c r="BK46" s="49"/>
      <c r="BL46" s="84"/>
      <c r="BM46" s="81">
        <v>0</v>
      </c>
      <c r="BN46" s="79">
        <v>0</v>
      </c>
      <c r="BO46" s="49"/>
      <c r="BP46" s="84"/>
      <c r="BQ46" s="81">
        <v>0</v>
      </c>
      <c r="BR46" s="79">
        <v>0</v>
      </c>
      <c r="BS46" s="49"/>
      <c r="BT46" s="84"/>
      <c r="BU46" s="81">
        <f t="shared" si="35"/>
        <v>0</v>
      </c>
      <c r="BV46" s="79">
        <f t="shared" si="36"/>
        <v>0</v>
      </c>
      <c r="BW46" s="48">
        <v>960</v>
      </c>
      <c r="BX46" s="84"/>
      <c r="BY46" s="81">
        <f t="shared" si="37"/>
        <v>0</v>
      </c>
      <c r="BZ46" s="79">
        <f t="shared" si="38"/>
        <v>0</v>
      </c>
      <c r="CA46" s="48"/>
      <c r="CB46" s="84"/>
      <c r="CC46" s="81">
        <v>0</v>
      </c>
      <c r="CD46" s="79">
        <v>0</v>
      </c>
      <c r="CE46" s="49">
        <v>960</v>
      </c>
      <c r="CF46" s="84"/>
      <c r="CG46" s="81">
        <f t="shared" si="39"/>
        <v>0</v>
      </c>
      <c r="CH46" s="79">
        <f t="shared" si="40"/>
        <v>0</v>
      </c>
      <c r="CI46" s="33"/>
      <c r="CJ46" s="84"/>
      <c r="CK46" s="81">
        <f t="shared" si="41"/>
        <v>0</v>
      </c>
      <c r="CL46" s="79">
        <f t="shared" si="42"/>
        <v>0</v>
      </c>
      <c r="CM46" s="34"/>
      <c r="CN46" s="34"/>
      <c r="CO46" s="34"/>
      <c r="CP46" s="34"/>
      <c r="CQ46" s="50">
        <f t="shared" si="43"/>
        <v>1</v>
      </c>
      <c r="CR46" s="77">
        <f t="shared" si="44"/>
        <v>0</v>
      </c>
      <c r="CS46" s="28"/>
    </row>
    <row r="47" spans="1:97" s="1" customFormat="1">
      <c r="A47" s="30" t="s">
        <v>148</v>
      </c>
      <c r="B47" s="47"/>
      <c r="C47" s="31" t="s">
        <v>123</v>
      </c>
      <c r="D47" s="32"/>
      <c r="E47" s="32"/>
      <c r="F47" s="87"/>
      <c r="G47" s="48">
        <v>4800</v>
      </c>
      <c r="H47" s="84"/>
      <c r="I47" s="80">
        <f t="shared" si="21"/>
        <v>0</v>
      </c>
      <c r="J47" s="79">
        <f t="shared" si="22"/>
        <v>0</v>
      </c>
      <c r="K47" s="49"/>
      <c r="L47" s="84"/>
      <c r="M47" s="81">
        <f t="shared" si="24"/>
        <v>0</v>
      </c>
      <c r="N47" s="79">
        <f t="shared" si="25"/>
        <v>0</v>
      </c>
      <c r="O47" s="48"/>
      <c r="P47" s="84"/>
      <c r="Q47" s="81">
        <f t="shared" si="26"/>
        <v>0</v>
      </c>
      <c r="R47" s="79">
        <f t="shared" si="27"/>
        <v>0</v>
      </c>
      <c r="S47" s="49"/>
      <c r="T47" s="84"/>
      <c r="U47" s="81">
        <v>0</v>
      </c>
      <c r="V47" s="79">
        <v>0</v>
      </c>
      <c r="W47" s="49"/>
      <c r="X47" s="84"/>
      <c r="Y47" s="81">
        <v>0</v>
      </c>
      <c r="Z47" s="79">
        <v>0</v>
      </c>
      <c r="AA47" s="49"/>
      <c r="AB47" s="84"/>
      <c r="AC47" s="81">
        <v>0</v>
      </c>
      <c r="AD47" s="79">
        <v>0</v>
      </c>
      <c r="AE47" s="49"/>
      <c r="AF47" s="84"/>
      <c r="AG47" s="81">
        <f t="shared" si="23"/>
        <v>0</v>
      </c>
      <c r="AH47" s="79">
        <f t="shared" si="28"/>
        <v>0</v>
      </c>
      <c r="AI47" s="48"/>
      <c r="AJ47" s="84"/>
      <c r="AK47" s="81">
        <f t="shared" si="29"/>
        <v>0</v>
      </c>
      <c r="AL47" s="79">
        <f t="shared" si="30"/>
        <v>0</v>
      </c>
      <c r="AM47" s="48"/>
      <c r="AN47" s="84"/>
      <c r="AO47" s="81">
        <f t="shared" si="31"/>
        <v>0</v>
      </c>
      <c r="AP47" s="79">
        <f t="shared" si="32"/>
        <v>0</v>
      </c>
      <c r="AQ47" s="48"/>
      <c r="AR47" s="84"/>
      <c r="AS47" s="81">
        <f t="shared" si="33"/>
        <v>0</v>
      </c>
      <c r="AT47" s="79">
        <f t="shared" si="34"/>
        <v>0</v>
      </c>
      <c r="AU47" s="49"/>
      <c r="AV47" s="84"/>
      <c r="AW47" s="81">
        <v>0</v>
      </c>
      <c r="AX47" s="79">
        <v>0</v>
      </c>
      <c r="AY47" s="49"/>
      <c r="AZ47" s="84"/>
      <c r="BA47" s="81">
        <v>0</v>
      </c>
      <c r="BB47" s="79">
        <v>0</v>
      </c>
      <c r="BC47" s="49"/>
      <c r="BD47" s="84"/>
      <c r="BE47" s="81">
        <v>0</v>
      </c>
      <c r="BF47" s="79">
        <v>0</v>
      </c>
      <c r="BG47" s="49"/>
      <c r="BH47" s="84"/>
      <c r="BI47" s="81">
        <v>0</v>
      </c>
      <c r="BJ47" s="79">
        <v>0</v>
      </c>
      <c r="BK47" s="49"/>
      <c r="BL47" s="84"/>
      <c r="BM47" s="81">
        <v>0</v>
      </c>
      <c r="BN47" s="79">
        <v>0</v>
      </c>
      <c r="BO47" s="49"/>
      <c r="BP47" s="84"/>
      <c r="BQ47" s="81">
        <v>0</v>
      </c>
      <c r="BR47" s="79">
        <v>0</v>
      </c>
      <c r="BS47" s="49"/>
      <c r="BT47" s="84"/>
      <c r="BU47" s="81">
        <f t="shared" si="35"/>
        <v>0</v>
      </c>
      <c r="BV47" s="79">
        <f t="shared" si="36"/>
        <v>0</v>
      </c>
      <c r="BW47" s="48"/>
      <c r="BX47" s="84"/>
      <c r="BY47" s="81">
        <f t="shared" si="37"/>
        <v>0</v>
      </c>
      <c r="BZ47" s="79">
        <f t="shared" si="38"/>
        <v>0</v>
      </c>
      <c r="CA47" s="48"/>
      <c r="CB47" s="84"/>
      <c r="CC47" s="81">
        <v>0</v>
      </c>
      <c r="CD47" s="79">
        <v>0</v>
      </c>
      <c r="CE47" s="49"/>
      <c r="CF47" s="84"/>
      <c r="CG47" s="81">
        <f t="shared" si="39"/>
        <v>0</v>
      </c>
      <c r="CH47" s="79">
        <f t="shared" si="40"/>
        <v>0</v>
      </c>
      <c r="CI47" s="33"/>
      <c r="CJ47" s="84"/>
      <c r="CK47" s="81">
        <f t="shared" si="41"/>
        <v>0</v>
      </c>
      <c r="CL47" s="79">
        <f t="shared" si="42"/>
        <v>0</v>
      </c>
      <c r="CM47" s="34"/>
      <c r="CN47" s="34"/>
      <c r="CO47" s="34"/>
      <c r="CP47" s="34"/>
      <c r="CQ47" s="50">
        <f t="shared" si="43"/>
        <v>1</v>
      </c>
      <c r="CR47" s="77">
        <f t="shared" si="44"/>
        <v>0</v>
      </c>
      <c r="CS47" s="28"/>
    </row>
    <row r="48" spans="1:97" s="1" customFormat="1">
      <c r="A48" s="30" t="s">
        <v>149</v>
      </c>
      <c r="B48" s="47"/>
      <c r="C48" s="63" t="s">
        <v>120</v>
      </c>
      <c r="D48" s="32"/>
      <c r="E48" s="32"/>
      <c r="F48" s="87"/>
      <c r="G48" s="48"/>
      <c r="H48" s="84"/>
      <c r="I48" s="80">
        <f t="shared" si="21"/>
        <v>0</v>
      </c>
      <c r="J48" s="79">
        <f t="shared" si="22"/>
        <v>0</v>
      </c>
      <c r="K48" s="49"/>
      <c r="L48" s="84"/>
      <c r="M48" s="81">
        <f t="shared" si="24"/>
        <v>0</v>
      </c>
      <c r="N48" s="79">
        <f t="shared" si="25"/>
        <v>0</v>
      </c>
      <c r="O48" s="48"/>
      <c r="P48" s="84"/>
      <c r="Q48" s="81">
        <f t="shared" si="26"/>
        <v>0</v>
      </c>
      <c r="R48" s="79">
        <f t="shared" si="27"/>
        <v>0</v>
      </c>
      <c r="S48" s="49"/>
      <c r="T48" s="84"/>
      <c r="U48" s="81">
        <v>0</v>
      </c>
      <c r="V48" s="79">
        <v>0</v>
      </c>
      <c r="W48" s="49"/>
      <c r="X48" s="84"/>
      <c r="Y48" s="81">
        <v>0</v>
      </c>
      <c r="Z48" s="79">
        <v>0</v>
      </c>
      <c r="AA48" s="49"/>
      <c r="AB48" s="84"/>
      <c r="AC48" s="81">
        <v>0</v>
      </c>
      <c r="AD48" s="79">
        <v>0</v>
      </c>
      <c r="AE48" s="49"/>
      <c r="AF48" s="84"/>
      <c r="AG48" s="81">
        <f t="shared" si="23"/>
        <v>0</v>
      </c>
      <c r="AH48" s="79">
        <f t="shared" si="28"/>
        <v>0</v>
      </c>
      <c r="AI48" s="48"/>
      <c r="AJ48" s="84"/>
      <c r="AK48" s="81">
        <f t="shared" si="29"/>
        <v>0</v>
      </c>
      <c r="AL48" s="79">
        <f t="shared" si="30"/>
        <v>0</v>
      </c>
      <c r="AM48" s="48"/>
      <c r="AN48" s="84"/>
      <c r="AO48" s="81">
        <f t="shared" si="31"/>
        <v>0</v>
      </c>
      <c r="AP48" s="79">
        <f t="shared" si="32"/>
        <v>0</v>
      </c>
      <c r="AQ48" s="48"/>
      <c r="AR48" s="84"/>
      <c r="AS48" s="81">
        <f t="shared" si="33"/>
        <v>0</v>
      </c>
      <c r="AT48" s="79">
        <f t="shared" si="34"/>
        <v>0</v>
      </c>
      <c r="AU48" s="49"/>
      <c r="AV48" s="84"/>
      <c r="AW48" s="81">
        <v>0</v>
      </c>
      <c r="AX48" s="79">
        <v>0</v>
      </c>
      <c r="AY48" s="49"/>
      <c r="AZ48" s="84"/>
      <c r="BA48" s="81">
        <v>0</v>
      </c>
      <c r="BB48" s="79">
        <v>0</v>
      </c>
      <c r="BC48" s="49"/>
      <c r="BD48" s="84"/>
      <c r="BE48" s="81">
        <v>0</v>
      </c>
      <c r="BF48" s="79">
        <v>0</v>
      </c>
      <c r="BG48" s="49"/>
      <c r="BH48" s="84"/>
      <c r="BI48" s="81">
        <v>0</v>
      </c>
      <c r="BJ48" s="79">
        <v>0</v>
      </c>
      <c r="BK48" s="49"/>
      <c r="BL48" s="84"/>
      <c r="BM48" s="81">
        <v>0</v>
      </c>
      <c r="BN48" s="79">
        <v>0</v>
      </c>
      <c r="BO48" s="49"/>
      <c r="BP48" s="84"/>
      <c r="BQ48" s="81">
        <v>0</v>
      </c>
      <c r="BR48" s="79">
        <v>0</v>
      </c>
      <c r="BS48" s="49"/>
      <c r="BT48" s="84"/>
      <c r="BU48" s="81">
        <f t="shared" si="35"/>
        <v>0</v>
      </c>
      <c r="BV48" s="79">
        <f t="shared" si="36"/>
        <v>0</v>
      </c>
      <c r="BW48" s="48"/>
      <c r="BX48" s="84"/>
      <c r="BY48" s="81">
        <f t="shared" si="37"/>
        <v>0</v>
      </c>
      <c r="BZ48" s="79">
        <f t="shared" si="38"/>
        <v>0</v>
      </c>
      <c r="CA48" s="48"/>
      <c r="CB48" s="84"/>
      <c r="CC48" s="81">
        <v>0</v>
      </c>
      <c r="CD48" s="79">
        <v>0</v>
      </c>
      <c r="CE48" s="49"/>
      <c r="CF48" s="84"/>
      <c r="CG48" s="81">
        <f t="shared" si="39"/>
        <v>0</v>
      </c>
      <c r="CH48" s="79">
        <f t="shared" si="40"/>
        <v>0</v>
      </c>
      <c r="CI48" s="33"/>
      <c r="CJ48" s="84"/>
      <c r="CK48" s="81">
        <f t="shared" si="41"/>
        <v>0</v>
      </c>
      <c r="CL48" s="79">
        <f t="shared" si="42"/>
        <v>0</v>
      </c>
      <c r="CM48" s="34"/>
      <c r="CN48" s="34"/>
      <c r="CO48" s="34"/>
      <c r="CP48" s="34"/>
      <c r="CQ48" s="50">
        <f t="shared" si="43"/>
        <v>1</v>
      </c>
      <c r="CR48" s="77">
        <f t="shared" si="44"/>
        <v>0</v>
      </c>
      <c r="CS48" s="28"/>
    </row>
    <row r="49" spans="1:97" s="1" customFormat="1">
      <c r="A49" s="30" t="s">
        <v>150</v>
      </c>
      <c r="B49" s="47"/>
      <c r="C49" s="31" t="s">
        <v>121</v>
      </c>
      <c r="D49" s="32"/>
      <c r="E49" s="32"/>
      <c r="F49" s="87"/>
      <c r="G49" s="48"/>
      <c r="H49" s="84"/>
      <c r="I49" s="80">
        <f t="shared" si="21"/>
        <v>0</v>
      </c>
      <c r="J49" s="79">
        <f t="shared" si="22"/>
        <v>0</v>
      </c>
      <c r="K49" s="49"/>
      <c r="L49" s="84"/>
      <c r="M49" s="81">
        <f t="shared" si="24"/>
        <v>0</v>
      </c>
      <c r="N49" s="79">
        <f t="shared" si="25"/>
        <v>0</v>
      </c>
      <c r="O49" s="48"/>
      <c r="P49" s="84"/>
      <c r="Q49" s="81">
        <f t="shared" si="26"/>
        <v>0</v>
      </c>
      <c r="R49" s="79">
        <f t="shared" si="27"/>
        <v>0</v>
      </c>
      <c r="S49" s="49"/>
      <c r="T49" s="84"/>
      <c r="U49" s="81">
        <v>0</v>
      </c>
      <c r="V49" s="79">
        <v>0</v>
      </c>
      <c r="W49" s="49"/>
      <c r="X49" s="84"/>
      <c r="Y49" s="81">
        <v>0</v>
      </c>
      <c r="Z49" s="79">
        <v>0</v>
      </c>
      <c r="AA49" s="49"/>
      <c r="AB49" s="84"/>
      <c r="AC49" s="81">
        <v>0</v>
      </c>
      <c r="AD49" s="79">
        <v>0</v>
      </c>
      <c r="AE49" s="49"/>
      <c r="AF49" s="84"/>
      <c r="AG49" s="81">
        <f t="shared" si="23"/>
        <v>0</v>
      </c>
      <c r="AH49" s="79">
        <f t="shared" si="28"/>
        <v>0</v>
      </c>
      <c r="AI49" s="48"/>
      <c r="AJ49" s="84"/>
      <c r="AK49" s="81">
        <f t="shared" si="29"/>
        <v>0</v>
      </c>
      <c r="AL49" s="79">
        <f t="shared" si="30"/>
        <v>0</v>
      </c>
      <c r="AM49" s="48"/>
      <c r="AN49" s="84"/>
      <c r="AO49" s="81">
        <f t="shared" si="31"/>
        <v>0</v>
      </c>
      <c r="AP49" s="79">
        <f t="shared" si="32"/>
        <v>0</v>
      </c>
      <c r="AQ49" s="48"/>
      <c r="AR49" s="84"/>
      <c r="AS49" s="81">
        <f t="shared" si="33"/>
        <v>0</v>
      </c>
      <c r="AT49" s="79">
        <f t="shared" si="34"/>
        <v>0</v>
      </c>
      <c r="AU49" s="49"/>
      <c r="AV49" s="84"/>
      <c r="AW49" s="81">
        <v>0</v>
      </c>
      <c r="AX49" s="79">
        <v>0</v>
      </c>
      <c r="AY49" s="49"/>
      <c r="AZ49" s="84"/>
      <c r="BA49" s="81">
        <v>0</v>
      </c>
      <c r="BB49" s="79">
        <v>0</v>
      </c>
      <c r="BC49" s="49"/>
      <c r="BD49" s="84"/>
      <c r="BE49" s="81">
        <v>0</v>
      </c>
      <c r="BF49" s="79">
        <v>0</v>
      </c>
      <c r="BG49" s="49"/>
      <c r="BH49" s="84"/>
      <c r="BI49" s="81">
        <v>0</v>
      </c>
      <c r="BJ49" s="79">
        <v>0</v>
      </c>
      <c r="BK49" s="49"/>
      <c r="BL49" s="84"/>
      <c r="BM49" s="81">
        <v>0</v>
      </c>
      <c r="BN49" s="79">
        <v>0</v>
      </c>
      <c r="BO49" s="49"/>
      <c r="BP49" s="84"/>
      <c r="BQ49" s="81">
        <v>0</v>
      </c>
      <c r="BR49" s="79">
        <v>0</v>
      </c>
      <c r="BS49" s="49"/>
      <c r="BT49" s="84"/>
      <c r="BU49" s="81">
        <f t="shared" si="35"/>
        <v>0</v>
      </c>
      <c r="BV49" s="79">
        <f t="shared" si="36"/>
        <v>0</v>
      </c>
      <c r="BW49" s="48">
        <v>960</v>
      </c>
      <c r="BX49" s="84"/>
      <c r="BY49" s="81">
        <f t="shared" si="37"/>
        <v>0</v>
      </c>
      <c r="BZ49" s="79">
        <f t="shared" si="38"/>
        <v>0</v>
      </c>
      <c r="CA49" s="48"/>
      <c r="CB49" s="84"/>
      <c r="CC49" s="81">
        <v>0</v>
      </c>
      <c r="CD49" s="79">
        <v>0</v>
      </c>
      <c r="CE49" s="49"/>
      <c r="CF49" s="84"/>
      <c r="CG49" s="81">
        <f t="shared" si="39"/>
        <v>0</v>
      </c>
      <c r="CH49" s="79">
        <f t="shared" si="40"/>
        <v>0</v>
      </c>
      <c r="CI49" s="33"/>
      <c r="CJ49" s="84"/>
      <c r="CK49" s="81">
        <f t="shared" si="41"/>
        <v>0</v>
      </c>
      <c r="CL49" s="79">
        <f t="shared" si="42"/>
        <v>0</v>
      </c>
      <c r="CM49" s="34"/>
      <c r="CN49" s="34"/>
      <c r="CO49" s="34"/>
      <c r="CP49" s="34"/>
      <c r="CQ49" s="50">
        <f t="shared" si="43"/>
        <v>1</v>
      </c>
      <c r="CR49" s="77">
        <f t="shared" si="44"/>
        <v>0</v>
      </c>
      <c r="CS49" s="28"/>
    </row>
    <row r="50" spans="1:97" s="1" customFormat="1">
      <c r="A50" s="30" t="s">
        <v>151</v>
      </c>
      <c r="B50" s="47"/>
      <c r="C50" s="31" t="s">
        <v>123</v>
      </c>
      <c r="D50" s="32"/>
      <c r="E50" s="32"/>
      <c r="F50" s="87"/>
      <c r="G50" s="48"/>
      <c r="H50" s="84"/>
      <c r="I50" s="80">
        <f t="shared" si="21"/>
        <v>0</v>
      </c>
      <c r="J50" s="79">
        <f t="shared" si="22"/>
        <v>0</v>
      </c>
      <c r="K50" s="49"/>
      <c r="L50" s="84"/>
      <c r="M50" s="81">
        <f t="shared" si="24"/>
        <v>0</v>
      </c>
      <c r="N50" s="79">
        <f t="shared" si="25"/>
        <v>0</v>
      </c>
      <c r="O50" s="48"/>
      <c r="P50" s="84"/>
      <c r="Q50" s="81">
        <f t="shared" si="26"/>
        <v>0</v>
      </c>
      <c r="R50" s="79">
        <f t="shared" si="27"/>
        <v>0</v>
      </c>
      <c r="S50" s="49"/>
      <c r="T50" s="84"/>
      <c r="U50" s="81">
        <v>0</v>
      </c>
      <c r="V50" s="79">
        <v>0</v>
      </c>
      <c r="W50" s="49"/>
      <c r="X50" s="84"/>
      <c r="Y50" s="81">
        <v>0</v>
      </c>
      <c r="Z50" s="79">
        <v>0</v>
      </c>
      <c r="AA50" s="49"/>
      <c r="AB50" s="84"/>
      <c r="AC50" s="81">
        <v>0</v>
      </c>
      <c r="AD50" s="79">
        <v>0</v>
      </c>
      <c r="AE50" s="49"/>
      <c r="AF50" s="84"/>
      <c r="AG50" s="81">
        <f t="shared" si="23"/>
        <v>0</v>
      </c>
      <c r="AH50" s="79">
        <f t="shared" si="28"/>
        <v>0</v>
      </c>
      <c r="AI50" s="48"/>
      <c r="AJ50" s="84"/>
      <c r="AK50" s="81">
        <f t="shared" si="29"/>
        <v>0</v>
      </c>
      <c r="AL50" s="79">
        <f t="shared" si="30"/>
        <v>0</v>
      </c>
      <c r="AM50" s="48"/>
      <c r="AN50" s="84"/>
      <c r="AO50" s="81">
        <f t="shared" si="31"/>
        <v>0</v>
      </c>
      <c r="AP50" s="79">
        <f t="shared" si="32"/>
        <v>0</v>
      </c>
      <c r="AQ50" s="48"/>
      <c r="AR50" s="84"/>
      <c r="AS50" s="81">
        <f t="shared" si="33"/>
        <v>0</v>
      </c>
      <c r="AT50" s="79">
        <f t="shared" si="34"/>
        <v>0</v>
      </c>
      <c r="AU50" s="49"/>
      <c r="AV50" s="84"/>
      <c r="AW50" s="81">
        <v>0</v>
      </c>
      <c r="AX50" s="79">
        <v>0</v>
      </c>
      <c r="AY50" s="49"/>
      <c r="AZ50" s="84"/>
      <c r="BA50" s="81">
        <v>0</v>
      </c>
      <c r="BB50" s="79">
        <v>0</v>
      </c>
      <c r="BC50" s="49"/>
      <c r="BD50" s="84"/>
      <c r="BE50" s="81">
        <v>0</v>
      </c>
      <c r="BF50" s="79">
        <v>0</v>
      </c>
      <c r="BG50" s="49"/>
      <c r="BH50" s="84"/>
      <c r="BI50" s="81">
        <v>0</v>
      </c>
      <c r="BJ50" s="79">
        <v>0</v>
      </c>
      <c r="BK50" s="49"/>
      <c r="BL50" s="84"/>
      <c r="BM50" s="81">
        <v>0</v>
      </c>
      <c r="BN50" s="79">
        <v>0</v>
      </c>
      <c r="BO50" s="49"/>
      <c r="BP50" s="84"/>
      <c r="BQ50" s="81">
        <v>0</v>
      </c>
      <c r="BR50" s="79">
        <v>0</v>
      </c>
      <c r="BS50" s="49"/>
      <c r="BT50" s="84"/>
      <c r="BU50" s="81">
        <f t="shared" si="35"/>
        <v>0</v>
      </c>
      <c r="BV50" s="79">
        <f t="shared" si="36"/>
        <v>0</v>
      </c>
      <c r="BW50" s="48"/>
      <c r="BX50" s="84"/>
      <c r="BY50" s="81">
        <f t="shared" si="37"/>
        <v>0</v>
      </c>
      <c r="BZ50" s="79">
        <f t="shared" si="38"/>
        <v>0</v>
      </c>
      <c r="CA50" s="48"/>
      <c r="CB50" s="84"/>
      <c r="CC50" s="81">
        <v>0</v>
      </c>
      <c r="CD50" s="79">
        <v>0</v>
      </c>
      <c r="CE50" s="49"/>
      <c r="CF50" s="84"/>
      <c r="CG50" s="81">
        <f t="shared" si="39"/>
        <v>0</v>
      </c>
      <c r="CH50" s="79">
        <f t="shared" si="40"/>
        <v>0</v>
      </c>
      <c r="CI50" s="33"/>
      <c r="CJ50" s="84"/>
      <c r="CK50" s="81">
        <f t="shared" si="41"/>
        <v>0</v>
      </c>
      <c r="CL50" s="79">
        <f t="shared" si="42"/>
        <v>0</v>
      </c>
      <c r="CM50" s="34"/>
      <c r="CN50" s="34"/>
      <c r="CO50" s="34"/>
      <c r="CP50" s="34"/>
      <c r="CQ50" s="50">
        <f t="shared" si="43"/>
        <v>1</v>
      </c>
      <c r="CR50" s="77">
        <f t="shared" si="44"/>
        <v>0</v>
      </c>
      <c r="CS50" s="28"/>
    </row>
    <row r="51" spans="1:97" s="1" customFormat="1">
      <c r="A51" s="30" t="s">
        <v>152</v>
      </c>
      <c r="B51" s="47"/>
      <c r="C51" s="63" t="s">
        <v>120</v>
      </c>
      <c r="D51" s="32"/>
      <c r="E51" s="32"/>
      <c r="F51" s="87"/>
      <c r="G51" s="48"/>
      <c r="H51" s="84"/>
      <c r="I51" s="80">
        <f t="shared" si="21"/>
        <v>0</v>
      </c>
      <c r="J51" s="79">
        <f t="shared" si="22"/>
        <v>0</v>
      </c>
      <c r="K51" s="49"/>
      <c r="L51" s="84"/>
      <c r="M51" s="81">
        <f t="shared" si="24"/>
        <v>0</v>
      </c>
      <c r="N51" s="79">
        <f t="shared" si="25"/>
        <v>0</v>
      </c>
      <c r="O51" s="48"/>
      <c r="P51" s="84"/>
      <c r="Q51" s="81">
        <f t="shared" si="26"/>
        <v>0</v>
      </c>
      <c r="R51" s="79">
        <f t="shared" si="27"/>
        <v>0</v>
      </c>
      <c r="S51" s="49"/>
      <c r="T51" s="84"/>
      <c r="U51" s="81">
        <v>0</v>
      </c>
      <c r="V51" s="79">
        <v>0</v>
      </c>
      <c r="W51" s="49"/>
      <c r="X51" s="84"/>
      <c r="Y51" s="81">
        <v>0</v>
      </c>
      <c r="Z51" s="79">
        <v>0</v>
      </c>
      <c r="AA51" s="49"/>
      <c r="AB51" s="84"/>
      <c r="AC51" s="81">
        <v>0</v>
      </c>
      <c r="AD51" s="79">
        <v>0</v>
      </c>
      <c r="AE51" s="49"/>
      <c r="AF51" s="84"/>
      <c r="AG51" s="81">
        <f t="shared" si="23"/>
        <v>0</v>
      </c>
      <c r="AH51" s="79">
        <f t="shared" si="28"/>
        <v>0</v>
      </c>
      <c r="AI51" s="48"/>
      <c r="AJ51" s="84"/>
      <c r="AK51" s="81">
        <f t="shared" si="29"/>
        <v>0</v>
      </c>
      <c r="AL51" s="79">
        <f t="shared" si="30"/>
        <v>0</v>
      </c>
      <c r="AM51" s="48"/>
      <c r="AN51" s="84"/>
      <c r="AO51" s="81">
        <f t="shared" si="31"/>
        <v>0</v>
      </c>
      <c r="AP51" s="79">
        <f t="shared" si="32"/>
        <v>0</v>
      </c>
      <c r="AQ51" s="48"/>
      <c r="AR51" s="84"/>
      <c r="AS51" s="81">
        <f t="shared" si="33"/>
        <v>0</v>
      </c>
      <c r="AT51" s="79">
        <f t="shared" si="34"/>
        <v>0</v>
      </c>
      <c r="AU51" s="49"/>
      <c r="AV51" s="84"/>
      <c r="AW51" s="81">
        <v>0</v>
      </c>
      <c r="AX51" s="79">
        <v>0</v>
      </c>
      <c r="AY51" s="49"/>
      <c r="AZ51" s="84"/>
      <c r="BA51" s="81">
        <v>0</v>
      </c>
      <c r="BB51" s="79">
        <v>0</v>
      </c>
      <c r="BC51" s="49"/>
      <c r="BD51" s="84"/>
      <c r="BE51" s="81">
        <v>0</v>
      </c>
      <c r="BF51" s="79">
        <v>0</v>
      </c>
      <c r="BG51" s="49"/>
      <c r="BH51" s="84"/>
      <c r="BI51" s="81">
        <v>0</v>
      </c>
      <c r="BJ51" s="79">
        <v>0</v>
      </c>
      <c r="BK51" s="49"/>
      <c r="BL51" s="84"/>
      <c r="BM51" s="81">
        <v>0</v>
      </c>
      <c r="BN51" s="79">
        <v>0</v>
      </c>
      <c r="BO51" s="49"/>
      <c r="BP51" s="84"/>
      <c r="BQ51" s="81">
        <v>0</v>
      </c>
      <c r="BR51" s="79">
        <v>0</v>
      </c>
      <c r="BS51" s="49"/>
      <c r="BT51" s="84"/>
      <c r="BU51" s="81">
        <f t="shared" si="35"/>
        <v>0</v>
      </c>
      <c r="BV51" s="79">
        <f t="shared" si="36"/>
        <v>0</v>
      </c>
      <c r="BW51" s="48">
        <v>960</v>
      </c>
      <c r="BX51" s="84"/>
      <c r="BY51" s="81">
        <f t="shared" si="37"/>
        <v>0</v>
      </c>
      <c r="BZ51" s="79">
        <f t="shared" si="38"/>
        <v>0</v>
      </c>
      <c r="CA51" s="48"/>
      <c r="CB51" s="84"/>
      <c r="CC51" s="81">
        <v>0</v>
      </c>
      <c r="CD51" s="79">
        <v>0</v>
      </c>
      <c r="CE51" s="49"/>
      <c r="CF51" s="84"/>
      <c r="CG51" s="81">
        <f t="shared" si="39"/>
        <v>0</v>
      </c>
      <c r="CH51" s="79">
        <f t="shared" si="40"/>
        <v>0</v>
      </c>
      <c r="CI51" s="33"/>
      <c r="CJ51" s="84"/>
      <c r="CK51" s="81">
        <f t="shared" si="41"/>
        <v>0</v>
      </c>
      <c r="CL51" s="79">
        <f t="shared" si="42"/>
        <v>0</v>
      </c>
      <c r="CM51" s="34"/>
      <c r="CN51" s="34"/>
      <c r="CO51" s="34"/>
      <c r="CP51" s="34"/>
      <c r="CQ51" s="50">
        <f t="shared" si="43"/>
        <v>1</v>
      </c>
      <c r="CR51" s="77">
        <f t="shared" si="44"/>
        <v>0</v>
      </c>
      <c r="CS51" s="28"/>
    </row>
    <row r="52" spans="1:97" s="1" customFormat="1">
      <c r="A52" s="30" t="s">
        <v>152</v>
      </c>
      <c r="B52" s="47"/>
      <c r="C52" s="31" t="s">
        <v>123</v>
      </c>
      <c r="D52" s="32"/>
      <c r="E52" s="32"/>
      <c r="F52" s="87"/>
      <c r="G52" s="48">
        <v>480</v>
      </c>
      <c r="H52" s="84"/>
      <c r="I52" s="80">
        <f t="shared" si="21"/>
        <v>0</v>
      </c>
      <c r="J52" s="79">
        <f t="shared" si="22"/>
        <v>0</v>
      </c>
      <c r="K52" s="49"/>
      <c r="L52" s="84"/>
      <c r="M52" s="81">
        <f t="shared" si="24"/>
        <v>0</v>
      </c>
      <c r="N52" s="79">
        <f t="shared" si="25"/>
        <v>0</v>
      </c>
      <c r="O52" s="48"/>
      <c r="P52" s="84"/>
      <c r="Q52" s="81">
        <f t="shared" si="26"/>
        <v>0</v>
      </c>
      <c r="R52" s="79">
        <f t="shared" si="27"/>
        <v>0</v>
      </c>
      <c r="S52" s="49"/>
      <c r="T52" s="84"/>
      <c r="U52" s="81">
        <v>0</v>
      </c>
      <c r="V52" s="79">
        <v>0</v>
      </c>
      <c r="W52" s="49"/>
      <c r="X52" s="84"/>
      <c r="Y52" s="81">
        <v>0</v>
      </c>
      <c r="Z52" s="79">
        <v>0</v>
      </c>
      <c r="AA52" s="49"/>
      <c r="AB52" s="84"/>
      <c r="AC52" s="81">
        <v>0</v>
      </c>
      <c r="AD52" s="79">
        <v>0</v>
      </c>
      <c r="AE52" s="49"/>
      <c r="AF52" s="84"/>
      <c r="AG52" s="81">
        <f t="shared" si="23"/>
        <v>0</v>
      </c>
      <c r="AH52" s="79">
        <f t="shared" si="28"/>
        <v>0</v>
      </c>
      <c r="AI52" s="48"/>
      <c r="AJ52" s="84"/>
      <c r="AK52" s="81">
        <f t="shared" si="29"/>
        <v>0</v>
      </c>
      <c r="AL52" s="79">
        <f t="shared" si="30"/>
        <v>0</v>
      </c>
      <c r="AM52" s="48"/>
      <c r="AN52" s="84"/>
      <c r="AO52" s="81">
        <f t="shared" si="31"/>
        <v>0</v>
      </c>
      <c r="AP52" s="79">
        <f t="shared" si="32"/>
        <v>0</v>
      </c>
      <c r="AQ52" s="48"/>
      <c r="AR52" s="84"/>
      <c r="AS52" s="81">
        <f t="shared" si="33"/>
        <v>0</v>
      </c>
      <c r="AT52" s="79">
        <f t="shared" si="34"/>
        <v>0</v>
      </c>
      <c r="AU52" s="49"/>
      <c r="AV52" s="84"/>
      <c r="AW52" s="81">
        <f t="shared" ref="AW52:AW59" si="45">AV52*CQ52</f>
        <v>0</v>
      </c>
      <c r="AX52" s="79">
        <f t="shared" ref="AX52:AX59" si="46">AU52*AW52</f>
        <v>0</v>
      </c>
      <c r="AY52" s="49"/>
      <c r="AZ52" s="84"/>
      <c r="BA52" s="81">
        <f t="shared" ref="BA52:BA59" si="47">AZ52*CQ52</f>
        <v>0</v>
      </c>
      <c r="BB52" s="79">
        <f t="shared" ref="BB52:BB59" si="48">AY52*BA52</f>
        <v>0</v>
      </c>
      <c r="BC52" s="49"/>
      <c r="BD52" s="84"/>
      <c r="BE52" s="81">
        <f t="shared" ref="BE52:BE59" si="49">BD52*CQ52</f>
        <v>0</v>
      </c>
      <c r="BF52" s="79">
        <f t="shared" ref="BF52:BF59" si="50">BC52*BE52</f>
        <v>0</v>
      </c>
      <c r="BG52" s="49"/>
      <c r="BH52" s="84"/>
      <c r="BI52" s="81">
        <f t="shared" ref="BI52:BI59" si="51">BH52*CQ52</f>
        <v>0</v>
      </c>
      <c r="BJ52" s="79">
        <f t="shared" ref="BJ52:BJ59" si="52">BG52*BI52</f>
        <v>0</v>
      </c>
      <c r="BK52" s="49"/>
      <c r="BL52" s="84"/>
      <c r="BM52" s="81">
        <f t="shared" ref="BM52:BM59" si="53">BL52*CQ52</f>
        <v>0</v>
      </c>
      <c r="BN52" s="79">
        <f t="shared" ref="BN52:BN59" si="54">BK52*BM52</f>
        <v>0</v>
      </c>
      <c r="BO52" s="49"/>
      <c r="BP52" s="84"/>
      <c r="BQ52" s="81">
        <f t="shared" ref="BQ52:BQ59" si="55">BP52*CQ52</f>
        <v>0</v>
      </c>
      <c r="BR52" s="79">
        <f t="shared" ref="BR52:BR59" si="56">BO52*BQ52</f>
        <v>0</v>
      </c>
      <c r="BS52" s="49"/>
      <c r="BT52" s="84"/>
      <c r="BU52" s="81">
        <f t="shared" si="35"/>
        <v>0</v>
      </c>
      <c r="BV52" s="79">
        <f t="shared" si="36"/>
        <v>0</v>
      </c>
      <c r="BW52" s="48">
        <v>960</v>
      </c>
      <c r="BX52" s="84"/>
      <c r="BY52" s="81">
        <f t="shared" si="37"/>
        <v>0</v>
      </c>
      <c r="BZ52" s="79">
        <f t="shared" si="38"/>
        <v>0</v>
      </c>
      <c r="CA52" s="48"/>
      <c r="CB52" s="84"/>
      <c r="CC52" s="81">
        <v>0</v>
      </c>
      <c r="CD52" s="79">
        <v>0</v>
      </c>
      <c r="CE52" s="49"/>
      <c r="CF52" s="84"/>
      <c r="CG52" s="81">
        <f t="shared" si="39"/>
        <v>0</v>
      </c>
      <c r="CH52" s="79">
        <f t="shared" si="40"/>
        <v>0</v>
      </c>
      <c r="CI52" s="33"/>
      <c r="CJ52" s="84"/>
      <c r="CK52" s="81">
        <f t="shared" si="41"/>
        <v>0</v>
      </c>
      <c r="CL52" s="79">
        <f t="shared" si="42"/>
        <v>0</v>
      </c>
      <c r="CM52" s="34"/>
      <c r="CN52" s="34"/>
      <c r="CO52" s="34"/>
      <c r="CP52" s="34"/>
      <c r="CQ52" s="50">
        <f t="shared" si="43"/>
        <v>1</v>
      </c>
      <c r="CR52" s="77">
        <f t="shared" si="44"/>
        <v>0</v>
      </c>
      <c r="CS52" s="28"/>
    </row>
    <row r="53" spans="1:97">
      <c r="A53" s="37" t="s">
        <v>153</v>
      </c>
      <c r="B53" s="55"/>
      <c r="C53" s="63" t="s">
        <v>120</v>
      </c>
      <c r="D53" s="32"/>
      <c r="E53" s="32"/>
      <c r="F53" s="87"/>
      <c r="G53" s="48"/>
      <c r="H53" s="84"/>
      <c r="I53" s="80">
        <f t="shared" si="21"/>
        <v>0</v>
      </c>
      <c r="J53" s="79">
        <f t="shared" si="22"/>
        <v>0</v>
      </c>
      <c r="K53" s="49"/>
      <c r="L53" s="84"/>
      <c r="M53" s="81">
        <f t="shared" si="24"/>
        <v>0</v>
      </c>
      <c r="N53" s="79">
        <f t="shared" si="25"/>
        <v>0</v>
      </c>
      <c r="O53" s="48"/>
      <c r="P53" s="84"/>
      <c r="Q53" s="81">
        <f t="shared" si="26"/>
        <v>0</v>
      </c>
      <c r="R53" s="79">
        <f t="shared" si="27"/>
        <v>0</v>
      </c>
      <c r="S53" s="49"/>
      <c r="T53" s="84"/>
      <c r="U53" s="81">
        <v>0</v>
      </c>
      <c r="V53" s="79">
        <v>0</v>
      </c>
      <c r="W53" s="49"/>
      <c r="X53" s="84"/>
      <c r="Y53" s="81">
        <v>0</v>
      </c>
      <c r="Z53" s="79">
        <v>0</v>
      </c>
      <c r="AA53" s="49"/>
      <c r="AB53" s="84"/>
      <c r="AC53" s="81">
        <v>0</v>
      </c>
      <c r="AD53" s="79">
        <v>0</v>
      </c>
      <c r="AE53" s="49"/>
      <c r="AF53" s="84"/>
      <c r="AG53" s="81">
        <f t="shared" si="23"/>
        <v>0</v>
      </c>
      <c r="AH53" s="79">
        <f t="shared" si="28"/>
        <v>0</v>
      </c>
      <c r="AI53" s="48"/>
      <c r="AJ53" s="84"/>
      <c r="AK53" s="81">
        <f t="shared" si="29"/>
        <v>0</v>
      </c>
      <c r="AL53" s="79">
        <f t="shared" si="30"/>
        <v>0</v>
      </c>
      <c r="AM53" s="48"/>
      <c r="AN53" s="84"/>
      <c r="AO53" s="81">
        <f t="shared" si="31"/>
        <v>0</v>
      </c>
      <c r="AP53" s="79">
        <f t="shared" si="32"/>
        <v>0</v>
      </c>
      <c r="AQ53" s="48"/>
      <c r="AR53" s="84"/>
      <c r="AS53" s="81">
        <f t="shared" si="33"/>
        <v>0</v>
      </c>
      <c r="AT53" s="79">
        <f t="shared" si="34"/>
        <v>0</v>
      </c>
      <c r="AU53" s="49"/>
      <c r="AV53" s="84"/>
      <c r="AW53" s="81">
        <f t="shared" si="45"/>
        <v>0</v>
      </c>
      <c r="AX53" s="79">
        <f t="shared" si="46"/>
        <v>0</v>
      </c>
      <c r="AY53" s="49"/>
      <c r="AZ53" s="84"/>
      <c r="BA53" s="81">
        <f t="shared" si="47"/>
        <v>0</v>
      </c>
      <c r="BB53" s="79">
        <f t="shared" si="48"/>
        <v>0</v>
      </c>
      <c r="BC53" s="49"/>
      <c r="BD53" s="84"/>
      <c r="BE53" s="81">
        <f t="shared" si="49"/>
        <v>0</v>
      </c>
      <c r="BF53" s="79">
        <f t="shared" si="50"/>
        <v>0</v>
      </c>
      <c r="BG53" s="49"/>
      <c r="BH53" s="84"/>
      <c r="BI53" s="81">
        <f t="shared" si="51"/>
        <v>0</v>
      </c>
      <c r="BJ53" s="79">
        <f t="shared" si="52"/>
        <v>0</v>
      </c>
      <c r="BK53" s="49"/>
      <c r="BL53" s="84"/>
      <c r="BM53" s="81">
        <f t="shared" si="53"/>
        <v>0</v>
      </c>
      <c r="BN53" s="79">
        <f t="shared" si="54"/>
        <v>0</v>
      </c>
      <c r="BO53" s="49"/>
      <c r="BP53" s="84"/>
      <c r="BQ53" s="81">
        <f t="shared" si="55"/>
        <v>0</v>
      </c>
      <c r="BR53" s="79">
        <f t="shared" si="56"/>
        <v>0</v>
      </c>
      <c r="BS53" s="49"/>
      <c r="BT53" s="84"/>
      <c r="BU53" s="81">
        <f t="shared" si="35"/>
        <v>0</v>
      </c>
      <c r="BV53" s="79">
        <f t="shared" si="36"/>
        <v>0</v>
      </c>
      <c r="BW53" s="48">
        <v>240</v>
      </c>
      <c r="BX53" s="84"/>
      <c r="BY53" s="81">
        <f t="shared" si="37"/>
        <v>0</v>
      </c>
      <c r="BZ53" s="79">
        <f t="shared" si="38"/>
        <v>0</v>
      </c>
      <c r="CA53" s="48"/>
      <c r="CB53" s="84"/>
      <c r="CC53" s="81">
        <v>0</v>
      </c>
      <c r="CD53" s="79">
        <v>0</v>
      </c>
      <c r="CE53" s="49"/>
      <c r="CF53" s="84"/>
      <c r="CG53" s="81">
        <f t="shared" si="39"/>
        <v>0</v>
      </c>
      <c r="CH53" s="79">
        <f t="shared" si="40"/>
        <v>0</v>
      </c>
      <c r="CI53" s="33"/>
      <c r="CJ53" s="84"/>
      <c r="CK53" s="81">
        <f t="shared" si="41"/>
        <v>0</v>
      </c>
      <c r="CL53" s="79">
        <f t="shared" si="42"/>
        <v>0</v>
      </c>
      <c r="CM53" s="34"/>
      <c r="CN53" s="34"/>
      <c r="CO53" s="34"/>
      <c r="CP53" s="34"/>
      <c r="CQ53" s="50">
        <f t="shared" si="43"/>
        <v>1</v>
      </c>
      <c r="CR53" s="77">
        <f t="shared" si="44"/>
        <v>0</v>
      </c>
      <c r="CS53" s="28"/>
    </row>
    <row r="54" spans="1:97">
      <c r="A54" s="37" t="s">
        <v>153</v>
      </c>
      <c r="B54" s="55"/>
      <c r="C54" s="31" t="s">
        <v>121</v>
      </c>
      <c r="D54" s="32"/>
      <c r="E54" s="32"/>
      <c r="F54" s="87"/>
      <c r="G54" s="48"/>
      <c r="H54" s="84"/>
      <c r="I54" s="80">
        <f t="shared" si="21"/>
        <v>0</v>
      </c>
      <c r="J54" s="79">
        <f t="shared" si="22"/>
        <v>0</v>
      </c>
      <c r="K54" s="49"/>
      <c r="L54" s="84"/>
      <c r="M54" s="81">
        <f t="shared" si="24"/>
        <v>0</v>
      </c>
      <c r="N54" s="79">
        <f t="shared" si="25"/>
        <v>0</v>
      </c>
      <c r="O54" s="48"/>
      <c r="P54" s="84"/>
      <c r="Q54" s="81">
        <f t="shared" si="26"/>
        <v>0</v>
      </c>
      <c r="R54" s="79">
        <f t="shared" si="27"/>
        <v>0</v>
      </c>
      <c r="S54" s="49"/>
      <c r="T54" s="84"/>
      <c r="U54" s="81">
        <v>0</v>
      </c>
      <c r="V54" s="79">
        <v>0</v>
      </c>
      <c r="W54" s="49"/>
      <c r="X54" s="84"/>
      <c r="Y54" s="81">
        <v>0</v>
      </c>
      <c r="Z54" s="79">
        <v>0</v>
      </c>
      <c r="AA54" s="49"/>
      <c r="AB54" s="84"/>
      <c r="AC54" s="81">
        <v>0</v>
      </c>
      <c r="AD54" s="79">
        <v>0</v>
      </c>
      <c r="AE54" s="49"/>
      <c r="AF54" s="84"/>
      <c r="AG54" s="81">
        <f t="shared" si="23"/>
        <v>0</v>
      </c>
      <c r="AH54" s="79">
        <f t="shared" si="28"/>
        <v>0</v>
      </c>
      <c r="AI54" s="48"/>
      <c r="AJ54" s="84"/>
      <c r="AK54" s="81">
        <f t="shared" si="29"/>
        <v>0</v>
      </c>
      <c r="AL54" s="79">
        <f t="shared" si="30"/>
        <v>0</v>
      </c>
      <c r="AM54" s="48"/>
      <c r="AN54" s="84"/>
      <c r="AO54" s="81">
        <f t="shared" si="31"/>
        <v>0</v>
      </c>
      <c r="AP54" s="79">
        <f t="shared" si="32"/>
        <v>0</v>
      </c>
      <c r="AQ54" s="48"/>
      <c r="AR54" s="84"/>
      <c r="AS54" s="81">
        <f t="shared" si="33"/>
        <v>0</v>
      </c>
      <c r="AT54" s="79">
        <f t="shared" si="34"/>
        <v>0</v>
      </c>
      <c r="AU54" s="49"/>
      <c r="AV54" s="84"/>
      <c r="AW54" s="81">
        <f t="shared" si="45"/>
        <v>0</v>
      </c>
      <c r="AX54" s="79">
        <f t="shared" si="46"/>
        <v>0</v>
      </c>
      <c r="AY54" s="49"/>
      <c r="AZ54" s="84"/>
      <c r="BA54" s="81">
        <f t="shared" si="47"/>
        <v>0</v>
      </c>
      <c r="BB54" s="79">
        <f t="shared" si="48"/>
        <v>0</v>
      </c>
      <c r="BC54" s="49"/>
      <c r="BD54" s="84"/>
      <c r="BE54" s="81">
        <f t="shared" si="49"/>
        <v>0</v>
      </c>
      <c r="BF54" s="79">
        <f t="shared" si="50"/>
        <v>0</v>
      </c>
      <c r="BG54" s="49"/>
      <c r="BH54" s="84"/>
      <c r="BI54" s="81">
        <f t="shared" si="51"/>
        <v>0</v>
      </c>
      <c r="BJ54" s="79">
        <f t="shared" si="52"/>
        <v>0</v>
      </c>
      <c r="BK54" s="49"/>
      <c r="BL54" s="84"/>
      <c r="BM54" s="81">
        <f t="shared" si="53"/>
        <v>0</v>
      </c>
      <c r="BN54" s="79">
        <f t="shared" si="54"/>
        <v>0</v>
      </c>
      <c r="BO54" s="49"/>
      <c r="BP54" s="84"/>
      <c r="BQ54" s="81">
        <f t="shared" si="55"/>
        <v>0</v>
      </c>
      <c r="BR54" s="79">
        <f t="shared" si="56"/>
        <v>0</v>
      </c>
      <c r="BS54" s="49"/>
      <c r="BT54" s="84"/>
      <c r="BU54" s="81">
        <f t="shared" si="35"/>
        <v>0</v>
      </c>
      <c r="BV54" s="79">
        <f t="shared" si="36"/>
        <v>0</v>
      </c>
      <c r="BW54" s="48">
        <v>240</v>
      </c>
      <c r="BX54" s="84"/>
      <c r="BY54" s="81">
        <f t="shared" si="37"/>
        <v>0</v>
      </c>
      <c r="BZ54" s="79">
        <f t="shared" si="38"/>
        <v>0</v>
      </c>
      <c r="CA54" s="48"/>
      <c r="CB54" s="84"/>
      <c r="CC54" s="81">
        <v>0</v>
      </c>
      <c r="CD54" s="79">
        <v>0</v>
      </c>
      <c r="CE54" s="49"/>
      <c r="CF54" s="84"/>
      <c r="CG54" s="81">
        <f t="shared" si="39"/>
        <v>0</v>
      </c>
      <c r="CH54" s="79">
        <f t="shared" si="40"/>
        <v>0</v>
      </c>
      <c r="CI54" s="33"/>
      <c r="CJ54" s="84"/>
      <c r="CK54" s="81">
        <f t="shared" si="41"/>
        <v>0</v>
      </c>
      <c r="CL54" s="79">
        <f t="shared" si="42"/>
        <v>0</v>
      </c>
      <c r="CM54" s="34"/>
      <c r="CN54" s="34"/>
      <c r="CO54" s="34"/>
      <c r="CP54" s="34"/>
      <c r="CQ54" s="50">
        <f t="shared" si="43"/>
        <v>1</v>
      </c>
      <c r="CR54" s="77">
        <f t="shared" si="44"/>
        <v>0</v>
      </c>
      <c r="CS54" s="28"/>
    </row>
    <row r="55" spans="1:97">
      <c r="A55" s="38" t="s">
        <v>154</v>
      </c>
      <c r="B55" s="56"/>
      <c r="C55" s="31" t="s">
        <v>123</v>
      </c>
      <c r="D55" s="32"/>
      <c r="E55" s="32"/>
      <c r="F55" s="87"/>
      <c r="G55" s="48"/>
      <c r="H55" s="84"/>
      <c r="I55" s="80">
        <f t="shared" si="21"/>
        <v>0</v>
      </c>
      <c r="J55" s="79">
        <f t="shared" si="22"/>
        <v>0</v>
      </c>
      <c r="K55" s="49"/>
      <c r="L55" s="84"/>
      <c r="M55" s="81">
        <f t="shared" si="24"/>
        <v>0</v>
      </c>
      <c r="N55" s="79">
        <f t="shared" si="25"/>
        <v>0</v>
      </c>
      <c r="O55" s="48"/>
      <c r="P55" s="84"/>
      <c r="Q55" s="81">
        <f t="shared" si="26"/>
        <v>0</v>
      </c>
      <c r="R55" s="79">
        <f t="shared" si="27"/>
        <v>0</v>
      </c>
      <c r="S55" s="49"/>
      <c r="T55" s="84"/>
      <c r="U55" s="81">
        <v>0</v>
      </c>
      <c r="V55" s="79">
        <v>0</v>
      </c>
      <c r="W55" s="49"/>
      <c r="X55" s="84"/>
      <c r="Y55" s="81">
        <v>0</v>
      </c>
      <c r="Z55" s="79">
        <v>0</v>
      </c>
      <c r="AA55" s="49"/>
      <c r="AB55" s="84"/>
      <c r="AC55" s="81">
        <v>0</v>
      </c>
      <c r="AD55" s="79">
        <v>0</v>
      </c>
      <c r="AE55" s="49"/>
      <c r="AF55" s="84"/>
      <c r="AG55" s="81">
        <f t="shared" si="23"/>
        <v>0</v>
      </c>
      <c r="AH55" s="79">
        <f t="shared" si="28"/>
        <v>0</v>
      </c>
      <c r="AI55" s="48"/>
      <c r="AJ55" s="84"/>
      <c r="AK55" s="81">
        <f t="shared" si="29"/>
        <v>0</v>
      </c>
      <c r="AL55" s="79">
        <f t="shared" si="30"/>
        <v>0</v>
      </c>
      <c r="AM55" s="48"/>
      <c r="AN55" s="84"/>
      <c r="AO55" s="81">
        <f t="shared" si="31"/>
        <v>0</v>
      </c>
      <c r="AP55" s="79">
        <f t="shared" si="32"/>
        <v>0</v>
      </c>
      <c r="AQ55" s="48"/>
      <c r="AR55" s="84"/>
      <c r="AS55" s="81">
        <f t="shared" si="33"/>
        <v>0</v>
      </c>
      <c r="AT55" s="79">
        <f t="shared" si="34"/>
        <v>0</v>
      </c>
      <c r="AU55" s="49"/>
      <c r="AV55" s="84"/>
      <c r="AW55" s="81">
        <f t="shared" si="45"/>
        <v>0</v>
      </c>
      <c r="AX55" s="79">
        <f t="shared" si="46"/>
        <v>0</v>
      </c>
      <c r="AY55" s="49"/>
      <c r="AZ55" s="84"/>
      <c r="BA55" s="81">
        <f t="shared" si="47"/>
        <v>0</v>
      </c>
      <c r="BB55" s="79">
        <f t="shared" si="48"/>
        <v>0</v>
      </c>
      <c r="BC55" s="49"/>
      <c r="BD55" s="84"/>
      <c r="BE55" s="81">
        <f t="shared" si="49"/>
        <v>0</v>
      </c>
      <c r="BF55" s="79">
        <f t="shared" si="50"/>
        <v>0</v>
      </c>
      <c r="BG55" s="49"/>
      <c r="BH55" s="84"/>
      <c r="BI55" s="81">
        <f t="shared" si="51"/>
        <v>0</v>
      </c>
      <c r="BJ55" s="79">
        <f t="shared" si="52"/>
        <v>0</v>
      </c>
      <c r="BK55" s="49"/>
      <c r="BL55" s="84"/>
      <c r="BM55" s="81">
        <f t="shared" si="53"/>
        <v>0</v>
      </c>
      <c r="BN55" s="79">
        <f t="shared" si="54"/>
        <v>0</v>
      </c>
      <c r="BO55" s="49"/>
      <c r="BP55" s="84"/>
      <c r="BQ55" s="81">
        <f t="shared" si="55"/>
        <v>0</v>
      </c>
      <c r="BR55" s="79">
        <f t="shared" si="56"/>
        <v>0</v>
      </c>
      <c r="BS55" s="49"/>
      <c r="BT55" s="84"/>
      <c r="BU55" s="81">
        <f t="shared" si="35"/>
        <v>0</v>
      </c>
      <c r="BV55" s="79">
        <f t="shared" si="36"/>
        <v>0</v>
      </c>
      <c r="BW55" s="48">
        <v>1920</v>
      </c>
      <c r="BX55" s="84"/>
      <c r="BY55" s="81">
        <f t="shared" si="37"/>
        <v>0</v>
      </c>
      <c r="BZ55" s="79">
        <f t="shared" si="38"/>
        <v>0</v>
      </c>
      <c r="CA55" s="48"/>
      <c r="CB55" s="84"/>
      <c r="CC55" s="81">
        <v>0</v>
      </c>
      <c r="CD55" s="79">
        <v>0</v>
      </c>
      <c r="CE55" s="49"/>
      <c r="CF55" s="84"/>
      <c r="CG55" s="81">
        <f t="shared" si="39"/>
        <v>0</v>
      </c>
      <c r="CH55" s="79">
        <f t="shared" si="40"/>
        <v>0</v>
      </c>
      <c r="CI55" s="33"/>
      <c r="CJ55" s="84"/>
      <c r="CK55" s="81">
        <f t="shared" si="41"/>
        <v>0</v>
      </c>
      <c r="CL55" s="79">
        <f t="shared" si="42"/>
        <v>0</v>
      </c>
      <c r="CM55" s="34"/>
      <c r="CN55" s="34"/>
      <c r="CO55" s="34"/>
      <c r="CP55" s="34"/>
      <c r="CQ55" s="50">
        <f t="shared" si="43"/>
        <v>1</v>
      </c>
      <c r="CR55" s="77">
        <f t="shared" si="44"/>
        <v>0</v>
      </c>
      <c r="CS55" s="28"/>
    </row>
    <row r="56" spans="1:97">
      <c r="A56" s="30" t="s">
        <v>155</v>
      </c>
      <c r="B56" s="47"/>
      <c r="C56" s="63" t="s">
        <v>120</v>
      </c>
      <c r="D56" s="32"/>
      <c r="E56" s="32"/>
      <c r="F56" s="87"/>
      <c r="G56" s="48"/>
      <c r="H56" s="84"/>
      <c r="I56" s="80">
        <f t="shared" si="21"/>
        <v>0</v>
      </c>
      <c r="J56" s="79">
        <f t="shared" si="22"/>
        <v>0</v>
      </c>
      <c r="K56" s="49"/>
      <c r="L56" s="84"/>
      <c r="M56" s="81">
        <f t="shared" si="24"/>
        <v>0</v>
      </c>
      <c r="N56" s="79">
        <f t="shared" si="25"/>
        <v>0</v>
      </c>
      <c r="O56" s="48"/>
      <c r="P56" s="84"/>
      <c r="Q56" s="81">
        <f t="shared" si="26"/>
        <v>0</v>
      </c>
      <c r="R56" s="79">
        <f t="shared" si="27"/>
        <v>0</v>
      </c>
      <c r="S56" s="49"/>
      <c r="T56" s="84"/>
      <c r="U56" s="81">
        <f t="shared" ref="U56:U59" si="57">T56*CQ56</f>
        <v>0</v>
      </c>
      <c r="V56" s="79">
        <f t="shared" ref="V56:V59" si="58">S56*U56</f>
        <v>0</v>
      </c>
      <c r="W56" s="49"/>
      <c r="X56" s="84"/>
      <c r="Y56" s="81">
        <f t="shared" ref="Y56:Y59" si="59">X56*CT56</f>
        <v>0</v>
      </c>
      <c r="Z56" s="79">
        <f t="shared" ref="Z56:Z59" si="60">W56*Y56</f>
        <v>0</v>
      </c>
      <c r="AA56" s="49"/>
      <c r="AB56" s="84"/>
      <c r="AC56" s="81">
        <f t="shared" ref="AC56:AC59" si="61">AB56*CW56</f>
        <v>0</v>
      </c>
      <c r="AD56" s="79">
        <f t="shared" ref="AD56:AD59" si="62">AA56*AC56</f>
        <v>0</v>
      </c>
      <c r="AE56" s="49"/>
      <c r="AF56" s="84"/>
      <c r="AG56" s="81">
        <f t="shared" si="23"/>
        <v>0</v>
      </c>
      <c r="AH56" s="79">
        <f t="shared" si="28"/>
        <v>0</v>
      </c>
      <c r="AI56" s="48"/>
      <c r="AJ56" s="84"/>
      <c r="AK56" s="81">
        <f t="shared" si="29"/>
        <v>0</v>
      </c>
      <c r="AL56" s="79">
        <f t="shared" si="30"/>
        <v>0</v>
      </c>
      <c r="AM56" s="48"/>
      <c r="AN56" s="84"/>
      <c r="AO56" s="81">
        <f t="shared" si="31"/>
        <v>0</v>
      </c>
      <c r="AP56" s="79">
        <f t="shared" si="32"/>
        <v>0</v>
      </c>
      <c r="AQ56" s="48"/>
      <c r="AR56" s="84"/>
      <c r="AS56" s="81">
        <f t="shared" si="33"/>
        <v>0</v>
      </c>
      <c r="AT56" s="79">
        <f t="shared" si="34"/>
        <v>0</v>
      </c>
      <c r="AU56" s="49"/>
      <c r="AV56" s="84"/>
      <c r="AW56" s="81">
        <f t="shared" si="45"/>
        <v>0</v>
      </c>
      <c r="AX56" s="79">
        <f t="shared" si="46"/>
        <v>0</v>
      </c>
      <c r="AY56" s="49"/>
      <c r="AZ56" s="84"/>
      <c r="BA56" s="81">
        <f t="shared" si="47"/>
        <v>0</v>
      </c>
      <c r="BB56" s="79">
        <f t="shared" si="48"/>
        <v>0</v>
      </c>
      <c r="BC56" s="49"/>
      <c r="BD56" s="84"/>
      <c r="BE56" s="81">
        <f t="shared" si="49"/>
        <v>0</v>
      </c>
      <c r="BF56" s="79">
        <f t="shared" si="50"/>
        <v>0</v>
      </c>
      <c r="BG56" s="49"/>
      <c r="BH56" s="84"/>
      <c r="BI56" s="81">
        <f t="shared" si="51"/>
        <v>0</v>
      </c>
      <c r="BJ56" s="79">
        <f t="shared" si="52"/>
        <v>0</v>
      </c>
      <c r="BK56" s="49"/>
      <c r="BL56" s="84"/>
      <c r="BM56" s="81">
        <f t="shared" si="53"/>
        <v>0</v>
      </c>
      <c r="BN56" s="79">
        <f t="shared" si="54"/>
        <v>0</v>
      </c>
      <c r="BO56" s="49"/>
      <c r="BP56" s="84"/>
      <c r="BQ56" s="81">
        <f t="shared" si="55"/>
        <v>0</v>
      </c>
      <c r="BR56" s="79">
        <f t="shared" si="56"/>
        <v>0</v>
      </c>
      <c r="BS56" s="49"/>
      <c r="BT56" s="84"/>
      <c r="BU56" s="81">
        <f t="shared" si="35"/>
        <v>0</v>
      </c>
      <c r="BV56" s="79">
        <f t="shared" si="36"/>
        <v>0</v>
      </c>
      <c r="BW56" s="48">
        <v>240</v>
      </c>
      <c r="BX56" s="84"/>
      <c r="BY56" s="81">
        <f t="shared" si="37"/>
        <v>0</v>
      </c>
      <c r="BZ56" s="79">
        <f t="shared" si="38"/>
        <v>0</v>
      </c>
      <c r="CA56" s="48"/>
      <c r="CB56" s="84"/>
      <c r="CC56" s="81">
        <v>0</v>
      </c>
      <c r="CD56" s="79">
        <v>0</v>
      </c>
      <c r="CE56" s="49"/>
      <c r="CF56" s="84"/>
      <c r="CG56" s="81">
        <f t="shared" si="39"/>
        <v>0</v>
      </c>
      <c r="CH56" s="79">
        <f t="shared" si="40"/>
        <v>0</v>
      </c>
      <c r="CI56" s="33"/>
      <c r="CJ56" s="84"/>
      <c r="CK56" s="81">
        <f t="shared" si="41"/>
        <v>0</v>
      </c>
      <c r="CL56" s="79">
        <f t="shared" si="42"/>
        <v>0</v>
      </c>
      <c r="CM56" s="34"/>
      <c r="CN56" s="34"/>
      <c r="CO56" s="34"/>
      <c r="CP56" s="34"/>
      <c r="CQ56" s="50">
        <f t="shared" si="43"/>
        <v>1</v>
      </c>
      <c r="CR56" s="77">
        <f t="shared" si="44"/>
        <v>0</v>
      </c>
      <c r="CS56" s="28"/>
    </row>
    <row r="57" spans="1:97">
      <c r="A57" s="30" t="s">
        <v>155</v>
      </c>
      <c r="B57" s="47"/>
      <c r="C57" s="31" t="s">
        <v>121</v>
      </c>
      <c r="D57" s="32"/>
      <c r="E57" s="32"/>
      <c r="F57" s="87"/>
      <c r="G57" s="48"/>
      <c r="H57" s="84"/>
      <c r="I57" s="80">
        <f t="shared" si="21"/>
        <v>0</v>
      </c>
      <c r="J57" s="79">
        <f t="shared" si="22"/>
        <v>0</v>
      </c>
      <c r="K57" s="49"/>
      <c r="L57" s="84"/>
      <c r="M57" s="81">
        <f t="shared" si="24"/>
        <v>0</v>
      </c>
      <c r="N57" s="79">
        <f t="shared" si="25"/>
        <v>0</v>
      </c>
      <c r="O57" s="48"/>
      <c r="P57" s="84"/>
      <c r="Q57" s="81">
        <f t="shared" si="26"/>
        <v>0</v>
      </c>
      <c r="R57" s="79">
        <f t="shared" si="27"/>
        <v>0</v>
      </c>
      <c r="S57" s="49"/>
      <c r="T57" s="84"/>
      <c r="U57" s="81">
        <f t="shared" si="57"/>
        <v>0</v>
      </c>
      <c r="V57" s="79">
        <f t="shared" si="58"/>
        <v>0</v>
      </c>
      <c r="W57" s="49"/>
      <c r="X57" s="84"/>
      <c r="Y57" s="81">
        <f t="shared" si="59"/>
        <v>0</v>
      </c>
      <c r="Z57" s="79">
        <f t="shared" si="60"/>
        <v>0</v>
      </c>
      <c r="AA57" s="49"/>
      <c r="AB57" s="84"/>
      <c r="AC57" s="81">
        <f t="shared" si="61"/>
        <v>0</v>
      </c>
      <c r="AD57" s="79">
        <f t="shared" si="62"/>
        <v>0</v>
      </c>
      <c r="AE57" s="49"/>
      <c r="AF57" s="84"/>
      <c r="AG57" s="81">
        <f t="shared" si="23"/>
        <v>0</v>
      </c>
      <c r="AH57" s="79">
        <f t="shared" si="28"/>
        <v>0</v>
      </c>
      <c r="AI57" s="48"/>
      <c r="AJ57" s="84"/>
      <c r="AK57" s="81">
        <f t="shared" si="29"/>
        <v>0</v>
      </c>
      <c r="AL57" s="79">
        <f t="shared" si="30"/>
        <v>0</v>
      </c>
      <c r="AM57" s="48"/>
      <c r="AN57" s="84"/>
      <c r="AO57" s="81">
        <f t="shared" si="31"/>
        <v>0</v>
      </c>
      <c r="AP57" s="79">
        <f t="shared" si="32"/>
        <v>0</v>
      </c>
      <c r="AQ57" s="48"/>
      <c r="AR57" s="84"/>
      <c r="AS57" s="81">
        <f t="shared" si="33"/>
        <v>0</v>
      </c>
      <c r="AT57" s="79">
        <f t="shared" si="34"/>
        <v>0</v>
      </c>
      <c r="AU57" s="49"/>
      <c r="AV57" s="84"/>
      <c r="AW57" s="81">
        <f t="shared" si="45"/>
        <v>0</v>
      </c>
      <c r="AX57" s="79">
        <f t="shared" si="46"/>
        <v>0</v>
      </c>
      <c r="AY57" s="49"/>
      <c r="AZ57" s="84"/>
      <c r="BA57" s="81">
        <f t="shared" si="47"/>
        <v>0</v>
      </c>
      <c r="BB57" s="79">
        <f t="shared" si="48"/>
        <v>0</v>
      </c>
      <c r="BC57" s="49"/>
      <c r="BD57" s="84"/>
      <c r="BE57" s="81">
        <f t="shared" si="49"/>
        <v>0</v>
      </c>
      <c r="BF57" s="79">
        <f t="shared" si="50"/>
        <v>0</v>
      </c>
      <c r="BG57" s="49"/>
      <c r="BH57" s="84"/>
      <c r="BI57" s="81">
        <f t="shared" si="51"/>
        <v>0</v>
      </c>
      <c r="BJ57" s="79">
        <f t="shared" si="52"/>
        <v>0</v>
      </c>
      <c r="BK57" s="49"/>
      <c r="BL57" s="84"/>
      <c r="BM57" s="81">
        <f t="shared" si="53"/>
        <v>0</v>
      </c>
      <c r="BN57" s="79">
        <f t="shared" si="54"/>
        <v>0</v>
      </c>
      <c r="BO57" s="49"/>
      <c r="BP57" s="84"/>
      <c r="BQ57" s="81">
        <f t="shared" si="55"/>
        <v>0</v>
      </c>
      <c r="BR57" s="79">
        <f t="shared" si="56"/>
        <v>0</v>
      </c>
      <c r="BS57" s="49"/>
      <c r="BT57" s="84"/>
      <c r="BU57" s="81">
        <f t="shared" si="35"/>
        <v>0</v>
      </c>
      <c r="BV57" s="79">
        <f t="shared" si="36"/>
        <v>0</v>
      </c>
      <c r="BW57" s="48">
        <v>240</v>
      </c>
      <c r="BX57" s="84"/>
      <c r="BY57" s="81">
        <f t="shared" si="37"/>
        <v>0</v>
      </c>
      <c r="BZ57" s="79">
        <f t="shared" si="38"/>
        <v>0</v>
      </c>
      <c r="CA57" s="48"/>
      <c r="CB57" s="84"/>
      <c r="CC57" s="81">
        <v>0</v>
      </c>
      <c r="CD57" s="79">
        <v>0</v>
      </c>
      <c r="CE57" s="49"/>
      <c r="CF57" s="84"/>
      <c r="CG57" s="81">
        <f t="shared" si="39"/>
        <v>0</v>
      </c>
      <c r="CH57" s="79">
        <f t="shared" si="40"/>
        <v>0</v>
      </c>
      <c r="CI57" s="33"/>
      <c r="CJ57" s="84"/>
      <c r="CK57" s="81">
        <f t="shared" si="41"/>
        <v>0</v>
      </c>
      <c r="CL57" s="79">
        <f t="shared" si="42"/>
        <v>0</v>
      </c>
      <c r="CM57" s="34"/>
      <c r="CN57" s="34"/>
      <c r="CO57" s="34"/>
      <c r="CP57" s="34"/>
      <c r="CQ57" s="50">
        <f t="shared" si="43"/>
        <v>1</v>
      </c>
      <c r="CR57" s="77">
        <f t="shared" si="44"/>
        <v>0</v>
      </c>
      <c r="CS57" s="28"/>
    </row>
    <row r="58" spans="1:97">
      <c r="A58" s="30" t="s">
        <v>156</v>
      </c>
      <c r="B58" s="47"/>
      <c r="C58" s="31" t="s">
        <v>121</v>
      </c>
      <c r="D58" s="32"/>
      <c r="E58" s="32"/>
      <c r="F58" s="87"/>
      <c r="G58" s="48"/>
      <c r="H58" s="84"/>
      <c r="I58" s="80">
        <f t="shared" si="21"/>
        <v>0</v>
      </c>
      <c r="J58" s="79">
        <f t="shared" si="22"/>
        <v>0</v>
      </c>
      <c r="K58" s="49"/>
      <c r="L58" s="84"/>
      <c r="M58" s="81">
        <f t="shared" si="24"/>
        <v>0</v>
      </c>
      <c r="N58" s="79">
        <f t="shared" si="25"/>
        <v>0</v>
      </c>
      <c r="O58" s="48"/>
      <c r="P58" s="84"/>
      <c r="Q58" s="81">
        <f t="shared" si="26"/>
        <v>0</v>
      </c>
      <c r="R58" s="79">
        <f t="shared" si="27"/>
        <v>0</v>
      </c>
      <c r="S58" s="49"/>
      <c r="T58" s="84"/>
      <c r="U58" s="81">
        <f t="shared" si="57"/>
        <v>0</v>
      </c>
      <c r="V58" s="79">
        <f t="shared" si="58"/>
        <v>0</v>
      </c>
      <c r="W58" s="49"/>
      <c r="X58" s="84"/>
      <c r="Y58" s="81">
        <f t="shared" si="59"/>
        <v>0</v>
      </c>
      <c r="Z58" s="79">
        <f t="shared" si="60"/>
        <v>0</v>
      </c>
      <c r="AA58" s="49"/>
      <c r="AB58" s="84"/>
      <c r="AC58" s="81">
        <f t="shared" si="61"/>
        <v>0</v>
      </c>
      <c r="AD58" s="79">
        <f t="shared" si="62"/>
        <v>0</v>
      </c>
      <c r="AE58" s="49"/>
      <c r="AF58" s="84"/>
      <c r="AG58" s="81">
        <f t="shared" si="23"/>
        <v>0</v>
      </c>
      <c r="AH58" s="79">
        <f t="shared" si="28"/>
        <v>0</v>
      </c>
      <c r="AI58" s="48"/>
      <c r="AJ58" s="84"/>
      <c r="AK58" s="81">
        <f t="shared" si="29"/>
        <v>0</v>
      </c>
      <c r="AL58" s="79">
        <f t="shared" si="30"/>
        <v>0</v>
      </c>
      <c r="AM58" s="48"/>
      <c r="AN58" s="84"/>
      <c r="AO58" s="81">
        <f t="shared" si="31"/>
        <v>0</v>
      </c>
      <c r="AP58" s="79">
        <f t="shared" si="32"/>
        <v>0</v>
      </c>
      <c r="AQ58" s="48"/>
      <c r="AR58" s="84"/>
      <c r="AS58" s="81">
        <f t="shared" si="33"/>
        <v>0</v>
      </c>
      <c r="AT58" s="79">
        <f t="shared" si="34"/>
        <v>0</v>
      </c>
      <c r="AU58" s="49"/>
      <c r="AV58" s="84"/>
      <c r="AW58" s="81">
        <f t="shared" si="45"/>
        <v>0</v>
      </c>
      <c r="AX58" s="79">
        <f t="shared" si="46"/>
        <v>0</v>
      </c>
      <c r="AY58" s="49"/>
      <c r="AZ58" s="84"/>
      <c r="BA58" s="81">
        <f t="shared" si="47"/>
        <v>0</v>
      </c>
      <c r="BB58" s="79">
        <f t="shared" si="48"/>
        <v>0</v>
      </c>
      <c r="BC58" s="49"/>
      <c r="BD58" s="84"/>
      <c r="BE58" s="81">
        <f t="shared" si="49"/>
        <v>0</v>
      </c>
      <c r="BF58" s="79">
        <f t="shared" si="50"/>
        <v>0</v>
      </c>
      <c r="BG58" s="49"/>
      <c r="BH58" s="84"/>
      <c r="BI58" s="81">
        <f t="shared" si="51"/>
        <v>0</v>
      </c>
      <c r="BJ58" s="79">
        <f t="shared" si="52"/>
        <v>0</v>
      </c>
      <c r="BK58" s="49"/>
      <c r="BL58" s="84"/>
      <c r="BM58" s="81">
        <f t="shared" si="53"/>
        <v>0</v>
      </c>
      <c r="BN58" s="79">
        <f t="shared" si="54"/>
        <v>0</v>
      </c>
      <c r="BO58" s="49"/>
      <c r="BP58" s="84"/>
      <c r="BQ58" s="81">
        <f t="shared" si="55"/>
        <v>0</v>
      </c>
      <c r="BR58" s="79">
        <f t="shared" si="56"/>
        <v>0</v>
      </c>
      <c r="BS58" s="49"/>
      <c r="BT58" s="84"/>
      <c r="BU58" s="81">
        <f t="shared" si="35"/>
        <v>0</v>
      </c>
      <c r="BV58" s="79">
        <f t="shared" si="36"/>
        <v>0</v>
      </c>
      <c r="BW58" s="48">
        <v>2880</v>
      </c>
      <c r="BX58" s="84"/>
      <c r="BY58" s="81">
        <f t="shared" si="37"/>
        <v>0</v>
      </c>
      <c r="BZ58" s="79">
        <f t="shared" si="38"/>
        <v>0</v>
      </c>
      <c r="CA58" s="48"/>
      <c r="CB58" s="84"/>
      <c r="CC58" s="81">
        <v>0</v>
      </c>
      <c r="CD58" s="79">
        <v>0</v>
      </c>
      <c r="CE58" s="49">
        <v>12480</v>
      </c>
      <c r="CF58" s="84"/>
      <c r="CG58" s="81">
        <f t="shared" si="39"/>
        <v>0</v>
      </c>
      <c r="CH58" s="79">
        <f t="shared" si="40"/>
        <v>0</v>
      </c>
      <c r="CI58" s="33"/>
      <c r="CJ58" s="84"/>
      <c r="CK58" s="81">
        <f t="shared" si="41"/>
        <v>0</v>
      </c>
      <c r="CL58" s="79">
        <f t="shared" si="42"/>
        <v>0</v>
      </c>
      <c r="CM58" s="34"/>
      <c r="CN58" s="34"/>
      <c r="CO58" s="34"/>
      <c r="CP58" s="34"/>
      <c r="CQ58" s="50">
        <f t="shared" si="43"/>
        <v>1</v>
      </c>
      <c r="CR58" s="77">
        <f t="shared" si="44"/>
        <v>0</v>
      </c>
      <c r="CS58" s="28"/>
    </row>
    <row r="59" spans="1:97" ht="15.75" thickBot="1">
      <c r="A59" s="40" t="s">
        <v>157</v>
      </c>
      <c r="B59" s="57"/>
      <c r="C59" s="41" t="s">
        <v>121</v>
      </c>
      <c r="D59" s="42"/>
      <c r="E59" s="42"/>
      <c r="F59" s="88"/>
      <c r="G59" s="58"/>
      <c r="H59" s="85"/>
      <c r="I59" s="80">
        <f t="shared" si="21"/>
        <v>0</v>
      </c>
      <c r="J59" s="79">
        <f t="shared" si="22"/>
        <v>0</v>
      </c>
      <c r="K59" s="59"/>
      <c r="L59" s="85"/>
      <c r="M59" s="82">
        <f t="shared" si="24"/>
        <v>0</v>
      </c>
      <c r="N59" s="79">
        <f t="shared" si="25"/>
        <v>0</v>
      </c>
      <c r="O59" s="58"/>
      <c r="P59" s="85"/>
      <c r="Q59" s="82">
        <f t="shared" si="26"/>
        <v>0</v>
      </c>
      <c r="R59" s="79">
        <f t="shared" si="27"/>
        <v>0</v>
      </c>
      <c r="S59" s="59"/>
      <c r="T59" s="85"/>
      <c r="U59" s="82">
        <f t="shared" si="57"/>
        <v>0</v>
      </c>
      <c r="V59" s="79">
        <f t="shared" si="58"/>
        <v>0</v>
      </c>
      <c r="W59" s="59"/>
      <c r="X59" s="85"/>
      <c r="Y59" s="82">
        <f t="shared" si="59"/>
        <v>0</v>
      </c>
      <c r="Z59" s="79">
        <f t="shared" si="60"/>
        <v>0</v>
      </c>
      <c r="AA59" s="59"/>
      <c r="AB59" s="85"/>
      <c r="AC59" s="82">
        <f t="shared" si="61"/>
        <v>0</v>
      </c>
      <c r="AD59" s="79">
        <f t="shared" si="62"/>
        <v>0</v>
      </c>
      <c r="AE59" s="59"/>
      <c r="AF59" s="85"/>
      <c r="AG59" s="82">
        <f t="shared" si="23"/>
        <v>0</v>
      </c>
      <c r="AH59" s="79">
        <f t="shared" si="28"/>
        <v>0</v>
      </c>
      <c r="AI59" s="58"/>
      <c r="AJ59" s="85"/>
      <c r="AK59" s="82">
        <f t="shared" si="29"/>
        <v>0</v>
      </c>
      <c r="AL59" s="79">
        <f t="shared" si="30"/>
        <v>0</v>
      </c>
      <c r="AM59" s="58"/>
      <c r="AN59" s="85"/>
      <c r="AO59" s="82">
        <f t="shared" si="31"/>
        <v>0</v>
      </c>
      <c r="AP59" s="79">
        <f t="shared" si="32"/>
        <v>0</v>
      </c>
      <c r="AQ59" s="58"/>
      <c r="AR59" s="85"/>
      <c r="AS59" s="82">
        <f t="shared" si="33"/>
        <v>0</v>
      </c>
      <c r="AT59" s="79">
        <f t="shared" si="34"/>
        <v>0</v>
      </c>
      <c r="AU59" s="59"/>
      <c r="AV59" s="85"/>
      <c r="AW59" s="82">
        <f t="shared" si="45"/>
        <v>0</v>
      </c>
      <c r="AX59" s="79">
        <f t="shared" si="46"/>
        <v>0</v>
      </c>
      <c r="AY59" s="59"/>
      <c r="AZ59" s="85"/>
      <c r="BA59" s="82">
        <f t="shared" si="47"/>
        <v>0</v>
      </c>
      <c r="BB59" s="79">
        <f t="shared" si="48"/>
        <v>0</v>
      </c>
      <c r="BC59" s="59"/>
      <c r="BD59" s="85"/>
      <c r="BE59" s="82">
        <f t="shared" si="49"/>
        <v>0</v>
      </c>
      <c r="BF59" s="79">
        <f t="shared" si="50"/>
        <v>0</v>
      </c>
      <c r="BG59" s="59"/>
      <c r="BH59" s="85"/>
      <c r="BI59" s="82">
        <f t="shared" si="51"/>
        <v>0</v>
      </c>
      <c r="BJ59" s="79">
        <f t="shared" si="52"/>
        <v>0</v>
      </c>
      <c r="BK59" s="59"/>
      <c r="BL59" s="85"/>
      <c r="BM59" s="82">
        <f t="shared" si="53"/>
        <v>0</v>
      </c>
      <c r="BN59" s="79">
        <f t="shared" si="54"/>
        <v>0</v>
      </c>
      <c r="BO59" s="59"/>
      <c r="BP59" s="85"/>
      <c r="BQ59" s="82">
        <f t="shared" si="55"/>
        <v>0</v>
      </c>
      <c r="BR59" s="79">
        <f t="shared" si="56"/>
        <v>0</v>
      </c>
      <c r="BS59" s="59"/>
      <c r="BT59" s="85"/>
      <c r="BU59" s="82">
        <f t="shared" si="35"/>
        <v>0</v>
      </c>
      <c r="BV59" s="79">
        <f t="shared" si="36"/>
        <v>0</v>
      </c>
      <c r="BW59" s="58">
        <v>960</v>
      </c>
      <c r="BX59" s="85"/>
      <c r="BY59" s="82">
        <f t="shared" si="37"/>
        <v>0</v>
      </c>
      <c r="BZ59" s="79">
        <f t="shared" si="38"/>
        <v>0</v>
      </c>
      <c r="CA59" s="58"/>
      <c r="CB59" s="85"/>
      <c r="CC59" s="82">
        <f t="shared" ref="CC59" si="63">CB59*CQ59</f>
        <v>0</v>
      </c>
      <c r="CD59" s="79">
        <f t="shared" ref="CD59" si="64">CA59*CC59</f>
        <v>0</v>
      </c>
      <c r="CE59" s="59"/>
      <c r="CF59" s="85"/>
      <c r="CG59" s="82">
        <f t="shared" si="39"/>
        <v>0</v>
      </c>
      <c r="CH59" s="79">
        <f t="shared" si="40"/>
        <v>0</v>
      </c>
      <c r="CI59" s="39"/>
      <c r="CJ59" s="85"/>
      <c r="CK59" s="82">
        <f t="shared" si="41"/>
        <v>0</v>
      </c>
      <c r="CL59" s="79">
        <f t="shared" si="42"/>
        <v>0</v>
      </c>
      <c r="CM59" s="44"/>
      <c r="CN59" s="44"/>
      <c r="CO59" s="44"/>
      <c r="CP59" s="44"/>
      <c r="CQ59" s="60">
        <f t="shared" si="43"/>
        <v>1</v>
      </c>
      <c r="CR59" s="77">
        <f t="shared" si="44"/>
        <v>0</v>
      </c>
      <c r="CS59" s="28"/>
    </row>
    <row r="60" spans="1:97" ht="15.75" thickBot="1">
      <c r="A60" s="45"/>
      <c r="B60" s="45"/>
      <c r="C60" s="45"/>
      <c r="D60" s="45"/>
      <c r="E60" s="45"/>
      <c r="F60" s="45"/>
      <c r="G60" s="45"/>
      <c r="H60" s="45"/>
      <c r="I60" s="45"/>
      <c r="J60" s="78">
        <f>SUM(J11:J59)</f>
        <v>0</v>
      </c>
      <c r="K60" s="45"/>
      <c r="L60" s="45"/>
      <c r="M60" s="45"/>
      <c r="N60" s="78">
        <f>SUM(N11:N59)</f>
        <v>0</v>
      </c>
      <c r="O60" s="45"/>
      <c r="P60" s="45"/>
      <c r="Q60" s="45"/>
      <c r="R60" s="78">
        <f>SUM(R11:R59)</f>
        <v>0</v>
      </c>
      <c r="S60" s="45"/>
      <c r="T60" s="45"/>
      <c r="U60" s="45"/>
      <c r="V60" s="78">
        <f>SUM(V11:V59)</f>
        <v>0</v>
      </c>
      <c r="W60" s="45"/>
      <c r="X60" s="45"/>
      <c r="Y60" s="45"/>
      <c r="Z60" s="78">
        <f>SUM(Z11:Z59)</f>
        <v>0</v>
      </c>
      <c r="AA60" s="45"/>
      <c r="AB60" s="45"/>
      <c r="AC60" s="45"/>
      <c r="AD60" s="78">
        <f>SUM(AD11:AD59)</f>
        <v>0</v>
      </c>
      <c r="AE60" s="45"/>
      <c r="AF60" s="45"/>
      <c r="AG60" s="45"/>
      <c r="AH60" s="78">
        <f>SUM(AH11:AH59)</f>
        <v>0</v>
      </c>
      <c r="AI60" s="45"/>
      <c r="AJ60" s="45"/>
      <c r="AK60" s="45"/>
      <c r="AL60" s="78">
        <f>SUM(AL11:AL59)</f>
        <v>0</v>
      </c>
      <c r="AM60" s="45"/>
      <c r="AN60" s="45"/>
      <c r="AO60" s="45"/>
      <c r="AP60" s="78">
        <f>SUM(AP11:AP59)</f>
        <v>0</v>
      </c>
      <c r="AQ60" s="45"/>
      <c r="AR60" s="45"/>
      <c r="AS60" s="45"/>
      <c r="AT60" s="78">
        <f>SUM(AT11:AT59)</f>
        <v>0</v>
      </c>
      <c r="AU60" s="45"/>
      <c r="AV60" s="45"/>
      <c r="AW60" s="45"/>
      <c r="AX60" s="78">
        <f>SUM(AX11:AX59)</f>
        <v>0</v>
      </c>
      <c r="AY60" s="45"/>
      <c r="AZ60" s="45"/>
      <c r="BA60" s="45"/>
      <c r="BB60" s="78">
        <f>SUM(BB11:BB59)</f>
        <v>0</v>
      </c>
      <c r="BC60" s="45"/>
      <c r="BD60" s="45"/>
      <c r="BE60" s="45"/>
      <c r="BF60" s="78">
        <f>SUM(BF11:BF59)</f>
        <v>0</v>
      </c>
      <c r="BG60" s="45"/>
      <c r="BH60" s="45"/>
      <c r="BI60" s="45"/>
      <c r="BJ60" s="78">
        <f>SUM(BJ11:BJ59)</f>
        <v>0</v>
      </c>
      <c r="BK60" s="45"/>
      <c r="BL60" s="45"/>
      <c r="BM60" s="45"/>
      <c r="BN60" s="78">
        <f>SUM(BN11:BN59)</f>
        <v>0</v>
      </c>
      <c r="BO60" s="45"/>
      <c r="BP60" s="45"/>
      <c r="BQ60" s="45"/>
      <c r="BR60" s="78">
        <f>SUM(BR11:BR59)</f>
        <v>0</v>
      </c>
      <c r="BS60" s="45"/>
      <c r="BT60" s="45"/>
      <c r="BU60" s="45"/>
      <c r="BV60" s="78">
        <f>SUM(BV11:BV59)</f>
        <v>0</v>
      </c>
      <c r="BW60" s="45"/>
      <c r="BX60" s="45"/>
      <c r="BY60" s="45"/>
      <c r="BZ60" s="78">
        <f>SUM(BZ11:BZ59)</f>
        <v>0</v>
      </c>
      <c r="CA60" s="45"/>
      <c r="CB60" s="45"/>
      <c r="CC60" s="45"/>
      <c r="CD60" s="78">
        <f>SUM(CD11:CD59)</f>
        <v>0</v>
      </c>
      <c r="CE60" s="45"/>
      <c r="CF60" s="45"/>
      <c r="CG60" s="45"/>
      <c r="CH60" s="78">
        <f>SUM(CH11:CH59)</f>
        <v>0</v>
      </c>
      <c r="CI60" s="45"/>
      <c r="CJ60" s="45"/>
      <c r="CK60" s="45"/>
      <c r="CL60" s="78">
        <f>SUM(CL11:CL59)</f>
        <v>0</v>
      </c>
      <c r="CM60" s="45"/>
      <c r="CN60" s="45"/>
      <c r="CO60" s="131" t="s">
        <v>158</v>
      </c>
      <c r="CP60" s="132"/>
      <c r="CQ60" s="133"/>
      <c r="CR60" s="106">
        <f>SUM(CR11:CR59)</f>
        <v>0</v>
      </c>
    </row>
    <row r="61" spans="1:97" ht="24" thickBot="1">
      <c r="A61" s="93" t="s">
        <v>159</v>
      </c>
      <c r="B61" s="96" t="s">
        <v>160</v>
      </c>
      <c r="C61" s="95" t="s">
        <v>208</v>
      </c>
    </row>
    <row r="62" spans="1:97">
      <c r="A62" s="94" t="s">
        <v>200</v>
      </c>
      <c r="B62" s="97">
        <f>J60</f>
        <v>0</v>
      </c>
      <c r="C62" s="104" t="e">
        <f>(B62/'Proposal Summary'!$D$16)</f>
        <v>#DIV/0!</v>
      </c>
    </row>
    <row r="63" spans="1:97">
      <c r="A63" s="91" t="s">
        <v>163</v>
      </c>
      <c r="B63" s="99">
        <f>N60</f>
        <v>0</v>
      </c>
      <c r="C63" s="104" t="e">
        <f>(B63/'Proposal Summary'!$D$16)</f>
        <v>#DIV/0!</v>
      </c>
    </row>
    <row r="64" spans="1:97">
      <c r="A64" s="91" t="s">
        <v>164</v>
      </c>
      <c r="B64" s="99">
        <f>R60</f>
        <v>0</v>
      </c>
      <c r="C64" s="104" t="e">
        <f>(B64/'Proposal Summary'!$D$16)</f>
        <v>#DIV/0!</v>
      </c>
    </row>
    <row r="65" spans="1:3">
      <c r="A65" s="91" t="s">
        <v>165</v>
      </c>
      <c r="B65" s="99">
        <f>V60</f>
        <v>0</v>
      </c>
      <c r="C65" s="104" t="e">
        <f>(B65/'Proposal Summary'!$D$16)</f>
        <v>#DIV/0!</v>
      </c>
    </row>
    <row r="66" spans="1:3">
      <c r="A66" s="91" t="s">
        <v>166</v>
      </c>
      <c r="B66" s="99">
        <f>Z60</f>
        <v>0</v>
      </c>
      <c r="C66" s="104" t="e">
        <f>(B66/'Proposal Summary'!$D$16)</f>
        <v>#DIV/0!</v>
      </c>
    </row>
    <row r="67" spans="1:3">
      <c r="A67" s="91" t="s">
        <v>167</v>
      </c>
      <c r="B67" s="99">
        <f>AD60</f>
        <v>0</v>
      </c>
      <c r="C67" s="104" t="e">
        <f>(B67/'Proposal Summary'!$D$16)</f>
        <v>#DIV/0!</v>
      </c>
    </row>
    <row r="68" spans="1:3">
      <c r="A68" s="91" t="s">
        <v>168</v>
      </c>
      <c r="B68" s="99">
        <f>AH60</f>
        <v>0</v>
      </c>
      <c r="C68" s="104" t="e">
        <f>(B68/'Proposal Summary'!$D$16)</f>
        <v>#DIV/0!</v>
      </c>
    </row>
    <row r="69" spans="1:3">
      <c r="A69" s="91" t="s">
        <v>169</v>
      </c>
      <c r="B69" s="99">
        <f>AL60</f>
        <v>0</v>
      </c>
      <c r="C69" s="104" t="e">
        <f>(B69/'Proposal Summary'!$D$16)</f>
        <v>#DIV/0!</v>
      </c>
    </row>
    <row r="70" spans="1:3">
      <c r="A70" s="91" t="s">
        <v>170</v>
      </c>
      <c r="B70" s="99">
        <f>AP60</f>
        <v>0</v>
      </c>
      <c r="C70" s="104" t="e">
        <f>(B70/'Proposal Summary'!$D$16)</f>
        <v>#DIV/0!</v>
      </c>
    </row>
    <row r="71" spans="1:3">
      <c r="A71" s="91" t="s">
        <v>171</v>
      </c>
      <c r="B71" s="99">
        <f>AT60</f>
        <v>0</v>
      </c>
      <c r="C71" s="104" t="e">
        <f>(B71/'Proposal Summary'!$D$16)</f>
        <v>#DIV/0!</v>
      </c>
    </row>
    <row r="72" spans="1:3">
      <c r="A72" s="91" t="s">
        <v>172</v>
      </c>
      <c r="B72" s="99">
        <f>AX60</f>
        <v>0</v>
      </c>
      <c r="C72" s="104" t="e">
        <f>(B72/'Proposal Summary'!$D$16)</f>
        <v>#DIV/0!</v>
      </c>
    </row>
    <row r="73" spans="1:3">
      <c r="A73" s="91" t="s">
        <v>173</v>
      </c>
      <c r="B73" s="99">
        <f>BB60</f>
        <v>0</v>
      </c>
      <c r="C73" s="104" t="e">
        <f>(B73/'Proposal Summary'!$D$16)</f>
        <v>#DIV/0!</v>
      </c>
    </row>
    <row r="74" spans="1:3">
      <c r="A74" s="91" t="s">
        <v>174</v>
      </c>
      <c r="B74" s="99">
        <f>BF60</f>
        <v>0</v>
      </c>
      <c r="C74" s="104" t="e">
        <f>(B74/'Proposal Summary'!$D$16)</f>
        <v>#DIV/0!</v>
      </c>
    </row>
    <row r="75" spans="1:3">
      <c r="A75" s="91" t="s">
        <v>175</v>
      </c>
      <c r="B75" s="99">
        <f>BJ60</f>
        <v>0</v>
      </c>
      <c r="C75" s="104" t="e">
        <f>(B75/'Proposal Summary'!$D$16)</f>
        <v>#DIV/0!</v>
      </c>
    </row>
    <row r="76" spans="1:3">
      <c r="A76" s="91" t="s">
        <v>176</v>
      </c>
      <c r="B76" s="99">
        <f>BN60</f>
        <v>0</v>
      </c>
      <c r="C76" s="104" t="e">
        <f>(B76/'Proposal Summary'!$D$16)</f>
        <v>#DIV/0!</v>
      </c>
    </row>
    <row r="77" spans="1:3">
      <c r="A77" s="91" t="s">
        <v>177</v>
      </c>
      <c r="B77" s="99">
        <f>BR60</f>
        <v>0</v>
      </c>
      <c r="C77" s="104" t="e">
        <f>(B77/'Proposal Summary'!$D$16)</f>
        <v>#DIV/0!</v>
      </c>
    </row>
    <row r="78" spans="1:3">
      <c r="A78" s="91" t="s">
        <v>178</v>
      </c>
      <c r="B78" s="99">
        <f>BV60</f>
        <v>0</v>
      </c>
      <c r="C78" s="104" t="e">
        <f>(B78/'Proposal Summary'!$D$16)</f>
        <v>#DIV/0!</v>
      </c>
    </row>
    <row r="79" spans="1:3">
      <c r="A79" s="91" t="s">
        <v>179</v>
      </c>
      <c r="B79" s="99">
        <f>BZ60</f>
        <v>0</v>
      </c>
      <c r="C79" s="104" t="e">
        <f>(B79/'Proposal Summary'!$D$16)</f>
        <v>#DIV/0!</v>
      </c>
    </row>
    <row r="80" spans="1:3">
      <c r="A80" s="91" t="s">
        <v>180</v>
      </c>
      <c r="B80" s="99">
        <f>CD60</f>
        <v>0</v>
      </c>
      <c r="C80" s="104" t="e">
        <f>(B80/'Proposal Summary'!$D$16)</f>
        <v>#DIV/0!</v>
      </c>
    </row>
    <row r="81" spans="1:3">
      <c r="A81" s="91" t="s">
        <v>181</v>
      </c>
      <c r="B81" s="99">
        <f>CH60</f>
        <v>0</v>
      </c>
      <c r="C81" s="104" t="e">
        <f>(B81/'Proposal Summary'!$D$16)</f>
        <v>#DIV/0!</v>
      </c>
    </row>
    <row r="82" spans="1:3">
      <c r="A82" s="91" t="s">
        <v>182</v>
      </c>
      <c r="B82" s="99">
        <f>CL60</f>
        <v>0</v>
      </c>
      <c r="C82" s="104" t="e">
        <f>(B82/'Proposal Summary'!$D$16)</f>
        <v>#DIV/0!</v>
      </c>
    </row>
  </sheetData>
  <mergeCells count="2">
    <mergeCell ref="A1:B1"/>
    <mergeCell ref="CO60:CQ60"/>
  </mergeCells>
  <dataValidations count="1">
    <dataValidation type="list" allowBlank="1" showInputMessage="1" showErrorMessage="1" sqref="D11:E59" xr:uid="{624858F5-94E1-4F59-88E3-62DEFD421E6C}">
      <formula1>"Yes, No"</formula1>
    </dataValidation>
  </dataValidations>
  <pageMargins left="0.25" right="0.25" top="0.75" bottom="0.75" header="0.3" footer="0.3"/>
  <pageSetup paperSize="5" scale="10" fitToHeight="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F177-6821-4F46-957D-AA38476D4786}">
  <dimension ref="A1:B128"/>
  <sheetViews>
    <sheetView topLeftCell="A108" workbookViewId="0"/>
  </sheetViews>
  <sheetFormatPr defaultRowHeight="15"/>
  <cols>
    <col min="2" max="2" width="51" customWidth="1"/>
  </cols>
  <sheetData>
    <row r="1" spans="1:2" ht="18.75">
      <c r="A1" s="115"/>
      <c r="B1" s="109" t="s">
        <v>209</v>
      </c>
    </row>
    <row r="2" spans="1:2">
      <c r="A2" s="110" t="s">
        <v>210</v>
      </c>
      <c r="B2" s="110" t="s">
        <v>211</v>
      </c>
    </row>
    <row r="3" spans="1:2">
      <c r="A3" s="90" t="s">
        <v>212</v>
      </c>
      <c r="B3" s="111" t="s">
        <v>213</v>
      </c>
    </row>
    <row r="4" spans="1:2">
      <c r="A4" s="90" t="s">
        <v>214</v>
      </c>
      <c r="B4" s="111" t="s">
        <v>215</v>
      </c>
    </row>
    <row r="5" spans="1:2">
      <c r="A5" s="90" t="s">
        <v>216</v>
      </c>
      <c r="B5" s="111" t="s">
        <v>217</v>
      </c>
    </row>
    <row r="6" spans="1:2">
      <c r="A6" s="90" t="s">
        <v>218</v>
      </c>
      <c r="B6" s="111" t="s">
        <v>219</v>
      </c>
    </row>
    <row r="7" spans="1:2">
      <c r="A7" s="90" t="s">
        <v>220</v>
      </c>
      <c r="B7" s="111" t="s">
        <v>221</v>
      </c>
    </row>
    <row r="8" spans="1:2">
      <c r="A8" s="90" t="s">
        <v>222</v>
      </c>
      <c r="B8" s="111" t="s">
        <v>223</v>
      </c>
    </row>
    <row r="9" spans="1:2">
      <c r="A9" s="90" t="s">
        <v>224</v>
      </c>
      <c r="B9" s="111" t="s">
        <v>225</v>
      </c>
    </row>
    <row r="10" spans="1:2">
      <c r="A10" s="90" t="s">
        <v>226</v>
      </c>
      <c r="B10" s="111" t="s">
        <v>227</v>
      </c>
    </row>
    <row r="11" spans="1:2">
      <c r="A11" s="90" t="s">
        <v>228</v>
      </c>
      <c r="B11" s="111" t="s">
        <v>229</v>
      </c>
    </row>
    <row r="12" spans="1:2">
      <c r="A12" s="90" t="s">
        <v>230</v>
      </c>
      <c r="B12" s="111" t="s">
        <v>231</v>
      </c>
    </row>
    <row r="13" spans="1:2">
      <c r="A13" s="90" t="s">
        <v>232</v>
      </c>
      <c r="B13" s="111" t="s">
        <v>233</v>
      </c>
    </row>
    <row r="14" spans="1:2">
      <c r="A14" s="90" t="s">
        <v>234</v>
      </c>
      <c r="B14" s="111" t="s">
        <v>235</v>
      </c>
    </row>
    <row r="15" spans="1:2">
      <c r="A15" s="90" t="s">
        <v>236</v>
      </c>
      <c r="B15" s="111" t="s">
        <v>237</v>
      </c>
    </row>
    <row r="16" spans="1:2">
      <c r="A16" s="90" t="s">
        <v>238</v>
      </c>
      <c r="B16" s="111" t="s">
        <v>239</v>
      </c>
    </row>
    <row r="17" spans="1:2">
      <c r="A17" s="90" t="s">
        <v>240</v>
      </c>
      <c r="B17" s="111" t="s">
        <v>241</v>
      </c>
    </row>
    <row r="18" spans="1:2">
      <c r="A18" s="90" t="s">
        <v>242</v>
      </c>
      <c r="B18" s="111" t="s">
        <v>243</v>
      </c>
    </row>
    <row r="19" spans="1:2">
      <c r="A19" s="110" t="s">
        <v>210</v>
      </c>
      <c r="B19" s="110" t="s">
        <v>244</v>
      </c>
    </row>
    <row r="20" spans="1:2">
      <c r="A20" s="90" t="s">
        <v>245</v>
      </c>
      <c r="B20" s="90" t="s">
        <v>246</v>
      </c>
    </row>
    <row r="21" spans="1:2">
      <c r="A21" s="90" t="s">
        <v>247</v>
      </c>
      <c r="B21" s="90" t="s">
        <v>248</v>
      </c>
    </row>
    <row r="22" spans="1:2">
      <c r="A22" s="110" t="s">
        <v>210</v>
      </c>
      <c r="B22" s="110" t="s">
        <v>249</v>
      </c>
    </row>
    <row r="23" spans="1:2">
      <c r="A23" s="90" t="s">
        <v>250</v>
      </c>
      <c r="B23" s="90" t="s">
        <v>251</v>
      </c>
    </row>
    <row r="24" spans="1:2">
      <c r="A24" s="90" t="s">
        <v>252</v>
      </c>
      <c r="B24" s="90" t="s">
        <v>253</v>
      </c>
    </row>
    <row r="25" spans="1:2">
      <c r="A25" s="90" t="s">
        <v>254</v>
      </c>
      <c r="B25" s="90" t="s">
        <v>255</v>
      </c>
    </row>
    <row r="26" spans="1:2">
      <c r="A26" s="90" t="s">
        <v>256</v>
      </c>
      <c r="B26" s="90" t="s">
        <v>257</v>
      </c>
    </row>
    <row r="27" spans="1:2">
      <c r="A27" s="90" t="s">
        <v>258</v>
      </c>
      <c r="B27" s="90" t="s">
        <v>259</v>
      </c>
    </row>
    <row r="28" spans="1:2">
      <c r="A28" s="90" t="s">
        <v>260</v>
      </c>
      <c r="B28" s="90" t="s">
        <v>261</v>
      </c>
    </row>
    <row r="29" spans="1:2">
      <c r="A29" s="90" t="s">
        <v>262</v>
      </c>
      <c r="B29" s="90" t="s">
        <v>263</v>
      </c>
    </row>
    <row r="30" spans="1:2">
      <c r="A30" s="90" t="s">
        <v>264</v>
      </c>
      <c r="B30" s="90" t="s">
        <v>265</v>
      </c>
    </row>
    <row r="31" spans="1:2">
      <c r="A31" s="90" t="s">
        <v>266</v>
      </c>
      <c r="B31" s="90" t="s">
        <v>267</v>
      </c>
    </row>
    <row r="32" spans="1:2">
      <c r="A32" s="90" t="s">
        <v>268</v>
      </c>
      <c r="B32" s="90" t="s">
        <v>269</v>
      </c>
    </row>
    <row r="33" spans="1:2">
      <c r="A33" s="110" t="s">
        <v>210</v>
      </c>
      <c r="B33" s="110" t="s">
        <v>270</v>
      </c>
    </row>
    <row r="34" spans="1:2">
      <c r="A34" s="90" t="s">
        <v>271</v>
      </c>
      <c r="B34" s="90" t="s">
        <v>272</v>
      </c>
    </row>
    <row r="35" spans="1:2">
      <c r="A35" s="90" t="s">
        <v>273</v>
      </c>
      <c r="B35" s="90" t="s">
        <v>274</v>
      </c>
    </row>
    <row r="36" spans="1:2">
      <c r="A36" s="110" t="s">
        <v>210</v>
      </c>
      <c r="B36" s="110" t="s">
        <v>275</v>
      </c>
    </row>
    <row r="37" spans="1:2">
      <c r="A37" s="90" t="s">
        <v>276</v>
      </c>
      <c r="B37" s="90" t="s">
        <v>277</v>
      </c>
    </row>
    <row r="38" spans="1:2">
      <c r="A38" s="110" t="s">
        <v>210</v>
      </c>
      <c r="B38" s="110" t="s">
        <v>278</v>
      </c>
    </row>
    <row r="39" spans="1:2">
      <c r="A39" s="90" t="s">
        <v>279</v>
      </c>
      <c r="B39" s="90" t="s">
        <v>280</v>
      </c>
    </row>
    <row r="40" spans="1:2">
      <c r="A40" s="110" t="s">
        <v>210</v>
      </c>
      <c r="B40" s="110" t="s">
        <v>281</v>
      </c>
    </row>
    <row r="41" spans="1:2">
      <c r="A41" s="90" t="s">
        <v>282</v>
      </c>
      <c r="B41" s="90" t="s">
        <v>283</v>
      </c>
    </row>
    <row r="42" spans="1:2">
      <c r="A42" s="110" t="s">
        <v>210</v>
      </c>
      <c r="B42" s="110" t="s">
        <v>284</v>
      </c>
    </row>
    <row r="43" spans="1:2">
      <c r="A43" s="90" t="s">
        <v>285</v>
      </c>
      <c r="B43" s="90" t="s">
        <v>286</v>
      </c>
    </row>
    <row r="44" spans="1:2">
      <c r="A44" s="90" t="s">
        <v>287</v>
      </c>
      <c r="B44" s="90" t="s">
        <v>286</v>
      </c>
    </row>
    <row r="45" spans="1:2">
      <c r="A45" s="90" t="s">
        <v>288</v>
      </c>
      <c r="B45" s="90" t="s">
        <v>286</v>
      </c>
    </row>
    <row r="46" spans="1:2">
      <c r="A46" s="90" t="s">
        <v>289</v>
      </c>
      <c r="B46" s="90" t="s">
        <v>286</v>
      </c>
    </row>
    <row r="47" spans="1:2">
      <c r="A47" s="110" t="s">
        <v>210</v>
      </c>
      <c r="B47" s="110" t="s">
        <v>290</v>
      </c>
    </row>
    <row r="48" spans="1:2">
      <c r="A48" s="90" t="s">
        <v>291</v>
      </c>
      <c r="B48" s="115" t="s">
        <v>292</v>
      </c>
    </row>
    <row r="49" spans="1:2">
      <c r="A49" s="110" t="s">
        <v>210</v>
      </c>
      <c r="B49" s="110" t="s">
        <v>293</v>
      </c>
    </row>
    <row r="50" spans="1:2">
      <c r="A50" s="90" t="s">
        <v>294</v>
      </c>
      <c r="B50" s="90" t="s">
        <v>295</v>
      </c>
    </row>
    <row r="51" spans="1:2">
      <c r="A51" s="90" t="s">
        <v>296</v>
      </c>
      <c r="B51" s="90" t="s">
        <v>297</v>
      </c>
    </row>
    <row r="52" spans="1:2">
      <c r="A52" s="90" t="s">
        <v>298</v>
      </c>
      <c r="B52" s="90" t="s">
        <v>299</v>
      </c>
    </row>
    <row r="53" spans="1:2">
      <c r="A53" s="90" t="s">
        <v>300</v>
      </c>
      <c r="B53" s="112" t="s">
        <v>301</v>
      </c>
    </row>
    <row r="54" spans="1:2">
      <c r="A54" s="110" t="s">
        <v>210</v>
      </c>
      <c r="B54" s="110" t="s">
        <v>302</v>
      </c>
    </row>
    <row r="55" spans="1:2">
      <c r="A55" s="90" t="s">
        <v>303</v>
      </c>
      <c r="B55" s="90" t="s">
        <v>304</v>
      </c>
    </row>
    <row r="56" spans="1:2">
      <c r="A56" s="90" t="s">
        <v>305</v>
      </c>
      <c r="B56" s="90" t="s">
        <v>306</v>
      </c>
    </row>
    <row r="57" spans="1:2">
      <c r="A57" s="110" t="s">
        <v>210</v>
      </c>
      <c r="B57" s="110" t="s">
        <v>307</v>
      </c>
    </row>
    <row r="58" spans="1:2">
      <c r="A58" s="90" t="s">
        <v>308</v>
      </c>
      <c r="B58" s="90" t="s">
        <v>309</v>
      </c>
    </row>
    <row r="59" spans="1:2">
      <c r="A59" s="110" t="s">
        <v>210</v>
      </c>
      <c r="B59" s="110" t="s">
        <v>310</v>
      </c>
    </row>
    <row r="60" spans="1:2">
      <c r="A60" s="90" t="s">
        <v>311</v>
      </c>
      <c r="B60" s="90" t="s">
        <v>312</v>
      </c>
    </row>
    <row r="61" spans="1:2">
      <c r="A61" s="90" t="s">
        <v>313</v>
      </c>
      <c r="B61" s="113" t="s">
        <v>314</v>
      </c>
    </row>
    <row r="62" spans="1:2">
      <c r="A62" s="90" t="s">
        <v>315</v>
      </c>
      <c r="B62" s="113" t="s">
        <v>316</v>
      </c>
    </row>
    <row r="63" spans="1:2">
      <c r="A63" s="90" t="s">
        <v>317</v>
      </c>
      <c r="B63" s="113" t="s">
        <v>318</v>
      </c>
    </row>
    <row r="64" spans="1:2">
      <c r="A64" s="90" t="s">
        <v>319</v>
      </c>
      <c r="B64" s="113" t="s">
        <v>320</v>
      </c>
    </row>
    <row r="65" spans="1:2">
      <c r="A65" s="90" t="s">
        <v>321</v>
      </c>
      <c r="B65" s="113" t="s">
        <v>322</v>
      </c>
    </row>
    <row r="66" spans="1:2">
      <c r="A66" s="90" t="s">
        <v>323</v>
      </c>
      <c r="B66" s="113" t="s">
        <v>324</v>
      </c>
    </row>
    <row r="67" spans="1:2">
      <c r="A67" s="90" t="s">
        <v>325</v>
      </c>
      <c r="B67" s="113" t="s">
        <v>326</v>
      </c>
    </row>
    <row r="68" spans="1:2">
      <c r="A68" s="90" t="s">
        <v>327</v>
      </c>
      <c r="B68" s="113" t="s">
        <v>328</v>
      </c>
    </row>
    <row r="69" spans="1:2">
      <c r="A69" s="90" t="s">
        <v>329</v>
      </c>
      <c r="B69" s="113" t="s">
        <v>330</v>
      </c>
    </row>
    <row r="70" spans="1:2">
      <c r="A70" s="90" t="s">
        <v>331</v>
      </c>
      <c r="B70" s="113" t="s">
        <v>332</v>
      </c>
    </row>
    <row r="71" spans="1:2">
      <c r="A71" s="90" t="s">
        <v>333</v>
      </c>
      <c r="B71" s="113" t="s">
        <v>334</v>
      </c>
    </row>
    <row r="72" spans="1:2">
      <c r="A72" s="90" t="s">
        <v>335</v>
      </c>
      <c r="B72" s="113" t="s">
        <v>336</v>
      </c>
    </row>
    <row r="73" spans="1:2">
      <c r="A73" s="90" t="s">
        <v>337</v>
      </c>
      <c r="B73" s="113" t="s">
        <v>338</v>
      </c>
    </row>
    <row r="74" spans="1:2">
      <c r="A74" s="90" t="s">
        <v>339</v>
      </c>
      <c r="B74" s="113" t="s">
        <v>340</v>
      </c>
    </row>
    <row r="75" spans="1:2">
      <c r="A75" s="90" t="s">
        <v>341</v>
      </c>
      <c r="B75" s="113" t="s">
        <v>342</v>
      </c>
    </row>
    <row r="76" spans="1:2">
      <c r="A76" s="90" t="s">
        <v>343</v>
      </c>
      <c r="B76" s="113" t="s">
        <v>344</v>
      </c>
    </row>
    <row r="77" spans="1:2">
      <c r="A77" s="90" t="s">
        <v>345</v>
      </c>
      <c r="B77" s="113" t="s">
        <v>346</v>
      </c>
    </row>
    <row r="78" spans="1:2">
      <c r="A78" s="90" t="s">
        <v>347</v>
      </c>
      <c r="B78" s="113" t="s">
        <v>348</v>
      </c>
    </row>
    <row r="79" spans="1:2">
      <c r="A79" s="90" t="s">
        <v>349</v>
      </c>
      <c r="B79" s="113" t="s">
        <v>350</v>
      </c>
    </row>
    <row r="80" spans="1:2">
      <c r="A80" s="90" t="s">
        <v>351</v>
      </c>
      <c r="B80" s="113" t="s">
        <v>352</v>
      </c>
    </row>
    <row r="81" spans="1:2">
      <c r="A81" s="90" t="s">
        <v>353</v>
      </c>
      <c r="B81" s="113" t="s">
        <v>354</v>
      </c>
    </row>
    <row r="82" spans="1:2">
      <c r="A82" s="90" t="s">
        <v>355</v>
      </c>
      <c r="B82" s="113" t="s">
        <v>356</v>
      </c>
    </row>
    <row r="83" spans="1:2">
      <c r="A83" s="90" t="s">
        <v>357</v>
      </c>
      <c r="B83" s="113" t="s">
        <v>358</v>
      </c>
    </row>
    <row r="84" spans="1:2">
      <c r="A84" s="90" t="s">
        <v>359</v>
      </c>
      <c r="B84" s="114" t="s">
        <v>360</v>
      </c>
    </row>
    <row r="85" spans="1:2">
      <c r="A85" s="90" t="s">
        <v>361</v>
      </c>
      <c r="B85" s="113" t="s">
        <v>362</v>
      </c>
    </row>
    <row r="86" spans="1:2">
      <c r="A86" s="90" t="s">
        <v>363</v>
      </c>
      <c r="B86" s="113" t="s">
        <v>364</v>
      </c>
    </row>
    <row r="87" spans="1:2">
      <c r="A87" s="90" t="s">
        <v>365</v>
      </c>
      <c r="B87" s="113" t="s">
        <v>366</v>
      </c>
    </row>
    <row r="88" spans="1:2">
      <c r="A88" s="90" t="s">
        <v>367</v>
      </c>
      <c r="B88" s="113" t="s">
        <v>368</v>
      </c>
    </row>
    <row r="89" spans="1:2">
      <c r="A89" s="90" t="s">
        <v>369</v>
      </c>
      <c r="B89" s="113" t="s">
        <v>370</v>
      </c>
    </row>
    <row r="90" spans="1:2">
      <c r="A90" s="90" t="s">
        <v>371</v>
      </c>
      <c r="B90" s="113" t="s">
        <v>372</v>
      </c>
    </row>
    <row r="91" spans="1:2">
      <c r="A91" s="90" t="s">
        <v>373</v>
      </c>
      <c r="B91" s="113" t="s">
        <v>374</v>
      </c>
    </row>
    <row r="92" spans="1:2">
      <c r="A92" s="90" t="s">
        <v>375</v>
      </c>
      <c r="B92" s="113" t="s">
        <v>376</v>
      </c>
    </row>
    <row r="93" spans="1:2">
      <c r="A93" s="90" t="s">
        <v>377</v>
      </c>
      <c r="B93" s="113" t="s">
        <v>378</v>
      </c>
    </row>
    <row r="94" spans="1:2">
      <c r="A94" s="90" t="s">
        <v>379</v>
      </c>
      <c r="B94" s="113" t="s">
        <v>380</v>
      </c>
    </row>
    <row r="95" spans="1:2">
      <c r="A95" s="90" t="s">
        <v>381</v>
      </c>
      <c r="B95" s="113" t="s">
        <v>382</v>
      </c>
    </row>
    <row r="96" spans="1:2">
      <c r="A96" s="90" t="s">
        <v>383</v>
      </c>
      <c r="B96" s="113" t="s">
        <v>384</v>
      </c>
    </row>
    <row r="97" spans="1:2">
      <c r="A97" s="90" t="s">
        <v>385</v>
      </c>
      <c r="B97" s="113" t="s">
        <v>386</v>
      </c>
    </row>
    <row r="98" spans="1:2">
      <c r="A98" s="90" t="s">
        <v>387</v>
      </c>
      <c r="B98" s="113" t="s">
        <v>388</v>
      </c>
    </row>
    <row r="99" spans="1:2">
      <c r="A99" s="90" t="s">
        <v>389</v>
      </c>
      <c r="B99" s="113" t="s">
        <v>390</v>
      </c>
    </row>
    <row r="100" spans="1:2">
      <c r="A100" s="90" t="s">
        <v>391</v>
      </c>
      <c r="B100" s="113" t="s">
        <v>392</v>
      </c>
    </row>
    <row r="101" spans="1:2">
      <c r="A101" s="90" t="s">
        <v>393</v>
      </c>
      <c r="B101" s="113" t="s">
        <v>394</v>
      </c>
    </row>
    <row r="102" spans="1:2">
      <c r="A102" s="90" t="s">
        <v>395</v>
      </c>
      <c r="B102" s="113" t="s">
        <v>396</v>
      </c>
    </row>
    <row r="103" spans="1:2">
      <c r="A103" s="90" t="s">
        <v>397</v>
      </c>
      <c r="B103" s="113" t="s">
        <v>398</v>
      </c>
    </row>
    <row r="104" spans="1:2">
      <c r="A104" s="90" t="s">
        <v>399</v>
      </c>
      <c r="B104" s="113" t="s">
        <v>400</v>
      </c>
    </row>
    <row r="105" spans="1:2">
      <c r="A105" s="90" t="s">
        <v>401</v>
      </c>
      <c r="B105" s="113" t="s">
        <v>402</v>
      </c>
    </row>
    <row r="106" spans="1:2">
      <c r="A106" s="90" t="s">
        <v>403</v>
      </c>
      <c r="B106" s="113" t="s">
        <v>404</v>
      </c>
    </row>
    <row r="107" spans="1:2">
      <c r="A107" s="90" t="s">
        <v>405</v>
      </c>
      <c r="B107" s="113" t="s">
        <v>406</v>
      </c>
    </row>
    <row r="108" spans="1:2">
      <c r="A108" s="90" t="s">
        <v>407</v>
      </c>
      <c r="B108" s="113" t="s">
        <v>408</v>
      </c>
    </row>
    <row r="109" spans="1:2">
      <c r="A109" s="90" t="s">
        <v>409</v>
      </c>
      <c r="B109" s="113" t="s">
        <v>410</v>
      </c>
    </row>
    <row r="110" spans="1:2">
      <c r="A110" s="90" t="s">
        <v>411</v>
      </c>
      <c r="B110" s="113" t="s">
        <v>412</v>
      </c>
    </row>
    <row r="111" spans="1:2">
      <c r="A111" s="90" t="s">
        <v>413</v>
      </c>
      <c r="B111" s="113" t="s">
        <v>414</v>
      </c>
    </row>
    <row r="112" spans="1:2">
      <c r="A112" s="90" t="s">
        <v>415</v>
      </c>
      <c r="B112" s="113" t="s">
        <v>416</v>
      </c>
    </row>
    <row r="113" spans="1:2">
      <c r="A113" s="90" t="s">
        <v>417</v>
      </c>
      <c r="B113" s="113" t="s">
        <v>418</v>
      </c>
    </row>
    <row r="114" spans="1:2">
      <c r="A114" s="90" t="s">
        <v>419</v>
      </c>
      <c r="B114" s="113" t="s">
        <v>420</v>
      </c>
    </row>
    <row r="115" spans="1:2">
      <c r="A115" s="90" t="s">
        <v>421</v>
      </c>
      <c r="B115" s="114" t="s">
        <v>422</v>
      </c>
    </row>
    <row r="116" spans="1:2">
      <c r="A116" s="90" t="s">
        <v>423</v>
      </c>
      <c r="B116" s="113" t="s">
        <v>424</v>
      </c>
    </row>
    <row r="117" spans="1:2">
      <c r="A117" s="90" t="s">
        <v>425</v>
      </c>
      <c r="B117" s="113" t="s">
        <v>426</v>
      </c>
    </row>
    <row r="118" spans="1:2">
      <c r="A118" s="90" t="s">
        <v>427</v>
      </c>
      <c r="B118" s="113" t="s">
        <v>428</v>
      </c>
    </row>
    <row r="119" spans="1:2">
      <c r="A119" s="90" t="s">
        <v>429</v>
      </c>
      <c r="B119" s="113" t="s">
        <v>430</v>
      </c>
    </row>
    <row r="120" spans="1:2">
      <c r="A120" s="90" t="s">
        <v>431</v>
      </c>
      <c r="B120" s="113" t="s">
        <v>432</v>
      </c>
    </row>
    <row r="121" spans="1:2">
      <c r="A121" s="110" t="s">
        <v>210</v>
      </c>
      <c r="B121" s="110" t="s">
        <v>433</v>
      </c>
    </row>
    <row r="122" spans="1:2">
      <c r="A122" s="90" t="s">
        <v>434</v>
      </c>
      <c r="B122" s="113" t="s">
        <v>435</v>
      </c>
    </row>
    <row r="123" spans="1:2">
      <c r="A123" s="90" t="s">
        <v>436</v>
      </c>
      <c r="B123" s="113" t="s">
        <v>437</v>
      </c>
    </row>
    <row r="124" spans="1:2">
      <c r="A124" s="110" t="s">
        <v>210</v>
      </c>
      <c r="B124" s="110" t="s">
        <v>438</v>
      </c>
    </row>
    <row r="125" spans="1:2">
      <c r="A125" s="90" t="s">
        <v>439</v>
      </c>
      <c r="B125" s="113" t="s">
        <v>440</v>
      </c>
    </row>
    <row r="126" spans="1:2">
      <c r="A126" s="110" t="s">
        <v>210</v>
      </c>
      <c r="B126" s="110" t="s">
        <v>441</v>
      </c>
    </row>
    <row r="127" spans="1:2">
      <c r="A127" s="90" t="s">
        <v>442</v>
      </c>
      <c r="B127" s="113" t="s">
        <v>443</v>
      </c>
    </row>
    <row r="128" spans="1:2">
      <c r="A128" s="90" t="s">
        <v>444</v>
      </c>
      <c r="B128" s="113" t="s">
        <v>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ced22c6-3b17-4dbe-bced-15f37b56bfbc" xsi:nil="true"/>
    <lcf76f155ced4ddcb4097134ff3c332f xmlns="9c07f5ac-074e-4938-a494-1281a395454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26FF7CA570F0489EE2D69DCE6946A6" ma:contentTypeVersion="12" ma:contentTypeDescription="Create a new document." ma:contentTypeScope="" ma:versionID="3e3b7d70562329e7b85e9d686b6cb4a8">
  <xsd:schema xmlns:xsd="http://www.w3.org/2001/XMLSchema" xmlns:xs="http://www.w3.org/2001/XMLSchema" xmlns:p="http://schemas.microsoft.com/office/2006/metadata/properties" xmlns:ns1="http://schemas.microsoft.com/sharepoint/v3" xmlns:ns2="9c07f5ac-074e-4938-a494-1281a395454a" xmlns:ns3="6ced22c6-3b17-4dbe-bced-15f37b56bfbc" targetNamespace="http://schemas.microsoft.com/office/2006/metadata/properties" ma:root="true" ma:fieldsID="c384fe791919828bb36d1ca531fbe50c" ns1:_="" ns2:_="" ns3:_="">
    <xsd:import namespace="http://schemas.microsoft.com/sharepoint/v3"/>
    <xsd:import namespace="9c07f5ac-074e-4938-a494-1281a395454a"/>
    <xsd:import namespace="6ced22c6-3b17-4dbe-bced-15f37b56b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07f5ac-074e-4938-a494-1281a3954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d22c6-3b17-4dbe-bced-15f37b56b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6bc0a36-a00b-4c4f-bb9a-00d6ffa3c98c}" ma:internalName="TaxCatchAll" ma:showField="CatchAllData" ma:web="6ced22c6-3b17-4dbe-bced-15f37b56b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F0AACA-0D04-4EBC-9DE5-0B3A21B823E2}"/>
</file>

<file path=customXml/itemProps2.xml><?xml version="1.0" encoding="utf-8"?>
<ds:datastoreItem xmlns:ds="http://schemas.openxmlformats.org/officeDocument/2006/customXml" ds:itemID="{EFCD1F9B-18FC-4BA7-96D8-82CECCAEF412}"/>
</file>

<file path=customXml/itemProps3.xml><?xml version="1.0" encoding="utf-8"?>
<ds:datastoreItem xmlns:ds="http://schemas.openxmlformats.org/officeDocument/2006/customXml" ds:itemID="{71953C65-83E3-473C-BD25-5E65C3049430}"/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Darling, Troy D CIV USARMY ACC (USA)</cp:lastModifiedBy>
  <cp:revision/>
  <dcterms:created xsi:type="dcterms:W3CDTF">2026-08-06T19:23:43Z</dcterms:created>
  <dcterms:modified xsi:type="dcterms:W3CDTF">2026-09-17T20:53:44Z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0x0101001D26FF7CA570F0489EE2D69DCE6946A6</vt:lpwstr>
  </property>
  <property fmtid="{D5CDD505-2E9C-101B-9397-08002B2CF9AE}" pid="3" name="MediaServiceImageTags">
    <vt:lpwstr/>
  </property>
</Properties>
</file>